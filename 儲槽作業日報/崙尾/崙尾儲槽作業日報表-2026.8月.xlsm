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drawings/drawing7.xml" ContentType="application/vnd.openxmlformats-officedocument.drawing+xml"/>
  <Override PartName="/xl/activeX/activeX6.xml" ContentType="application/vnd.ms-office.activeX+xml"/>
  <Override PartName="/xl/activeX/activeX6.bin" ContentType="application/vnd.ms-office.activeX"/>
  <Override PartName="/xl/drawings/drawing8.xml" ContentType="application/vnd.openxmlformats-officedocument.drawing+xml"/>
  <Override PartName="/xl/activeX/activeX7.xml" ContentType="application/vnd.ms-office.activeX+xml"/>
  <Override PartName="/xl/activeX/activeX7.bin" ContentType="application/vnd.ms-office.activeX"/>
  <Override PartName="/xl/drawings/drawing9.xml" ContentType="application/vnd.openxmlformats-officedocument.drawing+xml"/>
  <Override PartName="/xl/activeX/activeX8.xml" ContentType="application/vnd.ms-office.activeX+xml"/>
  <Override PartName="/xl/activeX/activeX8.bin" ContentType="application/vnd.ms-office.activeX"/>
  <Override PartName="/xl/drawings/drawing10.xml" ContentType="application/vnd.openxmlformats-officedocument.drawing+xml"/>
  <Override PartName="/xl/activeX/activeX9.xml" ContentType="application/vnd.ms-office.activeX+xml"/>
  <Override PartName="/xl/activeX/activeX9.bin" ContentType="application/vnd.ms-office.activeX"/>
  <Override PartName="/xl/drawings/drawing11.xml" ContentType="application/vnd.openxmlformats-officedocument.drawing+xml"/>
  <Override PartName="/xl/activeX/activeX10.xml" ContentType="application/vnd.ms-office.activeX+xml"/>
  <Override PartName="/xl/activeX/activeX10.bin" ContentType="application/vnd.ms-office.activeX"/>
  <Override PartName="/xl/drawings/drawing12.xml" ContentType="application/vnd.openxmlformats-officedocument.drawing+xml"/>
  <Override PartName="/xl/activeX/activeX11.xml" ContentType="application/vnd.ms-office.activeX+xml"/>
  <Override PartName="/xl/activeX/activeX11.bin" ContentType="application/vnd.ms-office.activeX"/>
  <Override PartName="/xl/drawings/drawing13.xml" ContentType="application/vnd.openxmlformats-officedocument.drawing+xml"/>
  <Override PartName="/xl/activeX/activeX12.xml" ContentType="application/vnd.ms-office.activeX+xml"/>
  <Override PartName="/xl/activeX/activeX12.bin" ContentType="application/vnd.ms-office.activeX"/>
  <Override PartName="/xl/drawings/drawing14.xml" ContentType="application/vnd.openxmlformats-officedocument.drawing+xml"/>
  <Override PartName="/xl/activeX/activeX13.xml" ContentType="application/vnd.ms-office.activeX+xml"/>
  <Override PartName="/xl/activeX/activeX13.bin" ContentType="application/vnd.ms-office.activeX"/>
  <Override PartName="/xl/drawings/drawing15.xml" ContentType="application/vnd.openxmlformats-officedocument.drawing+xml"/>
  <Override PartName="/xl/activeX/activeX14.xml" ContentType="application/vnd.ms-office.activeX+xml"/>
  <Override PartName="/xl/activeX/activeX14.bin" ContentType="application/vnd.ms-office.activeX"/>
  <Override PartName="/xl/drawings/drawing16.xml" ContentType="application/vnd.openxmlformats-officedocument.drawing+xml"/>
  <Override PartName="/xl/activeX/activeX15.xml" ContentType="application/vnd.ms-office.activeX+xml"/>
  <Override PartName="/xl/activeX/activeX15.bin" ContentType="application/vnd.ms-office.activeX"/>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drawings/drawing18.xml" ContentType="application/vnd.openxmlformats-officedocument.drawing+xml"/>
  <Override PartName="/xl/activeX/activeX17.xml" ContentType="application/vnd.ms-office.activeX+xml"/>
  <Override PartName="/xl/activeX/activeX17.bin" ContentType="application/vnd.ms-office.activeX"/>
  <Override PartName="/xl/drawings/drawing19.xml" ContentType="application/vnd.openxmlformats-officedocument.drawing+xml"/>
  <Override PartName="/xl/activeX/activeX18.xml" ContentType="application/vnd.ms-office.activeX+xml"/>
  <Override PartName="/xl/activeX/activeX18.bin" ContentType="application/vnd.ms-office.activeX"/>
  <Override PartName="/xl/drawings/drawing20.xml" ContentType="application/vnd.openxmlformats-officedocument.drawing+xml"/>
  <Override PartName="/xl/activeX/activeX19.xml" ContentType="application/vnd.ms-office.activeX+xml"/>
  <Override PartName="/xl/activeX/activeX19.bin" ContentType="application/vnd.ms-office.activeX"/>
  <Override PartName="/xl/drawings/drawing21.xml" ContentType="application/vnd.openxmlformats-officedocument.drawing+xml"/>
  <Override PartName="/xl/activeX/activeX20.xml" ContentType="application/vnd.ms-office.activeX+xml"/>
  <Override PartName="/xl/activeX/activeX20.bin" ContentType="application/vnd.ms-office.activeX"/>
  <Override PartName="/xl/drawings/drawing22.xml" ContentType="application/vnd.openxmlformats-officedocument.drawing+xml"/>
  <Override PartName="/xl/activeX/activeX21.xml" ContentType="application/vnd.ms-office.activeX+xml"/>
  <Override PartName="/xl/activeX/activeX21.bin" ContentType="application/vnd.ms-office.activeX"/>
  <Override PartName="/xl/drawings/drawing23.xml" ContentType="application/vnd.openxmlformats-officedocument.drawing+xml"/>
  <Override PartName="/xl/activeX/activeX22.xml" ContentType="application/vnd.ms-office.activeX+xml"/>
  <Override PartName="/xl/activeX/activeX22.bin" ContentType="application/vnd.ms-office.activeX"/>
  <Override PartName="/xl/drawings/drawing24.xml" ContentType="application/vnd.openxmlformats-officedocument.drawing+xml"/>
  <Override PartName="/xl/activeX/activeX23.xml" ContentType="application/vnd.ms-office.activeX+xml"/>
  <Override PartName="/xl/activeX/activeX23.bin" ContentType="application/vnd.ms-office.activeX"/>
  <Override PartName="/xl/drawings/drawing25.xml" ContentType="application/vnd.openxmlformats-officedocument.drawing+xml"/>
  <Override PartName="/xl/activeX/activeX24.xml" ContentType="application/vnd.ms-office.activeX+xml"/>
  <Override PartName="/xl/activeX/activeX24.bin" ContentType="application/vnd.ms-office.activeX"/>
  <Override PartName="/xl/drawings/drawing26.xml" ContentType="application/vnd.openxmlformats-officedocument.drawing+xml"/>
  <Override PartName="/xl/activeX/activeX25.xml" ContentType="application/vnd.ms-office.activeX+xml"/>
  <Override PartName="/xl/activeX/activeX25.bin" ContentType="application/vnd.ms-office.activeX"/>
  <Override PartName="/xl/drawings/drawing27.xml" ContentType="application/vnd.openxmlformats-officedocument.drawing+xml"/>
  <Override PartName="/xl/activeX/activeX26.xml" ContentType="application/vnd.ms-office.activeX+xml"/>
  <Override PartName="/xl/activeX/activeX26.bin" ContentType="application/vnd.ms-office.activeX"/>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defaultThemeVersion="124226"/>
  <mc:AlternateContent xmlns:mc="http://schemas.openxmlformats.org/markup-compatibility/2006">
    <mc:Choice Requires="x15">
      <x15ac:absPath xmlns:x15ac="http://schemas.microsoft.com/office/spreadsheetml/2010/11/ac" url="O:\各單位對外\資材部對外\!儲槽作業日報\儲槽作業日報\"/>
    </mc:Choice>
  </mc:AlternateContent>
  <bookViews>
    <workbookView xWindow="0" yWindow="0" windowWidth="2376" windowHeight="0" firstSheet="13" activeTab="29"/>
  </bookViews>
  <sheets>
    <sheet name="新增" sheetId="2168" r:id="rId1"/>
    <sheet name="液位空白表單" sheetId="2186" r:id="rId2"/>
    <sheet name="工作表1" sheetId="2098" r:id="rId3"/>
    <sheet name="密度" sheetId="13" r:id="rId4"/>
    <sheet name="mm計算" sheetId="2111" r:id="rId5"/>
    <sheet name="1.30 %計算" sheetId="2080" r:id="rId6"/>
    <sheet name="5.29 " sheetId="2148" r:id="rId7"/>
    <sheet name="7.31" sheetId="2197" r:id="rId8"/>
    <sheet name="8.1" sheetId="2198" r:id="rId9"/>
    <sheet name="8.3" sheetId="2199" r:id="rId10"/>
    <sheet name="8.4" sheetId="2200" r:id="rId11"/>
    <sheet name="8.5" sheetId="2201" r:id="rId12"/>
    <sheet name="8.6" sheetId="2202" r:id="rId13"/>
    <sheet name="8.7" sheetId="2203" r:id="rId14"/>
    <sheet name="8.10" sheetId="2204" r:id="rId15"/>
    <sheet name="8.11" sheetId="2205" r:id="rId16"/>
    <sheet name="8.12" sheetId="2206" r:id="rId17"/>
    <sheet name="8.13" sheetId="2207" r:id="rId18"/>
    <sheet name="8.14" sheetId="2208" r:id="rId19"/>
    <sheet name="8.17" sheetId="2209" r:id="rId20"/>
    <sheet name="8.18" sheetId="2210" r:id="rId21"/>
    <sheet name="8.19" sheetId="2211" r:id="rId22"/>
    <sheet name="8.20" sheetId="2212" r:id="rId23"/>
    <sheet name="8.21" sheetId="2213" r:id="rId24"/>
    <sheet name="8.24" sheetId="2214" r:id="rId25"/>
    <sheet name="8.25" sheetId="2233" r:id="rId26"/>
    <sheet name="8.26" sheetId="2234" r:id="rId27"/>
    <sheet name="8.27" sheetId="2235" r:id="rId28"/>
    <sheet name="8.28" sheetId="2236" r:id="rId29"/>
    <sheet name="8.31" sheetId="2237" r:id="rId30"/>
  </sheets>
  <externalReferences>
    <externalReference r:id="rId31"/>
    <externalReference r:id="rId32"/>
  </externalReferences>
  <definedNames>
    <definedName name="_xlnm.Print_Area" localSheetId="5">'1.30 %計算'!$B$1:$AE$36</definedName>
    <definedName name="_xlnm.Print_Area" localSheetId="6">'5.29 '!$B$1:$AE$36</definedName>
    <definedName name="_xlnm.Print_Area" localSheetId="7">'7.31'!$B$1:$U$18</definedName>
    <definedName name="_xlnm.Print_Area" localSheetId="8">'8.1'!$B$1:$U$18</definedName>
    <definedName name="_xlnm.Print_Area" localSheetId="14">'8.10'!$B$1:$U$18</definedName>
    <definedName name="_xlnm.Print_Area" localSheetId="15">'8.11'!$B$1:$U$18</definedName>
    <definedName name="_xlnm.Print_Area" localSheetId="16">'8.12'!$B$1:$U$18</definedName>
    <definedName name="_xlnm.Print_Area" localSheetId="17">'8.13'!$B$1:$U$18</definedName>
    <definedName name="_xlnm.Print_Area" localSheetId="18">'8.14'!$B$1:$U$18</definedName>
    <definedName name="_xlnm.Print_Area" localSheetId="19">'8.17'!$B$1:$U$18</definedName>
    <definedName name="_xlnm.Print_Area" localSheetId="20">'8.18'!$B$1:$U$18</definedName>
    <definedName name="_xlnm.Print_Area" localSheetId="21">'8.19'!$B$1:$U$18</definedName>
    <definedName name="_xlnm.Print_Area" localSheetId="22">'8.20'!$B$1:$U$18</definedName>
    <definedName name="_xlnm.Print_Area" localSheetId="23">'8.21'!$B$1:$U$18</definedName>
    <definedName name="_xlnm.Print_Area" localSheetId="24">'8.24'!$B$1:$U$18</definedName>
    <definedName name="_xlnm.Print_Area" localSheetId="25">'8.25'!$B$1:$U$18</definedName>
    <definedName name="_xlnm.Print_Area" localSheetId="26">'8.26'!$B$1:$U$18</definedName>
    <definedName name="_xlnm.Print_Area" localSheetId="27">'8.27'!$B$1:$U$18</definedName>
    <definedName name="_xlnm.Print_Area" localSheetId="28">'8.28'!$B$1:$U$18</definedName>
    <definedName name="_xlnm.Print_Area" localSheetId="9">'8.3'!$B$1:$U$18</definedName>
    <definedName name="_xlnm.Print_Area" localSheetId="29">'8.31'!$B$1:$U$18</definedName>
    <definedName name="_xlnm.Print_Area" localSheetId="10">'8.4'!$B$1:$U$18</definedName>
    <definedName name="_xlnm.Print_Area" localSheetId="11">'8.5'!$B$1:$U$18</definedName>
    <definedName name="_xlnm.Print_Area" localSheetId="12">'8.6'!$B$1:$U$18</definedName>
    <definedName name="_xlnm.Print_Area" localSheetId="13">'8.7'!$B$1:$U$18</definedName>
    <definedName name="_xlnm.Print_Area" localSheetId="4">mm計算!$B$1:$AE$36</definedName>
    <definedName name="_xlnm.Print_Area" localSheetId="3">密度!$A$1:$W$61</definedName>
    <definedName name="_xlnm.Print_Area" localSheetId="1">液位空白表單!$A$1:$D$33</definedName>
    <definedName name="_xlnm.Print_Area" localSheetId="0">新增!$A$1:$D$33</definedName>
    <definedName name="Z_512059F6_F0DC_4056_8FD0_37088AB81F9E_.wvu.PrintArea" localSheetId="5" hidden="1">'1.30 %計算'!$B$3:$AE$36</definedName>
    <definedName name="Z_512059F6_F0DC_4056_8FD0_37088AB81F9E_.wvu.PrintArea" localSheetId="6" hidden="1">'5.29 '!$B$3:$AE$36</definedName>
    <definedName name="Z_512059F6_F0DC_4056_8FD0_37088AB81F9E_.wvu.PrintArea" localSheetId="7" hidden="1">'7.31'!$B$3:$U$18</definedName>
    <definedName name="Z_512059F6_F0DC_4056_8FD0_37088AB81F9E_.wvu.PrintArea" localSheetId="8" hidden="1">'8.1'!$B$3:$U$18</definedName>
    <definedName name="Z_512059F6_F0DC_4056_8FD0_37088AB81F9E_.wvu.PrintArea" localSheetId="14" hidden="1">'8.10'!$B$3:$U$18</definedName>
    <definedName name="Z_512059F6_F0DC_4056_8FD0_37088AB81F9E_.wvu.PrintArea" localSheetId="15" hidden="1">'8.11'!$B$3:$U$18</definedName>
    <definedName name="Z_512059F6_F0DC_4056_8FD0_37088AB81F9E_.wvu.PrintArea" localSheetId="16" hidden="1">'8.12'!$B$3:$U$18</definedName>
    <definedName name="Z_512059F6_F0DC_4056_8FD0_37088AB81F9E_.wvu.PrintArea" localSheetId="17" hidden="1">'8.13'!$B$3:$U$18</definedName>
    <definedName name="Z_512059F6_F0DC_4056_8FD0_37088AB81F9E_.wvu.PrintArea" localSheetId="18" hidden="1">'8.14'!$B$3:$U$18</definedName>
    <definedName name="Z_512059F6_F0DC_4056_8FD0_37088AB81F9E_.wvu.PrintArea" localSheetId="19" hidden="1">'8.17'!$B$3:$U$18</definedName>
    <definedName name="Z_512059F6_F0DC_4056_8FD0_37088AB81F9E_.wvu.PrintArea" localSheetId="20" hidden="1">'8.18'!$B$3:$U$18</definedName>
    <definedName name="Z_512059F6_F0DC_4056_8FD0_37088AB81F9E_.wvu.PrintArea" localSheetId="21" hidden="1">'8.19'!$B$3:$U$18</definedName>
    <definedName name="Z_512059F6_F0DC_4056_8FD0_37088AB81F9E_.wvu.PrintArea" localSheetId="22" hidden="1">'8.20'!$B$3:$U$18</definedName>
    <definedName name="Z_512059F6_F0DC_4056_8FD0_37088AB81F9E_.wvu.PrintArea" localSheetId="23" hidden="1">'8.21'!$B$3:$U$18</definedName>
    <definedName name="Z_512059F6_F0DC_4056_8FD0_37088AB81F9E_.wvu.PrintArea" localSheetId="24" hidden="1">'8.24'!$B$3:$U$18</definedName>
    <definedName name="Z_512059F6_F0DC_4056_8FD0_37088AB81F9E_.wvu.PrintArea" localSheetId="25" hidden="1">'8.25'!$B$3:$U$18</definedName>
    <definedName name="Z_512059F6_F0DC_4056_8FD0_37088AB81F9E_.wvu.PrintArea" localSheetId="26" hidden="1">'8.26'!$B$3:$U$18</definedName>
    <definedName name="Z_512059F6_F0DC_4056_8FD0_37088AB81F9E_.wvu.PrintArea" localSheetId="27" hidden="1">'8.27'!$B$3:$U$18</definedName>
    <definedName name="Z_512059F6_F0DC_4056_8FD0_37088AB81F9E_.wvu.PrintArea" localSheetId="28" hidden="1">'8.28'!$B$3:$U$18</definedName>
    <definedName name="Z_512059F6_F0DC_4056_8FD0_37088AB81F9E_.wvu.PrintArea" localSheetId="9" hidden="1">'8.3'!$B$3:$U$18</definedName>
    <definedName name="Z_512059F6_F0DC_4056_8FD0_37088AB81F9E_.wvu.PrintArea" localSheetId="29" hidden="1">'8.31'!$B$3:$U$18</definedName>
    <definedName name="Z_512059F6_F0DC_4056_8FD0_37088AB81F9E_.wvu.PrintArea" localSheetId="10" hidden="1">'8.4'!$B$3:$U$18</definedName>
    <definedName name="Z_512059F6_F0DC_4056_8FD0_37088AB81F9E_.wvu.PrintArea" localSheetId="11" hidden="1">'8.5'!$B$3:$U$18</definedName>
    <definedName name="Z_512059F6_F0DC_4056_8FD0_37088AB81F9E_.wvu.PrintArea" localSheetId="12" hidden="1">'8.6'!$B$3:$U$18</definedName>
    <definedName name="Z_512059F6_F0DC_4056_8FD0_37088AB81F9E_.wvu.PrintArea" localSheetId="13" hidden="1">'8.7'!$B$3:$U$18</definedName>
    <definedName name="Z_512059F6_F0DC_4056_8FD0_37088AB81F9E_.wvu.PrintArea" localSheetId="4" hidden="1">mm計算!$B$3:$AE$36</definedName>
    <definedName name="Z_68643476_8805_447E_8170_A582EA1D0343_.wvu.PrintArea" localSheetId="5" hidden="1">'1.30 %計算'!$B$3:$AE$36</definedName>
    <definedName name="Z_68643476_8805_447E_8170_A582EA1D0343_.wvu.PrintArea" localSheetId="6" hidden="1">'5.29 '!$B$3:$AE$36</definedName>
    <definedName name="Z_68643476_8805_447E_8170_A582EA1D0343_.wvu.PrintArea" localSheetId="7" hidden="1">'7.31'!$B$3:$U$18</definedName>
    <definedName name="Z_68643476_8805_447E_8170_A582EA1D0343_.wvu.PrintArea" localSheetId="8" hidden="1">'8.1'!$B$3:$U$18</definedName>
    <definedName name="Z_68643476_8805_447E_8170_A582EA1D0343_.wvu.PrintArea" localSheetId="14" hidden="1">'8.10'!$B$3:$U$18</definedName>
    <definedName name="Z_68643476_8805_447E_8170_A582EA1D0343_.wvu.PrintArea" localSheetId="15" hidden="1">'8.11'!$B$3:$U$18</definedName>
    <definedName name="Z_68643476_8805_447E_8170_A582EA1D0343_.wvu.PrintArea" localSheetId="16" hidden="1">'8.12'!$B$3:$U$18</definedName>
    <definedName name="Z_68643476_8805_447E_8170_A582EA1D0343_.wvu.PrintArea" localSheetId="17" hidden="1">'8.13'!$B$3:$U$18</definedName>
    <definedName name="Z_68643476_8805_447E_8170_A582EA1D0343_.wvu.PrintArea" localSheetId="18" hidden="1">'8.14'!$B$3:$U$18</definedName>
    <definedName name="Z_68643476_8805_447E_8170_A582EA1D0343_.wvu.PrintArea" localSheetId="19" hidden="1">'8.17'!$B$3:$U$18</definedName>
    <definedName name="Z_68643476_8805_447E_8170_A582EA1D0343_.wvu.PrintArea" localSheetId="20" hidden="1">'8.18'!$B$3:$U$18</definedName>
    <definedName name="Z_68643476_8805_447E_8170_A582EA1D0343_.wvu.PrintArea" localSheetId="21" hidden="1">'8.19'!$B$3:$U$18</definedName>
    <definedName name="Z_68643476_8805_447E_8170_A582EA1D0343_.wvu.PrintArea" localSheetId="22" hidden="1">'8.20'!$B$3:$U$18</definedName>
    <definedName name="Z_68643476_8805_447E_8170_A582EA1D0343_.wvu.PrintArea" localSheetId="23" hidden="1">'8.21'!$B$3:$U$18</definedName>
    <definedName name="Z_68643476_8805_447E_8170_A582EA1D0343_.wvu.PrintArea" localSheetId="24" hidden="1">'8.24'!$B$3:$U$18</definedName>
    <definedName name="Z_68643476_8805_447E_8170_A582EA1D0343_.wvu.PrintArea" localSheetId="25" hidden="1">'8.25'!$B$3:$U$18</definedName>
    <definedName name="Z_68643476_8805_447E_8170_A582EA1D0343_.wvu.PrintArea" localSheetId="26" hidden="1">'8.26'!$B$3:$U$18</definedName>
    <definedName name="Z_68643476_8805_447E_8170_A582EA1D0343_.wvu.PrintArea" localSheetId="27" hidden="1">'8.27'!$B$3:$U$18</definedName>
    <definedName name="Z_68643476_8805_447E_8170_A582EA1D0343_.wvu.PrintArea" localSheetId="28" hidden="1">'8.28'!$B$3:$U$18</definedName>
    <definedName name="Z_68643476_8805_447E_8170_A582EA1D0343_.wvu.PrintArea" localSheetId="9" hidden="1">'8.3'!$B$3:$U$18</definedName>
    <definedName name="Z_68643476_8805_447E_8170_A582EA1D0343_.wvu.PrintArea" localSheetId="29" hidden="1">'8.31'!$B$3:$U$18</definedName>
    <definedName name="Z_68643476_8805_447E_8170_A582EA1D0343_.wvu.PrintArea" localSheetId="10" hidden="1">'8.4'!$B$3:$U$18</definedName>
    <definedName name="Z_68643476_8805_447E_8170_A582EA1D0343_.wvu.PrintArea" localSheetId="11" hidden="1">'8.5'!$B$3:$U$18</definedName>
    <definedName name="Z_68643476_8805_447E_8170_A582EA1D0343_.wvu.PrintArea" localSheetId="12" hidden="1">'8.6'!$B$3:$U$18</definedName>
    <definedName name="Z_68643476_8805_447E_8170_A582EA1D0343_.wvu.PrintArea" localSheetId="13" hidden="1">'8.7'!$B$3:$U$18</definedName>
    <definedName name="Z_68643476_8805_447E_8170_A582EA1D0343_.wvu.PrintArea" localSheetId="4" hidden="1">mm計算!$B$3:$AE$36</definedName>
    <definedName name="Z_8E5926ED_4EBD_4129_B8FF_799CC47580D7_.wvu.PrintArea" localSheetId="5" hidden="1">'1.30 %計算'!$B$3:$AE$36</definedName>
    <definedName name="Z_8E5926ED_4EBD_4129_B8FF_799CC47580D7_.wvu.PrintArea" localSheetId="6" hidden="1">'5.29 '!$B$3:$AE$36</definedName>
    <definedName name="Z_8E5926ED_4EBD_4129_B8FF_799CC47580D7_.wvu.PrintArea" localSheetId="7" hidden="1">'7.31'!$B$3:$U$18</definedName>
    <definedName name="Z_8E5926ED_4EBD_4129_B8FF_799CC47580D7_.wvu.PrintArea" localSheetId="8" hidden="1">'8.1'!$B$3:$U$18</definedName>
    <definedName name="Z_8E5926ED_4EBD_4129_B8FF_799CC47580D7_.wvu.PrintArea" localSheetId="14" hidden="1">'8.10'!$B$3:$U$18</definedName>
    <definedName name="Z_8E5926ED_4EBD_4129_B8FF_799CC47580D7_.wvu.PrintArea" localSheetId="15" hidden="1">'8.11'!$B$3:$U$18</definedName>
    <definedName name="Z_8E5926ED_4EBD_4129_B8FF_799CC47580D7_.wvu.PrintArea" localSheetId="16" hidden="1">'8.12'!$B$3:$U$18</definedName>
    <definedName name="Z_8E5926ED_4EBD_4129_B8FF_799CC47580D7_.wvu.PrintArea" localSheetId="17" hidden="1">'8.13'!$B$3:$U$18</definedName>
    <definedName name="Z_8E5926ED_4EBD_4129_B8FF_799CC47580D7_.wvu.PrintArea" localSheetId="18" hidden="1">'8.14'!$B$3:$U$18</definedName>
    <definedName name="Z_8E5926ED_4EBD_4129_B8FF_799CC47580D7_.wvu.PrintArea" localSheetId="19" hidden="1">'8.17'!$B$3:$U$18</definedName>
    <definedName name="Z_8E5926ED_4EBD_4129_B8FF_799CC47580D7_.wvu.PrintArea" localSheetId="20" hidden="1">'8.18'!$B$3:$U$18</definedName>
    <definedName name="Z_8E5926ED_4EBD_4129_B8FF_799CC47580D7_.wvu.PrintArea" localSheetId="21" hidden="1">'8.19'!$B$3:$U$18</definedName>
    <definedName name="Z_8E5926ED_4EBD_4129_B8FF_799CC47580D7_.wvu.PrintArea" localSheetId="22" hidden="1">'8.20'!$B$3:$U$18</definedName>
    <definedName name="Z_8E5926ED_4EBD_4129_B8FF_799CC47580D7_.wvu.PrintArea" localSheetId="23" hidden="1">'8.21'!$B$3:$U$18</definedName>
    <definedName name="Z_8E5926ED_4EBD_4129_B8FF_799CC47580D7_.wvu.PrintArea" localSheetId="24" hidden="1">'8.24'!$B$3:$U$18</definedName>
    <definedName name="Z_8E5926ED_4EBD_4129_B8FF_799CC47580D7_.wvu.PrintArea" localSheetId="25" hidden="1">'8.25'!$B$3:$U$18</definedName>
    <definedName name="Z_8E5926ED_4EBD_4129_B8FF_799CC47580D7_.wvu.PrintArea" localSheetId="26" hidden="1">'8.26'!$B$3:$U$18</definedName>
    <definedName name="Z_8E5926ED_4EBD_4129_B8FF_799CC47580D7_.wvu.PrintArea" localSheetId="27" hidden="1">'8.27'!$B$3:$U$18</definedName>
    <definedName name="Z_8E5926ED_4EBD_4129_B8FF_799CC47580D7_.wvu.PrintArea" localSheetId="28" hidden="1">'8.28'!$B$3:$U$18</definedName>
    <definedName name="Z_8E5926ED_4EBD_4129_B8FF_799CC47580D7_.wvu.PrintArea" localSheetId="9" hidden="1">'8.3'!$B$3:$U$18</definedName>
    <definedName name="Z_8E5926ED_4EBD_4129_B8FF_799CC47580D7_.wvu.PrintArea" localSheetId="29" hidden="1">'8.31'!$B$3:$U$18</definedName>
    <definedName name="Z_8E5926ED_4EBD_4129_B8FF_799CC47580D7_.wvu.PrintArea" localSheetId="10" hidden="1">'8.4'!$B$3:$U$18</definedName>
    <definedName name="Z_8E5926ED_4EBD_4129_B8FF_799CC47580D7_.wvu.PrintArea" localSheetId="11" hidden="1">'8.5'!$B$3:$U$18</definedName>
    <definedName name="Z_8E5926ED_4EBD_4129_B8FF_799CC47580D7_.wvu.PrintArea" localSheetId="12" hidden="1">'8.6'!$B$3:$U$18</definedName>
    <definedName name="Z_8E5926ED_4EBD_4129_B8FF_799CC47580D7_.wvu.PrintArea" localSheetId="13" hidden="1">'8.7'!$B$3:$U$18</definedName>
    <definedName name="Z_8E5926ED_4EBD_4129_B8FF_799CC47580D7_.wvu.PrintArea" localSheetId="4" hidden="1">mm計算!$B$3:$AE$36</definedName>
    <definedName name="Z_8FA8B620_C56C_11DB_A857_00055D5FD5FF_.wvu.PrintArea" localSheetId="5" hidden="1">'1.30 %計算'!$B$3:$AE$36</definedName>
    <definedName name="Z_8FA8B620_C56C_11DB_A857_00055D5FD5FF_.wvu.PrintArea" localSheetId="6" hidden="1">'5.29 '!$B$3:$AE$36</definedName>
    <definedName name="Z_8FA8B620_C56C_11DB_A857_00055D5FD5FF_.wvu.PrintArea" localSheetId="7" hidden="1">'7.31'!$B$3:$U$18</definedName>
    <definedName name="Z_8FA8B620_C56C_11DB_A857_00055D5FD5FF_.wvu.PrintArea" localSheetId="8" hidden="1">'8.1'!$B$3:$U$18</definedName>
    <definedName name="Z_8FA8B620_C56C_11DB_A857_00055D5FD5FF_.wvu.PrintArea" localSheetId="14" hidden="1">'8.10'!$B$3:$U$18</definedName>
    <definedName name="Z_8FA8B620_C56C_11DB_A857_00055D5FD5FF_.wvu.PrintArea" localSheetId="15" hidden="1">'8.11'!$B$3:$U$18</definedName>
    <definedName name="Z_8FA8B620_C56C_11DB_A857_00055D5FD5FF_.wvu.PrintArea" localSheetId="16" hidden="1">'8.12'!$B$3:$U$18</definedName>
    <definedName name="Z_8FA8B620_C56C_11DB_A857_00055D5FD5FF_.wvu.PrintArea" localSheetId="17" hidden="1">'8.13'!$B$3:$U$18</definedName>
    <definedName name="Z_8FA8B620_C56C_11DB_A857_00055D5FD5FF_.wvu.PrintArea" localSheetId="18" hidden="1">'8.14'!$B$3:$U$18</definedName>
    <definedName name="Z_8FA8B620_C56C_11DB_A857_00055D5FD5FF_.wvu.PrintArea" localSheetId="19" hidden="1">'8.17'!$B$3:$U$18</definedName>
    <definedName name="Z_8FA8B620_C56C_11DB_A857_00055D5FD5FF_.wvu.PrintArea" localSheetId="20" hidden="1">'8.18'!$B$3:$U$18</definedName>
    <definedName name="Z_8FA8B620_C56C_11DB_A857_00055D5FD5FF_.wvu.PrintArea" localSheetId="21" hidden="1">'8.19'!$B$3:$U$18</definedName>
    <definedName name="Z_8FA8B620_C56C_11DB_A857_00055D5FD5FF_.wvu.PrintArea" localSheetId="22" hidden="1">'8.20'!$B$3:$U$18</definedName>
    <definedName name="Z_8FA8B620_C56C_11DB_A857_00055D5FD5FF_.wvu.PrintArea" localSheetId="23" hidden="1">'8.21'!$B$3:$U$18</definedName>
    <definedName name="Z_8FA8B620_C56C_11DB_A857_00055D5FD5FF_.wvu.PrintArea" localSheetId="24" hidden="1">'8.24'!$B$3:$U$18</definedName>
    <definedName name="Z_8FA8B620_C56C_11DB_A857_00055D5FD5FF_.wvu.PrintArea" localSheetId="25" hidden="1">'8.25'!$B$3:$U$18</definedName>
    <definedName name="Z_8FA8B620_C56C_11DB_A857_00055D5FD5FF_.wvu.PrintArea" localSheetId="26" hidden="1">'8.26'!$B$3:$U$18</definedName>
    <definedName name="Z_8FA8B620_C56C_11DB_A857_00055D5FD5FF_.wvu.PrintArea" localSheetId="27" hidden="1">'8.27'!$B$3:$U$18</definedName>
    <definedName name="Z_8FA8B620_C56C_11DB_A857_00055D5FD5FF_.wvu.PrintArea" localSheetId="28" hidden="1">'8.28'!$B$3:$U$18</definedName>
    <definedName name="Z_8FA8B620_C56C_11DB_A857_00055D5FD5FF_.wvu.PrintArea" localSheetId="9" hidden="1">'8.3'!$B$3:$U$18</definedName>
    <definedName name="Z_8FA8B620_C56C_11DB_A857_00055D5FD5FF_.wvu.PrintArea" localSheetId="29" hidden="1">'8.31'!$B$3:$U$18</definedName>
    <definedName name="Z_8FA8B620_C56C_11DB_A857_00055D5FD5FF_.wvu.PrintArea" localSheetId="10" hidden="1">'8.4'!$B$3:$U$18</definedName>
    <definedName name="Z_8FA8B620_C56C_11DB_A857_00055D5FD5FF_.wvu.PrintArea" localSheetId="11" hidden="1">'8.5'!$B$3:$U$18</definedName>
    <definedName name="Z_8FA8B620_C56C_11DB_A857_00055D5FD5FF_.wvu.PrintArea" localSheetId="12" hidden="1">'8.6'!$B$3:$U$18</definedName>
    <definedName name="Z_8FA8B620_C56C_11DB_A857_00055D5FD5FF_.wvu.PrintArea" localSheetId="13" hidden="1">'8.7'!$B$3:$U$18</definedName>
    <definedName name="Z_8FA8B620_C56C_11DB_A857_00055D5FD5FF_.wvu.PrintArea" localSheetId="4" hidden="1">mm計算!$B$3:$AE$36</definedName>
    <definedName name="Z_A3DB5619_047E_4CE2_8C39_700CFD25F2CB_.wvu.PrintArea" localSheetId="5" hidden="1">'1.30 %計算'!$B$3:$AE$36</definedName>
    <definedName name="Z_A3DB5619_047E_4CE2_8C39_700CFD25F2CB_.wvu.PrintArea" localSheetId="6" hidden="1">'5.29 '!$B$3:$AE$36</definedName>
    <definedName name="Z_A3DB5619_047E_4CE2_8C39_700CFD25F2CB_.wvu.PrintArea" localSheetId="7" hidden="1">'7.31'!$B$3:$U$18</definedName>
    <definedName name="Z_A3DB5619_047E_4CE2_8C39_700CFD25F2CB_.wvu.PrintArea" localSheetId="8" hidden="1">'8.1'!$B$3:$U$18</definedName>
    <definedName name="Z_A3DB5619_047E_4CE2_8C39_700CFD25F2CB_.wvu.PrintArea" localSheetId="14" hidden="1">'8.10'!$B$3:$U$18</definedName>
    <definedName name="Z_A3DB5619_047E_4CE2_8C39_700CFD25F2CB_.wvu.PrintArea" localSheetId="15" hidden="1">'8.11'!$B$3:$U$18</definedName>
    <definedName name="Z_A3DB5619_047E_4CE2_8C39_700CFD25F2CB_.wvu.PrintArea" localSheetId="16" hidden="1">'8.12'!$B$3:$U$18</definedName>
    <definedName name="Z_A3DB5619_047E_4CE2_8C39_700CFD25F2CB_.wvu.PrintArea" localSheetId="17" hidden="1">'8.13'!$B$3:$U$18</definedName>
    <definedName name="Z_A3DB5619_047E_4CE2_8C39_700CFD25F2CB_.wvu.PrintArea" localSheetId="18" hidden="1">'8.14'!$B$3:$U$18</definedName>
    <definedName name="Z_A3DB5619_047E_4CE2_8C39_700CFD25F2CB_.wvu.PrintArea" localSheetId="19" hidden="1">'8.17'!$B$3:$U$18</definedName>
    <definedName name="Z_A3DB5619_047E_4CE2_8C39_700CFD25F2CB_.wvu.PrintArea" localSheetId="20" hidden="1">'8.18'!$B$3:$U$18</definedName>
    <definedName name="Z_A3DB5619_047E_4CE2_8C39_700CFD25F2CB_.wvu.PrintArea" localSheetId="21" hidden="1">'8.19'!$B$3:$U$18</definedName>
    <definedName name="Z_A3DB5619_047E_4CE2_8C39_700CFD25F2CB_.wvu.PrintArea" localSheetId="22" hidden="1">'8.20'!$B$3:$U$18</definedName>
    <definedName name="Z_A3DB5619_047E_4CE2_8C39_700CFD25F2CB_.wvu.PrintArea" localSheetId="23" hidden="1">'8.21'!$B$3:$U$18</definedName>
    <definedName name="Z_A3DB5619_047E_4CE2_8C39_700CFD25F2CB_.wvu.PrintArea" localSheetId="24" hidden="1">'8.24'!$B$3:$U$18</definedName>
    <definedName name="Z_A3DB5619_047E_4CE2_8C39_700CFD25F2CB_.wvu.PrintArea" localSheetId="25" hidden="1">'8.25'!$B$3:$U$18</definedName>
    <definedName name="Z_A3DB5619_047E_4CE2_8C39_700CFD25F2CB_.wvu.PrintArea" localSheetId="26" hidden="1">'8.26'!$B$3:$U$18</definedName>
    <definedName name="Z_A3DB5619_047E_4CE2_8C39_700CFD25F2CB_.wvu.PrintArea" localSheetId="27" hidden="1">'8.27'!$B$3:$U$18</definedName>
    <definedName name="Z_A3DB5619_047E_4CE2_8C39_700CFD25F2CB_.wvu.PrintArea" localSheetId="28" hidden="1">'8.28'!$B$3:$U$18</definedName>
    <definedName name="Z_A3DB5619_047E_4CE2_8C39_700CFD25F2CB_.wvu.PrintArea" localSheetId="9" hidden="1">'8.3'!$B$3:$U$18</definedName>
    <definedName name="Z_A3DB5619_047E_4CE2_8C39_700CFD25F2CB_.wvu.PrintArea" localSheetId="29" hidden="1">'8.31'!$B$3:$U$18</definedName>
    <definedName name="Z_A3DB5619_047E_4CE2_8C39_700CFD25F2CB_.wvu.PrintArea" localSheetId="10" hidden="1">'8.4'!$B$3:$U$18</definedName>
    <definedName name="Z_A3DB5619_047E_4CE2_8C39_700CFD25F2CB_.wvu.PrintArea" localSheetId="11" hidden="1">'8.5'!$B$3:$U$18</definedName>
    <definedName name="Z_A3DB5619_047E_4CE2_8C39_700CFD25F2CB_.wvu.PrintArea" localSheetId="12" hidden="1">'8.6'!$B$3:$U$18</definedName>
    <definedName name="Z_A3DB5619_047E_4CE2_8C39_700CFD25F2CB_.wvu.PrintArea" localSheetId="13" hidden="1">'8.7'!$B$3:$U$18</definedName>
    <definedName name="Z_A3DB5619_047E_4CE2_8C39_700CFD25F2CB_.wvu.PrintArea" localSheetId="4" hidden="1">mm計算!$B$3:$AE$36</definedName>
    <definedName name="Z_D903F940_B812_11DB_B168_0010B575B8B2_.wvu.PrintArea" localSheetId="5" hidden="1">'1.30 %計算'!$B$3:$AE$36</definedName>
    <definedName name="Z_D903F940_B812_11DB_B168_0010B575B8B2_.wvu.PrintArea" localSheetId="6" hidden="1">'5.29 '!$B$3:$AE$36</definedName>
    <definedName name="Z_D903F940_B812_11DB_B168_0010B575B8B2_.wvu.PrintArea" localSheetId="7" hidden="1">'7.31'!$B$3:$U$18</definedName>
    <definedName name="Z_D903F940_B812_11DB_B168_0010B575B8B2_.wvu.PrintArea" localSheetId="8" hidden="1">'8.1'!$B$3:$U$18</definedName>
    <definedName name="Z_D903F940_B812_11DB_B168_0010B575B8B2_.wvu.PrintArea" localSheetId="14" hidden="1">'8.10'!$B$3:$U$18</definedName>
    <definedName name="Z_D903F940_B812_11DB_B168_0010B575B8B2_.wvu.PrintArea" localSheetId="15" hidden="1">'8.11'!$B$3:$U$18</definedName>
    <definedName name="Z_D903F940_B812_11DB_B168_0010B575B8B2_.wvu.PrintArea" localSheetId="16" hidden="1">'8.12'!$B$3:$U$18</definedName>
    <definedName name="Z_D903F940_B812_11DB_B168_0010B575B8B2_.wvu.PrintArea" localSheetId="17" hidden="1">'8.13'!$B$3:$U$18</definedName>
    <definedName name="Z_D903F940_B812_11DB_B168_0010B575B8B2_.wvu.PrintArea" localSheetId="18" hidden="1">'8.14'!$B$3:$U$18</definedName>
    <definedName name="Z_D903F940_B812_11DB_B168_0010B575B8B2_.wvu.PrintArea" localSheetId="19" hidden="1">'8.17'!$B$3:$U$18</definedName>
    <definedName name="Z_D903F940_B812_11DB_B168_0010B575B8B2_.wvu.PrintArea" localSheetId="20" hidden="1">'8.18'!$B$3:$U$18</definedName>
    <definedName name="Z_D903F940_B812_11DB_B168_0010B575B8B2_.wvu.PrintArea" localSheetId="21" hidden="1">'8.19'!$B$3:$U$18</definedName>
    <definedName name="Z_D903F940_B812_11DB_B168_0010B575B8B2_.wvu.PrintArea" localSheetId="22" hidden="1">'8.20'!$B$3:$U$18</definedName>
    <definedName name="Z_D903F940_B812_11DB_B168_0010B575B8B2_.wvu.PrintArea" localSheetId="23" hidden="1">'8.21'!$B$3:$U$18</definedName>
    <definedName name="Z_D903F940_B812_11DB_B168_0010B575B8B2_.wvu.PrintArea" localSheetId="24" hidden="1">'8.24'!$B$3:$U$18</definedName>
    <definedName name="Z_D903F940_B812_11DB_B168_0010B575B8B2_.wvu.PrintArea" localSheetId="25" hidden="1">'8.25'!$B$3:$U$18</definedName>
    <definedName name="Z_D903F940_B812_11DB_B168_0010B575B8B2_.wvu.PrintArea" localSheetId="26" hidden="1">'8.26'!$B$3:$U$18</definedName>
    <definedName name="Z_D903F940_B812_11DB_B168_0010B575B8B2_.wvu.PrintArea" localSheetId="27" hidden="1">'8.27'!$B$3:$U$18</definedName>
    <definedName name="Z_D903F940_B812_11DB_B168_0010B575B8B2_.wvu.PrintArea" localSheetId="28" hidden="1">'8.28'!$B$3:$U$18</definedName>
    <definedName name="Z_D903F940_B812_11DB_B168_0010B575B8B2_.wvu.PrintArea" localSheetId="9" hidden="1">'8.3'!$B$3:$U$18</definedName>
    <definedName name="Z_D903F940_B812_11DB_B168_0010B575B8B2_.wvu.PrintArea" localSheetId="29" hidden="1">'8.31'!$B$3:$U$18</definedName>
    <definedName name="Z_D903F940_B812_11DB_B168_0010B575B8B2_.wvu.PrintArea" localSheetId="10" hidden="1">'8.4'!$B$3:$U$18</definedName>
    <definedName name="Z_D903F940_B812_11DB_B168_0010B575B8B2_.wvu.PrintArea" localSheetId="11" hidden="1">'8.5'!$B$3:$U$18</definedName>
    <definedName name="Z_D903F940_B812_11DB_B168_0010B575B8B2_.wvu.PrintArea" localSheetId="12" hidden="1">'8.6'!$B$3:$U$18</definedName>
    <definedName name="Z_D903F940_B812_11DB_B168_0010B575B8B2_.wvu.PrintArea" localSheetId="13" hidden="1">'8.7'!$B$3:$U$18</definedName>
    <definedName name="Z_D903F940_B812_11DB_B168_0010B575B8B2_.wvu.PrintArea" localSheetId="4" hidden="1">mm計算!$B$3:$AE$36</definedName>
    <definedName name="取樣回收每月庫存表" localSheetId="5" hidden="1">'1.30 %計算'!#REF!</definedName>
    <definedName name="取樣回收每月庫存表" localSheetId="6" hidden="1">'5.29 '!#REF!</definedName>
    <definedName name="取樣回收每月庫存表" localSheetId="7" hidden="1">'7.31'!#REF!</definedName>
    <definedName name="取樣回收每月庫存表" localSheetId="8" hidden="1">'8.1'!#REF!</definedName>
    <definedName name="取樣回收每月庫存表" localSheetId="14" hidden="1">'8.10'!#REF!</definedName>
    <definedName name="取樣回收每月庫存表" localSheetId="15" hidden="1">'8.11'!#REF!</definedName>
    <definedName name="取樣回收每月庫存表" localSheetId="16" hidden="1">'8.12'!#REF!</definedName>
    <definedName name="取樣回收每月庫存表" localSheetId="17" hidden="1">'8.13'!#REF!</definedName>
    <definedName name="取樣回收每月庫存表" localSheetId="18" hidden="1">'8.14'!#REF!</definedName>
    <definedName name="取樣回收每月庫存表" localSheetId="19" hidden="1">'8.17'!#REF!</definedName>
    <definedName name="取樣回收每月庫存表" localSheetId="20" hidden="1">'8.18'!#REF!</definedName>
    <definedName name="取樣回收每月庫存表" localSheetId="21" hidden="1">'8.19'!#REF!</definedName>
    <definedName name="取樣回收每月庫存表" localSheetId="22" hidden="1">'8.20'!#REF!</definedName>
    <definedName name="取樣回收每月庫存表" localSheetId="23" hidden="1">'8.21'!#REF!</definedName>
    <definedName name="取樣回收每月庫存表" localSheetId="24" hidden="1">'8.24'!#REF!</definedName>
    <definedName name="取樣回收每月庫存表" localSheetId="25" hidden="1">'8.25'!#REF!</definedName>
    <definedName name="取樣回收每月庫存表" localSheetId="26" hidden="1">'8.26'!#REF!</definedName>
    <definedName name="取樣回收每月庫存表" localSheetId="27" hidden="1">'8.27'!#REF!</definedName>
    <definedName name="取樣回收每月庫存表" localSheetId="28" hidden="1">'8.28'!#REF!</definedName>
    <definedName name="取樣回收每月庫存表" localSheetId="9" hidden="1">'8.3'!#REF!</definedName>
    <definedName name="取樣回收每月庫存表" localSheetId="29" hidden="1">'8.31'!#REF!</definedName>
    <definedName name="取樣回收每月庫存表" localSheetId="10" hidden="1">'8.4'!#REF!</definedName>
    <definedName name="取樣回收每月庫存表" localSheetId="11" hidden="1">'8.5'!#REF!</definedName>
    <definedName name="取樣回收每月庫存表" localSheetId="12" hidden="1">'8.6'!#REF!</definedName>
    <definedName name="取樣回收每月庫存表" localSheetId="13" hidden="1">'8.7'!#REF!</definedName>
    <definedName name="取樣回收每月庫存表" localSheetId="4" hidden="1">mm計算!#REF!</definedName>
    <definedName name="取樣回收每月庫存表_0620更新" localSheetId="5" hidden="1">'1.30 %計算'!#REF!</definedName>
    <definedName name="取樣回收每月庫存表_0620更新" localSheetId="6" hidden="1">'5.29 '!#REF!</definedName>
    <definedName name="取樣回收每月庫存表_0620更新" localSheetId="7" hidden="1">'7.31'!#REF!</definedName>
    <definedName name="取樣回收每月庫存表_0620更新" localSheetId="8" hidden="1">'8.1'!#REF!</definedName>
    <definedName name="取樣回收每月庫存表_0620更新" localSheetId="14" hidden="1">'8.10'!#REF!</definedName>
    <definedName name="取樣回收每月庫存表_0620更新" localSheetId="15" hidden="1">'8.11'!#REF!</definedName>
    <definedName name="取樣回收每月庫存表_0620更新" localSheetId="16" hidden="1">'8.12'!#REF!</definedName>
    <definedName name="取樣回收每月庫存表_0620更新" localSheetId="17" hidden="1">'8.13'!#REF!</definedName>
    <definedName name="取樣回收每月庫存表_0620更新" localSheetId="18" hidden="1">'8.14'!#REF!</definedName>
    <definedName name="取樣回收每月庫存表_0620更新" localSheetId="19" hidden="1">'8.17'!#REF!</definedName>
    <definedName name="取樣回收每月庫存表_0620更新" localSheetId="20" hidden="1">'8.18'!#REF!</definedName>
    <definedName name="取樣回收每月庫存表_0620更新" localSheetId="21" hidden="1">'8.19'!#REF!</definedName>
    <definedName name="取樣回收每月庫存表_0620更新" localSheetId="22" hidden="1">'8.20'!#REF!</definedName>
    <definedName name="取樣回收每月庫存表_0620更新" localSheetId="23" hidden="1">'8.21'!#REF!</definedName>
    <definedName name="取樣回收每月庫存表_0620更新" localSheetId="24" hidden="1">'8.24'!#REF!</definedName>
    <definedName name="取樣回收每月庫存表_0620更新" localSheetId="25" hidden="1">'8.25'!#REF!</definedName>
    <definedName name="取樣回收每月庫存表_0620更新" localSheetId="26" hidden="1">'8.26'!#REF!</definedName>
    <definedName name="取樣回收每月庫存表_0620更新" localSheetId="27" hidden="1">'8.27'!#REF!</definedName>
    <definedName name="取樣回收每月庫存表_0620更新" localSheetId="28" hidden="1">'8.28'!#REF!</definedName>
    <definedName name="取樣回收每月庫存表_0620更新" localSheetId="9" hidden="1">'8.3'!#REF!</definedName>
    <definedName name="取樣回收每月庫存表_0620更新" localSheetId="29" hidden="1">'8.31'!#REF!</definedName>
    <definedName name="取樣回收每月庫存表_0620更新" localSheetId="10" hidden="1">'8.4'!#REF!</definedName>
    <definedName name="取樣回收每月庫存表_0620更新" localSheetId="11" hidden="1">'8.5'!#REF!</definedName>
    <definedName name="取樣回收每月庫存表_0620更新" localSheetId="12" hidden="1">'8.6'!#REF!</definedName>
    <definedName name="取樣回收每月庫存表_0620更新" localSheetId="13" hidden="1">'8.7'!#REF!</definedName>
    <definedName name="取樣回收每月庫存表_0620更新" localSheetId="4" hidden="1">mm計算!#REF!</definedName>
    <definedName name="複本_14_取樣回收每月庫存表" localSheetId="5" hidden="1">'1.30 %計算'!#REF!</definedName>
    <definedName name="複本_14_取樣回收每月庫存表" localSheetId="6" hidden="1">'5.29 '!#REF!</definedName>
    <definedName name="複本_14_取樣回收每月庫存表" localSheetId="7" hidden="1">'7.31'!#REF!</definedName>
    <definedName name="複本_14_取樣回收每月庫存表" localSheetId="8" hidden="1">'8.1'!#REF!</definedName>
    <definedName name="複本_14_取樣回收每月庫存表" localSheetId="14" hidden="1">'8.10'!#REF!</definedName>
    <definedName name="複本_14_取樣回收每月庫存表" localSheetId="15" hidden="1">'8.11'!#REF!</definedName>
    <definedName name="複本_14_取樣回收每月庫存表" localSheetId="16" hidden="1">'8.12'!#REF!</definedName>
    <definedName name="複本_14_取樣回收每月庫存表" localSheetId="17" hidden="1">'8.13'!#REF!</definedName>
    <definedName name="複本_14_取樣回收每月庫存表" localSheetId="18" hidden="1">'8.14'!#REF!</definedName>
    <definedName name="複本_14_取樣回收每月庫存表" localSheetId="19" hidden="1">'8.17'!#REF!</definedName>
    <definedName name="複本_14_取樣回收每月庫存表" localSheetId="20" hidden="1">'8.18'!#REF!</definedName>
    <definedName name="複本_14_取樣回收每月庫存表" localSheetId="21" hidden="1">'8.19'!#REF!</definedName>
    <definedName name="複本_14_取樣回收每月庫存表" localSheetId="22" hidden="1">'8.20'!#REF!</definedName>
    <definedName name="複本_14_取樣回收每月庫存表" localSheetId="23" hidden="1">'8.21'!#REF!</definedName>
    <definedName name="複本_14_取樣回收每月庫存表" localSheetId="24" hidden="1">'8.24'!#REF!</definedName>
    <definedName name="複本_14_取樣回收每月庫存表" localSheetId="25" hidden="1">'8.25'!#REF!</definedName>
    <definedName name="複本_14_取樣回收每月庫存表" localSheetId="26" hidden="1">'8.26'!#REF!</definedName>
    <definedName name="複本_14_取樣回收每月庫存表" localSheetId="27" hidden="1">'8.27'!#REF!</definedName>
    <definedName name="複本_14_取樣回收每月庫存表" localSheetId="28" hidden="1">'8.28'!#REF!</definedName>
    <definedName name="複本_14_取樣回收每月庫存表" localSheetId="9" hidden="1">'8.3'!#REF!</definedName>
    <definedName name="複本_14_取樣回收每月庫存表" localSheetId="29" hidden="1">'8.31'!#REF!</definedName>
    <definedName name="複本_14_取樣回收每月庫存表" localSheetId="10" hidden="1">'8.4'!#REF!</definedName>
    <definedName name="複本_14_取樣回收每月庫存表" localSheetId="11" hidden="1">'8.5'!#REF!</definedName>
    <definedName name="複本_14_取樣回收每月庫存表" localSheetId="12" hidden="1">'8.6'!#REF!</definedName>
    <definedName name="複本_14_取樣回收每月庫存表" localSheetId="13" hidden="1">'8.7'!#REF!</definedName>
    <definedName name="複本_14_取樣回收每月庫存表" localSheetId="4" hidden="1">mm計算!#REF!</definedName>
  </definedNames>
  <calcPr calcId="162913"/>
</workbook>
</file>

<file path=xl/calcChain.xml><?xml version="1.0" encoding="utf-8"?>
<calcChain xmlns="http://schemas.openxmlformats.org/spreadsheetml/2006/main">
  <c r="P10" i="2237" l="1"/>
  <c r="O10" i="2237"/>
  <c r="N10" i="2237"/>
  <c r="M10" i="2237"/>
  <c r="L10" i="2237"/>
  <c r="K10" i="2237"/>
  <c r="E15" i="2237" s="1"/>
  <c r="J10" i="2237"/>
  <c r="I10" i="2237"/>
  <c r="H10" i="2237"/>
  <c r="G10" i="2237"/>
  <c r="F10" i="2237"/>
  <c r="E10" i="2237"/>
  <c r="D10" i="2237"/>
  <c r="P7" i="2237"/>
  <c r="O7" i="2237"/>
  <c r="N7" i="2237"/>
  <c r="M7" i="2237"/>
  <c r="L7" i="2237"/>
  <c r="K7" i="2237"/>
  <c r="J7" i="2237"/>
  <c r="I7" i="2237"/>
  <c r="H7" i="2237"/>
  <c r="G7" i="2237"/>
  <c r="F7" i="2237"/>
  <c r="E7" i="2237"/>
  <c r="D7" i="2237"/>
  <c r="D15" i="2237" l="1"/>
  <c r="F15" i="2237"/>
  <c r="P10" i="2236"/>
  <c r="O10" i="2236"/>
  <c r="D15" i="2236" s="1"/>
  <c r="N10" i="2236"/>
  <c r="M10" i="2236"/>
  <c r="L10" i="2236"/>
  <c r="F15" i="2236" s="1"/>
  <c r="K10" i="2236"/>
  <c r="J10" i="2236"/>
  <c r="I10" i="2236"/>
  <c r="H10" i="2236"/>
  <c r="G10" i="2236"/>
  <c r="F10" i="2236"/>
  <c r="E10" i="2236"/>
  <c r="D10" i="2236"/>
  <c r="P7" i="2236"/>
  <c r="O7" i="2236"/>
  <c r="N7" i="2236"/>
  <c r="M7" i="2236"/>
  <c r="L7" i="2236"/>
  <c r="K7" i="2236"/>
  <c r="J7" i="2236"/>
  <c r="I7" i="2236"/>
  <c r="H7" i="2236"/>
  <c r="G7" i="2236"/>
  <c r="F7" i="2236"/>
  <c r="E7" i="2236"/>
  <c r="D7" i="2236"/>
  <c r="E15" i="2236" l="1"/>
  <c r="P10" i="2235"/>
  <c r="O10" i="2235"/>
  <c r="D15" i="2235" s="1"/>
  <c r="N10" i="2235"/>
  <c r="M10" i="2235"/>
  <c r="L10" i="2235"/>
  <c r="F15" i="2235" s="1"/>
  <c r="K10" i="2235"/>
  <c r="J10" i="2235"/>
  <c r="I10" i="2235"/>
  <c r="H10" i="2235"/>
  <c r="G10" i="2235"/>
  <c r="F10" i="2235"/>
  <c r="E10" i="2235"/>
  <c r="D10" i="2235"/>
  <c r="P7" i="2235"/>
  <c r="O7" i="2235"/>
  <c r="N7" i="2235"/>
  <c r="M7" i="2235"/>
  <c r="L7" i="2235"/>
  <c r="K7" i="2235"/>
  <c r="J7" i="2235"/>
  <c r="I7" i="2235"/>
  <c r="H7" i="2235"/>
  <c r="G7" i="2235"/>
  <c r="F7" i="2235"/>
  <c r="E7" i="2235"/>
  <c r="D7" i="2235"/>
  <c r="P10" i="2234"/>
  <c r="O10" i="2234"/>
  <c r="D15" i="2234" s="1"/>
  <c r="N10" i="2234"/>
  <c r="M10" i="2234"/>
  <c r="L10" i="2234"/>
  <c r="F15" i="2234" s="1"/>
  <c r="K10" i="2234"/>
  <c r="J10" i="2234"/>
  <c r="I10" i="2234"/>
  <c r="H10" i="2234"/>
  <c r="G10" i="2234"/>
  <c r="F10" i="2234"/>
  <c r="E10" i="2234"/>
  <c r="D10" i="2234"/>
  <c r="P7" i="2234"/>
  <c r="O7" i="2234"/>
  <c r="N7" i="2234"/>
  <c r="M7" i="2234"/>
  <c r="L7" i="2234"/>
  <c r="K7" i="2234"/>
  <c r="J7" i="2234"/>
  <c r="I7" i="2234"/>
  <c r="H7" i="2234"/>
  <c r="G7" i="2234"/>
  <c r="F7" i="2234"/>
  <c r="E7" i="2234"/>
  <c r="D7" i="2234"/>
  <c r="P10" i="2233"/>
  <c r="O10" i="2233"/>
  <c r="N10" i="2233"/>
  <c r="M10" i="2233"/>
  <c r="L10" i="2233"/>
  <c r="K10" i="2233"/>
  <c r="J10" i="2233"/>
  <c r="I10" i="2233"/>
  <c r="H10" i="2233"/>
  <c r="G10" i="2233"/>
  <c r="F10" i="2233"/>
  <c r="E10" i="2233"/>
  <c r="D10" i="2233"/>
  <c r="P7" i="2233"/>
  <c r="O7" i="2233"/>
  <c r="N7" i="2233"/>
  <c r="M7" i="2233"/>
  <c r="L7" i="2233"/>
  <c r="K7" i="2233"/>
  <c r="J7" i="2233"/>
  <c r="I7" i="2233"/>
  <c r="H7" i="2233"/>
  <c r="G7" i="2233"/>
  <c r="F7" i="2233"/>
  <c r="E7" i="2233"/>
  <c r="D7" i="2233"/>
  <c r="O10" i="2214"/>
  <c r="O10" i="2213"/>
  <c r="E15" i="2235" l="1"/>
  <c r="E15" i="2234"/>
  <c r="D15" i="2233"/>
  <c r="F15" i="2233"/>
  <c r="E15" i="2233"/>
  <c r="P10" i="2214"/>
  <c r="D15" i="2214"/>
  <c r="N10" i="2214"/>
  <c r="M10" i="2214"/>
  <c r="L10" i="2214"/>
  <c r="F15" i="2214" s="1"/>
  <c r="K10" i="2214"/>
  <c r="J10" i="2214"/>
  <c r="I10" i="2214"/>
  <c r="H10" i="2214"/>
  <c r="G10" i="2214"/>
  <c r="F10" i="2214"/>
  <c r="E10" i="2214"/>
  <c r="D10" i="2214"/>
  <c r="P7" i="2214"/>
  <c r="O7" i="2214"/>
  <c r="N7" i="2214"/>
  <c r="M7" i="2214"/>
  <c r="L7" i="2214"/>
  <c r="K7" i="2214"/>
  <c r="J7" i="2214"/>
  <c r="I7" i="2214"/>
  <c r="H7" i="2214"/>
  <c r="G7" i="2214"/>
  <c r="F7" i="2214"/>
  <c r="E7" i="2214"/>
  <c r="D7" i="2214"/>
  <c r="P10" i="2213"/>
  <c r="N10" i="2213"/>
  <c r="M10" i="2213"/>
  <c r="L10" i="2213"/>
  <c r="F15" i="2213" s="1"/>
  <c r="K10" i="2213"/>
  <c r="J10" i="2213"/>
  <c r="I10" i="2213"/>
  <c r="H10" i="2213"/>
  <c r="G10" i="2213"/>
  <c r="F10" i="2213"/>
  <c r="E10" i="2213"/>
  <c r="D10" i="2213"/>
  <c r="P7" i="2213"/>
  <c r="O7" i="2213"/>
  <c r="N7" i="2213"/>
  <c r="M7" i="2213"/>
  <c r="L7" i="2213"/>
  <c r="K7" i="2213"/>
  <c r="J7" i="2213"/>
  <c r="I7" i="2213"/>
  <c r="H7" i="2213"/>
  <c r="G7" i="2213"/>
  <c r="F7" i="2213"/>
  <c r="E7" i="2213"/>
  <c r="D7" i="2213"/>
  <c r="E15" i="2212"/>
  <c r="P10" i="2212"/>
  <c r="O10" i="2212"/>
  <c r="N10" i="2212"/>
  <c r="M10" i="2212"/>
  <c r="L10" i="2212"/>
  <c r="K10" i="2212"/>
  <c r="J10" i="2212"/>
  <c r="I10" i="2212"/>
  <c r="H10" i="2212"/>
  <c r="G10" i="2212"/>
  <c r="F10" i="2212"/>
  <c r="E10" i="2212"/>
  <c r="D10" i="2212"/>
  <c r="P7" i="2212"/>
  <c r="O7" i="2212"/>
  <c r="N7" i="2212"/>
  <c r="M7" i="2212"/>
  <c r="L7" i="2212"/>
  <c r="K7" i="2212"/>
  <c r="J7" i="2212"/>
  <c r="I7" i="2212"/>
  <c r="H7" i="2212"/>
  <c r="G7" i="2212"/>
  <c r="F7" i="2212"/>
  <c r="E7" i="2212"/>
  <c r="D7" i="2212"/>
  <c r="P10" i="2211"/>
  <c r="O10" i="2211"/>
  <c r="D15" i="2211" s="1"/>
  <c r="N10" i="2211"/>
  <c r="M10" i="2211"/>
  <c r="L10" i="2211"/>
  <c r="F15" i="2211" s="1"/>
  <c r="K10" i="2211"/>
  <c r="J10" i="2211"/>
  <c r="I10" i="2211"/>
  <c r="H10" i="2211"/>
  <c r="G10" i="2211"/>
  <c r="F10" i="2211"/>
  <c r="E10" i="2211"/>
  <c r="D10" i="2211"/>
  <c r="P7" i="2211"/>
  <c r="O7" i="2211"/>
  <c r="N7" i="2211"/>
  <c r="M7" i="2211"/>
  <c r="L7" i="2211"/>
  <c r="K7" i="2211"/>
  <c r="J7" i="2211"/>
  <c r="I7" i="2211"/>
  <c r="H7" i="2211"/>
  <c r="G7" i="2211"/>
  <c r="F7" i="2211"/>
  <c r="E7" i="2211"/>
  <c r="D7" i="2211"/>
  <c r="P10" i="2210"/>
  <c r="O10" i="2210"/>
  <c r="D15" i="2210" s="1"/>
  <c r="N10" i="2210"/>
  <c r="M10" i="2210"/>
  <c r="L10" i="2210"/>
  <c r="K10" i="2210"/>
  <c r="J10" i="2210"/>
  <c r="I10" i="2210"/>
  <c r="H10" i="2210"/>
  <c r="G10" i="2210"/>
  <c r="F10" i="2210"/>
  <c r="E10" i="2210"/>
  <c r="D10" i="2210"/>
  <c r="P7" i="2210"/>
  <c r="O7" i="2210"/>
  <c r="N7" i="2210"/>
  <c r="M7" i="2210"/>
  <c r="L7" i="2210"/>
  <c r="K7" i="2210"/>
  <c r="J7" i="2210"/>
  <c r="I7" i="2210"/>
  <c r="H7" i="2210"/>
  <c r="G7" i="2210"/>
  <c r="F7" i="2210"/>
  <c r="E7" i="2210"/>
  <c r="D7" i="2210"/>
  <c r="P10" i="2209"/>
  <c r="O10" i="2209"/>
  <c r="D15" i="2209" s="1"/>
  <c r="N10" i="2209"/>
  <c r="M10" i="2209"/>
  <c r="L10" i="2209"/>
  <c r="F15" i="2209" s="1"/>
  <c r="K10" i="2209"/>
  <c r="J10" i="2209"/>
  <c r="I10" i="2209"/>
  <c r="H10" i="2209"/>
  <c r="G10" i="2209"/>
  <c r="F10" i="2209"/>
  <c r="E10" i="2209"/>
  <c r="D10" i="2209"/>
  <c r="P7" i="2209"/>
  <c r="O7" i="2209"/>
  <c r="N7" i="2209"/>
  <c r="M7" i="2209"/>
  <c r="L7" i="2209"/>
  <c r="K7" i="2209"/>
  <c r="J7" i="2209"/>
  <c r="I7" i="2209"/>
  <c r="H7" i="2209"/>
  <c r="G7" i="2209"/>
  <c r="F7" i="2209"/>
  <c r="E7" i="2209"/>
  <c r="D7" i="2209"/>
  <c r="E15" i="2214" l="1"/>
  <c r="D15" i="2213"/>
  <c r="E15" i="2213"/>
  <c r="D15" i="2212"/>
  <c r="F15" i="2212"/>
  <c r="E15" i="2211"/>
  <c r="F15" i="2210"/>
  <c r="E15" i="2210"/>
  <c r="E15" i="2209"/>
  <c r="P10" i="2208"/>
  <c r="O10" i="2208"/>
  <c r="D15" i="2208" s="1"/>
  <c r="N10" i="2208"/>
  <c r="M10" i="2208"/>
  <c r="L10" i="2208"/>
  <c r="F15" i="2208" s="1"/>
  <c r="K10" i="2208"/>
  <c r="J10" i="2208"/>
  <c r="I10" i="2208"/>
  <c r="H10" i="2208"/>
  <c r="G10" i="2208"/>
  <c r="F10" i="2208"/>
  <c r="E10" i="2208"/>
  <c r="D10" i="2208"/>
  <c r="P7" i="2208"/>
  <c r="O7" i="2208"/>
  <c r="N7" i="2208"/>
  <c r="M7" i="2208"/>
  <c r="L7" i="2208"/>
  <c r="K7" i="2208"/>
  <c r="J7" i="2208"/>
  <c r="I7" i="2208"/>
  <c r="H7" i="2208"/>
  <c r="G7" i="2208"/>
  <c r="F7" i="2208"/>
  <c r="E7" i="2208"/>
  <c r="D7" i="2208"/>
  <c r="E15" i="2208" l="1"/>
  <c r="P10" i="2207"/>
  <c r="O10" i="2207"/>
  <c r="N10" i="2207"/>
  <c r="M10" i="2207"/>
  <c r="L10" i="2207"/>
  <c r="K10" i="2207"/>
  <c r="J10" i="2207"/>
  <c r="I10" i="2207"/>
  <c r="H10" i="2207"/>
  <c r="G10" i="2207"/>
  <c r="F10" i="2207"/>
  <c r="E10" i="2207"/>
  <c r="D10" i="2207"/>
  <c r="P7" i="2207"/>
  <c r="O7" i="2207"/>
  <c r="N7" i="2207"/>
  <c r="M7" i="2207"/>
  <c r="L7" i="2207"/>
  <c r="K7" i="2207"/>
  <c r="J7" i="2207"/>
  <c r="I7" i="2207"/>
  <c r="H7" i="2207"/>
  <c r="G7" i="2207"/>
  <c r="F7" i="2207"/>
  <c r="E7" i="2207"/>
  <c r="D7" i="2207"/>
  <c r="D15" i="2207" l="1"/>
  <c r="F15" i="2207"/>
  <c r="E15" i="2207"/>
  <c r="P10" i="2206"/>
  <c r="O10" i="2206"/>
  <c r="N10" i="2206"/>
  <c r="M10" i="2206"/>
  <c r="L10" i="2206"/>
  <c r="K10" i="2206"/>
  <c r="J10" i="2206"/>
  <c r="I10" i="2206"/>
  <c r="H10" i="2206"/>
  <c r="E15" i="2206" s="1"/>
  <c r="G10" i="2206"/>
  <c r="F10" i="2206"/>
  <c r="E10" i="2206"/>
  <c r="D10" i="2206"/>
  <c r="P7" i="2206"/>
  <c r="O7" i="2206"/>
  <c r="N7" i="2206"/>
  <c r="M7" i="2206"/>
  <c r="L7" i="2206"/>
  <c r="K7" i="2206"/>
  <c r="J7" i="2206"/>
  <c r="I7" i="2206"/>
  <c r="H7" i="2206"/>
  <c r="G7" i="2206"/>
  <c r="F7" i="2206"/>
  <c r="E7" i="2206"/>
  <c r="D7" i="2206"/>
  <c r="D15" i="2206" l="1"/>
  <c r="F15" i="2206"/>
  <c r="P10" i="2205"/>
  <c r="O10" i="2205"/>
  <c r="D15" i="2205" s="1"/>
  <c r="N10" i="2205"/>
  <c r="M10" i="2205"/>
  <c r="L10" i="2205"/>
  <c r="K10" i="2205"/>
  <c r="J10" i="2205"/>
  <c r="I10" i="2205"/>
  <c r="H10" i="2205"/>
  <c r="G10" i="2205"/>
  <c r="F10" i="2205"/>
  <c r="E10" i="2205"/>
  <c r="D10" i="2205"/>
  <c r="P7" i="2205"/>
  <c r="O7" i="2205"/>
  <c r="N7" i="2205"/>
  <c r="M7" i="2205"/>
  <c r="L7" i="2205"/>
  <c r="K7" i="2205"/>
  <c r="J7" i="2205"/>
  <c r="I7" i="2205"/>
  <c r="H7" i="2205"/>
  <c r="G7" i="2205"/>
  <c r="F7" i="2205"/>
  <c r="E7" i="2205"/>
  <c r="D7" i="2205"/>
  <c r="F15" i="2205" l="1"/>
  <c r="E15" i="2205"/>
  <c r="P10" i="2204"/>
  <c r="O10" i="2204"/>
  <c r="D15" i="2204" s="1"/>
  <c r="N10" i="2204"/>
  <c r="M10" i="2204"/>
  <c r="L10" i="2204"/>
  <c r="K10" i="2204"/>
  <c r="J10" i="2204"/>
  <c r="I10" i="2204"/>
  <c r="H10" i="2204"/>
  <c r="G10" i="2204"/>
  <c r="F10" i="2204"/>
  <c r="E10" i="2204"/>
  <c r="D10" i="2204"/>
  <c r="P7" i="2204"/>
  <c r="O7" i="2204"/>
  <c r="N7" i="2204"/>
  <c r="M7" i="2204"/>
  <c r="L7" i="2204"/>
  <c r="K7" i="2204"/>
  <c r="J7" i="2204"/>
  <c r="I7" i="2204"/>
  <c r="H7" i="2204"/>
  <c r="G7" i="2204"/>
  <c r="F7" i="2204"/>
  <c r="E7" i="2204"/>
  <c r="D7" i="2204"/>
  <c r="P10" i="2203"/>
  <c r="O10" i="2203"/>
  <c r="N10" i="2203"/>
  <c r="M10" i="2203"/>
  <c r="L10" i="2203"/>
  <c r="F15" i="2203" s="1"/>
  <c r="K10" i="2203"/>
  <c r="J10" i="2203"/>
  <c r="I10" i="2203"/>
  <c r="H10" i="2203"/>
  <c r="G10" i="2203"/>
  <c r="F10" i="2203"/>
  <c r="E10" i="2203"/>
  <c r="D10" i="2203"/>
  <c r="P7" i="2203"/>
  <c r="O7" i="2203"/>
  <c r="N7" i="2203"/>
  <c r="M7" i="2203"/>
  <c r="L7" i="2203"/>
  <c r="K7" i="2203"/>
  <c r="J7" i="2203"/>
  <c r="I7" i="2203"/>
  <c r="H7" i="2203"/>
  <c r="G7" i="2203"/>
  <c r="F7" i="2203"/>
  <c r="E7" i="2203"/>
  <c r="D7" i="2203"/>
  <c r="P10" i="2202"/>
  <c r="O10" i="2202"/>
  <c r="D15" i="2202" s="1"/>
  <c r="N10" i="2202"/>
  <c r="M10" i="2202"/>
  <c r="L10" i="2202"/>
  <c r="K10" i="2202"/>
  <c r="J10" i="2202"/>
  <c r="I10" i="2202"/>
  <c r="H10" i="2202"/>
  <c r="G10" i="2202"/>
  <c r="F10" i="2202"/>
  <c r="E10" i="2202"/>
  <c r="D10" i="2202"/>
  <c r="P7" i="2202"/>
  <c r="O7" i="2202"/>
  <c r="N7" i="2202"/>
  <c r="M7" i="2202"/>
  <c r="L7" i="2202"/>
  <c r="K7" i="2202"/>
  <c r="J7" i="2202"/>
  <c r="I7" i="2202"/>
  <c r="H7" i="2202"/>
  <c r="G7" i="2202"/>
  <c r="F7" i="2202"/>
  <c r="E7" i="2202"/>
  <c r="D7" i="2202"/>
  <c r="P10" i="2201"/>
  <c r="O10" i="2201"/>
  <c r="D15" i="2201" s="1"/>
  <c r="N10" i="2201"/>
  <c r="M10" i="2201"/>
  <c r="L10" i="2201"/>
  <c r="K10" i="2201"/>
  <c r="J10" i="2201"/>
  <c r="I10" i="2201"/>
  <c r="H10" i="2201"/>
  <c r="G10" i="2201"/>
  <c r="F10" i="2201"/>
  <c r="E10" i="2201"/>
  <c r="D10" i="2201"/>
  <c r="P7" i="2201"/>
  <c r="O7" i="2201"/>
  <c r="N7" i="2201"/>
  <c r="M7" i="2201"/>
  <c r="L7" i="2201"/>
  <c r="K7" i="2201"/>
  <c r="J7" i="2201"/>
  <c r="I7" i="2201"/>
  <c r="H7" i="2201"/>
  <c r="G7" i="2201"/>
  <c r="F7" i="2201"/>
  <c r="E7" i="2201"/>
  <c r="D7" i="2201"/>
  <c r="P10" i="2200"/>
  <c r="O10" i="2200"/>
  <c r="D15" i="2200" s="1"/>
  <c r="N10" i="2200"/>
  <c r="F15" i="2200" s="1"/>
  <c r="M10" i="2200"/>
  <c r="L10" i="2200"/>
  <c r="K10" i="2200"/>
  <c r="J10" i="2200"/>
  <c r="I10" i="2200"/>
  <c r="H10" i="2200"/>
  <c r="G10" i="2200"/>
  <c r="F10" i="2200"/>
  <c r="E10" i="2200"/>
  <c r="D10" i="2200"/>
  <c r="P7" i="2200"/>
  <c r="O7" i="2200"/>
  <c r="N7" i="2200"/>
  <c r="M7" i="2200"/>
  <c r="L7" i="2200"/>
  <c r="K7" i="2200"/>
  <c r="J7" i="2200"/>
  <c r="I7" i="2200"/>
  <c r="H7" i="2200"/>
  <c r="G7" i="2200"/>
  <c r="F7" i="2200"/>
  <c r="E7" i="2200"/>
  <c r="D7" i="2200"/>
  <c r="F15" i="2204" l="1"/>
  <c r="E15" i="2204"/>
  <c r="D15" i="2203"/>
  <c r="E15" i="2203"/>
  <c r="F15" i="2202"/>
  <c r="E15" i="2202"/>
  <c r="F15" i="2201"/>
  <c r="E15" i="2201"/>
  <c r="E15" i="2200"/>
  <c r="P10" i="2199"/>
  <c r="O10" i="2199"/>
  <c r="N10" i="2199"/>
  <c r="M10" i="2199"/>
  <c r="L10" i="2199"/>
  <c r="K10" i="2199"/>
  <c r="J10" i="2199"/>
  <c r="I10" i="2199"/>
  <c r="H10" i="2199"/>
  <c r="G10" i="2199"/>
  <c r="F10" i="2199"/>
  <c r="E10" i="2199"/>
  <c r="D10" i="2199"/>
  <c r="P7" i="2199"/>
  <c r="O7" i="2199"/>
  <c r="N7" i="2199"/>
  <c r="M7" i="2199"/>
  <c r="L7" i="2199"/>
  <c r="K7" i="2199"/>
  <c r="J7" i="2199"/>
  <c r="I7" i="2199"/>
  <c r="H7" i="2199"/>
  <c r="G7" i="2199"/>
  <c r="F7" i="2199"/>
  <c r="E7" i="2199"/>
  <c r="D7" i="2199"/>
  <c r="D15" i="2199" l="1"/>
  <c r="F15" i="2199"/>
  <c r="E15" i="2199"/>
  <c r="F15" i="2198"/>
  <c r="P10" i="2198"/>
  <c r="O10" i="2198"/>
  <c r="D15" i="2198" s="1"/>
  <c r="N10" i="2198"/>
  <c r="M10" i="2198"/>
  <c r="L10" i="2198"/>
  <c r="K10" i="2198"/>
  <c r="J10" i="2198"/>
  <c r="I10" i="2198"/>
  <c r="H10" i="2198"/>
  <c r="E15" i="2198" s="1"/>
  <c r="G10" i="2198"/>
  <c r="F10" i="2198"/>
  <c r="E10" i="2198"/>
  <c r="D10" i="2198"/>
  <c r="P7" i="2198"/>
  <c r="O7" i="2198"/>
  <c r="N7" i="2198"/>
  <c r="M7" i="2198"/>
  <c r="L7" i="2198"/>
  <c r="K7" i="2198"/>
  <c r="J7" i="2198"/>
  <c r="I7" i="2198"/>
  <c r="H7" i="2198"/>
  <c r="G7" i="2198"/>
  <c r="F7" i="2198"/>
  <c r="E7" i="2198"/>
  <c r="D7" i="2198"/>
  <c r="P10" i="2197" l="1"/>
  <c r="O10" i="2197"/>
  <c r="D15" i="2197" s="1"/>
  <c r="N10" i="2197"/>
  <c r="M10" i="2197"/>
  <c r="L10" i="2197"/>
  <c r="F15" i="2197" s="1"/>
  <c r="K10" i="2197"/>
  <c r="J10" i="2197"/>
  <c r="I10" i="2197"/>
  <c r="H10" i="2197"/>
  <c r="G10" i="2197"/>
  <c r="F10" i="2197"/>
  <c r="E10" i="2197"/>
  <c r="D10" i="2197"/>
  <c r="P7" i="2197"/>
  <c r="O7" i="2197"/>
  <c r="N7" i="2197"/>
  <c r="M7" i="2197"/>
  <c r="L7" i="2197"/>
  <c r="K7" i="2197"/>
  <c r="J7" i="2197"/>
  <c r="I7" i="2197"/>
  <c r="H7" i="2197"/>
  <c r="G7" i="2197"/>
  <c r="F7" i="2197"/>
  <c r="E7" i="2197"/>
  <c r="D7" i="2197"/>
  <c r="E15" i="2197" l="1"/>
  <c r="O33" i="2148" l="1"/>
  <c r="P10" i="2148"/>
  <c r="O10" i="2148"/>
  <c r="N10" i="2148"/>
  <c r="M10" i="2148"/>
  <c r="L10" i="2148"/>
  <c r="K10" i="2148"/>
  <c r="J10" i="2148"/>
  <c r="I10" i="2148"/>
  <c r="H10" i="2148"/>
  <c r="G10" i="2148"/>
  <c r="F10" i="2148"/>
  <c r="E10" i="2148"/>
  <c r="D10" i="2148"/>
  <c r="P7" i="2148"/>
  <c r="O7" i="2148"/>
  <c r="N7" i="2148"/>
  <c r="M7" i="2148"/>
  <c r="L7" i="2148"/>
  <c r="K7" i="2148"/>
  <c r="J7" i="2148"/>
  <c r="I7" i="2148"/>
  <c r="H7" i="2148"/>
  <c r="G7" i="2148"/>
  <c r="F7" i="2148"/>
  <c r="E7" i="2148"/>
  <c r="D7" i="2148"/>
  <c r="D33" i="2148" l="1"/>
  <c r="F33" i="2148"/>
  <c r="E33" i="2148"/>
  <c r="H7" i="2080" l="1"/>
  <c r="P10" i="2111" l="1"/>
  <c r="O10" i="2111"/>
  <c r="P7" i="2111"/>
  <c r="O7" i="2111"/>
  <c r="N10" i="2111"/>
  <c r="N7" i="2111"/>
  <c r="L10" i="2111"/>
  <c r="L7" i="2111"/>
  <c r="K10" i="2111" l="1"/>
  <c r="J10" i="2111"/>
  <c r="I10" i="2111"/>
  <c r="H10" i="2111"/>
  <c r="I7" i="2111"/>
  <c r="J7" i="2111"/>
  <c r="K7" i="2111"/>
  <c r="H7" i="2111"/>
  <c r="O33" i="2111"/>
  <c r="M10" i="2111"/>
  <c r="G10" i="2111"/>
  <c r="F10" i="2111"/>
  <c r="E10" i="2111"/>
  <c r="D10" i="2111"/>
  <c r="M7" i="2111"/>
  <c r="G7" i="2111"/>
  <c r="F7" i="2111"/>
  <c r="E7" i="2111"/>
  <c r="D7" i="2111"/>
  <c r="D33" i="2111" l="1"/>
  <c r="F33" i="2111"/>
  <c r="E33" i="2111"/>
  <c r="G7" i="2080" l="1"/>
  <c r="F7" i="2080"/>
  <c r="E7" i="2080"/>
  <c r="D7" i="2080"/>
  <c r="D10" i="2080"/>
  <c r="G10" i="2080"/>
  <c r="F10" i="2080"/>
  <c r="E10" i="2080"/>
  <c r="I10" i="2080"/>
  <c r="J10" i="2080"/>
  <c r="K10" i="2080"/>
  <c r="I7" i="2080"/>
  <c r="J7" i="2080"/>
  <c r="K7" i="2080"/>
  <c r="H10" i="2080"/>
  <c r="P7" i="2080" l="1"/>
  <c r="P10" i="2080"/>
  <c r="O10" i="2080"/>
  <c r="O7" i="2080"/>
  <c r="M10" i="2080" l="1"/>
  <c r="M7" i="2080"/>
  <c r="N7" i="2080"/>
  <c r="L10" i="2080"/>
  <c r="L7" i="2080"/>
  <c r="N10" i="2080" l="1"/>
  <c r="F33" i="2080" l="1"/>
  <c r="D33" i="2080"/>
  <c r="E33" i="2080"/>
  <c r="O33" i="2080" l="1"/>
  <c r="S35" i="13" l="1"/>
  <c r="S36" i="13" s="1"/>
  <c r="S37" i="13" s="1"/>
  <c r="S38" i="13" s="1"/>
  <c r="S39" i="13" s="1"/>
  <c r="S40" i="13" s="1"/>
  <c r="S41" i="13" s="1"/>
  <c r="S42" i="13" s="1"/>
  <c r="S43" i="13" s="1"/>
  <c r="S44" i="13" s="1"/>
  <c r="S45" i="13" s="1"/>
  <c r="S46" i="13" s="1"/>
  <c r="S47" i="13" s="1"/>
  <c r="S48" i="13" s="1"/>
  <c r="S49" i="13" s="1"/>
  <c r="S50" i="13" s="1"/>
  <c r="S51" i="13" s="1"/>
</calcChain>
</file>

<file path=xl/sharedStrings.xml><?xml version="1.0" encoding="utf-8"?>
<sst xmlns="http://schemas.openxmlformats.org/spreadsheetml/2006/main" count="1965" uniqueCount="180">
  <si>
    <t>原料</t>
    <phoneticPr fontId="3" type="noConversion"/>
  </si>
  <si>
    <t>成品</t>
    <phoneticPr fontId="3" type="noConversion"/>
  </si>
  <si>
    <r>
      <rPr>
        <sz val="12"/>
        <rFont val="細明體"/>
        <family val="3"/>
        <charset val="136"/>
      </rPr>
      <t>產</t>
    </r>
    <r>
      <rPr>
        <sz val="12"/>
        <rFont val="DotumChe"/>
        <family val="3"/>
        <charset val="129"/>
      </rPr>
      <t>品</t>
    </r>
    <r>
      <rPr>
        <sz val="12"/>
        <rFont val="細明體"/>
        <family val="3"/>
        <charset val="136"/>
      </rPr>
      <t xml:space="preserve">      </t>
    </r>
    <r>
      <rPr>
        <sz val="12"/>
        <rFont val="DotumChe"/>
        <family val="3"/>
        <charset val="129"/>
      </rPr>
      <t>比重</t>
    </r>
    <r>
      <rPr>
        <sz val="12"/>
        <rFont val="細明體"/>
        <family val="3"/>
        <charset val="136"/>
      </rPr>
      <t xml:space="preserve">    </t>
    </r>
    <r>
      <rPr>
        <sz val="12"/>
        <rFont val="DotumChe"/>
        <family val="3"/>
        <charset val="129"/>
      </rPr>
      <t>溫度</t>
    </r>
    <phoneticPr fontId="3" type="noConversion"/>
  </si>
  <si>
    <t>IPA</t>
    <phoneticPr fontId="3" type="noConversion"/>
  </si>
  <si>
    <t>EG</t>
    <phoneticPr fontId="3" type="noConversion"/>
  </si>
  <si>
    <t>NMP</t>
    <phoneticPr fontId="3" type="noConversion"/>
  </si>
  <si>
    <t>Acetone</t>
    <phoneticPr fontId="3" type="noConversion"/>
  </si>
  <si>
    <t>SEP05</t>
    <phoneticPr fontId="3" type="noConversion"/>
  </si>
  <si>
    <t>PMA</t>
    <phoneticPr fontId="3" type="noConversion"/>
  </si>
  <si>
    <t>PM</t>
    <phoneticPr fontId="3" type="noConversion"/>
  </si>
  <si>
    <t>GAA</t>
    <phoneticPr fontId="3" type="noConversion"/>
  </si>
  <si>
    <r>
      <t>BDG+MEA
澄</t>
    </r>
    <r>
      <rPr>
        <sz val="14"/>
        <rFont val="細明體"/>
        <family val="3"/>
        <charset val="136"/>
      </rPr>
      <t>清</t>
    </r>
    <r>
      <rPr>
        <sz val="14"/>
        <rFont val="DotumChe"/>
        <family val="3"/>
        <charset val="129"/>
      </rPr>
      <t>液</t>
    </r>
    <phoneticPr fontId="3" type="noConversion"/>
  </si>
  <si>
    <t>ANONE</t>
    <phoneticPr fontId="3" type="noConversion"/>
  </si>
  <si>
    <t>EBR</t>
    <phoneticPr fontId="3" type="noConversion"/>
  </si>
  <si>
    <t>NBAC</t>
    <phoneticPr fontId="3" type="noConversion"/>
  </si>
  <si>
    <t>EBRUPS</t>
    <phoneticPr fontId="3" type="noConversion"/>
  </si>
  <si>
    <t>2SEP73(EBR)</t>
    <phoneticPr fontId="3" type="noConversion"/>
  </si>
  <si>
    <t>SEP11</t>
    <phoneticPr fontId="3" type="noConversion"/>
  </si>
  <si>
    <t>ETOH</t>
    <phoneticPr fontId="3" type="noConversion"/>
  </si>
  <si>
    <t>PG2</t>
    <phoneticPr fontId="3" type="noConversion"/>
  </si>
  <si>
    <t>EEP</t>
    <phoneticPr fontId="3" type="noConversion"/>
  </si>
  <si>
    <t>HEA     DPM</t>
    <phoneticPr fontId="3" type="noConversion"/>
  </si>
  <si>
    <t>DPM</t>
    <phoneticPr fontId="3" type="noConversion"/>
  </si>
  <si>
    <t xml:space="preserve"> </t>
    <phoneticPr fontId="2" type="noConversion"/>
  </si>
  <si>
    <t>品名</t>
    <phoneticPr fontId="3" type="noConversion"/>
  </si>
  <si>
    <t>時間</t>
    <phoneticPr fontId="3" type="noConversion"/>
  </si>
  <si>
    <t>TPM</t>
    <phoneticPr fontId="3" type="noConversion"/>
  </si>
  <si>
    <t>TK-603</t>
    <phoneticPr fontId="4" type="noConversion"/>
  </si>
  <si>
    <t>待處理品</t>
    <phoneticPr fontId="3" type="noConversion"/>
  </si>
  <si>
    <t>TK-601</t>
    <phoneticPr fontId="4" type="noConversion"/>
  </si>
  <si>
    <t>TK-602</t>
    <phoneticPr fontId="4" type="noConversion"/>
  </si>
  <si>
    <t>記事欄</t>
    <phoneticPr fontId="3" type="noConversion"/>
  </si>
  <si>
    <r>
      <t>CPN環戊</t>
    </r>
    <r>
      <rPr>
        <sz val="14"/>
        <rFont val="細明體"/>
        <family val="3"/>
        <charset val="136"/>
      </rPr>
      <t>酮</t>
    </r>
    <phoneticPr fontId="3" type="noConversion"/>
  </si>
  <si>
    <t xml:space="preserve">                                                                                                                                                                                                                                                                                                                                                                                                                                                                                                                                                                                                                  </t>
    <phoneticPr fontId="2" type="noConversion"/>
  </si>
  <si>
    <t>MIBC</t>
    <phoneticPr fontId="3" type="noConversion"/>
  </si>
  <si>
    <t>儲槽作業日報表</t>
    <phoneticPr fontId="3" type="noConversion"/>
  </si>
  <si>
    <t>待處理品</t>
    <phoneticPr fontId="2" type="noConversion"/>
  </si>
  <si>
    <t>成品</t>
    <phoneticPr fontId="2" type="noConversion"/>
  </si>
  <si>
    <t>原料</t>
    <phoneticPr fontId="2" type="noConversion"/>
  </si>
  <si>
    <t xml:space="preserve">鴻勝化學科技股份有限公司                                    </t>
    <phoneticPr fontId="3" type="noConversion"/>
  </si>
  <si>
    <t xml:space="preserve">                                  </t>
    <phoneticPr fontId="2" type="noConversion"/>
  </si>
  <si>
    <t>槽　別</t>
    <phoneticPr fontId="3" type="noConversion"/>
  </si>
  <si>
    <t>液位(mm/%)</t>
    <phoneticPr fontId="3" type="noConversion"/>
  </si>
  <si>
    <t>數量(kg)</t>
    <phoneticPr fontId="4" type="noConversion"/>
  </si>
  <si>
    <t>溫度( ℃)</t>
    <phoneticPr fontId="3" type="noConversion"/>
  </si>
  <si>
    <r>
      <t>液位(</t>
    </r>
    <r>
      <rPr>
        <vertAlign val="superscript"/>
        <sz val="8"/>
        <rFont val="微軟正黑體"/>
        <family val="2"/>
        <charset val="136"/>
      </rPr>
      <t>mm</t>
    </r>
    <r>
      <rPr>
        <sz val="8"/>
        <rFont val="微軟正黑體"/>
        <family val="2"/>
        <charset val="136"/>
      </rPr>
      <t>/</t>
    </r>
    <r>
      <rPr>
        <vertAlign val="subscript"/>
        <sz val="8"/>
        <rFont val="微軟正黑體"/>
        <family val="2"/>
        <charset val="136"/>
      </rPr>
      <t>%</t>
    </r>
    <r>
      <rPr>
        <sz val="8"/>
        <rFont val="微軟正黑體"/>
        <family val="2"/>
        <charset val="136"/>
      </rPr>
      <t>)</t>
    </r>
    <phoneticPr fontId="4" type="noConversion"/>
  </si>
  <si>
    <t>總數量
(kg)</t>
    <phoneticPr fontId="3" type="noConversion"/>
  </si>
  <si>
    <t>經(副)理:</t>
    <phoneticPr fontId="4" type="noConversion"/>
  </si>
  <si>
    <t>課長:</t>
    <phoneticPr fontId="4" type="noConversion"/>
  </si>
  <si>
    <t>組(副)長:</t>
    <phoneticPr fontId="4" type="noConversion"/>
  </si>
  <si>
    <t>記錄員:</t>
    <phoneticPr fontId="4" type="noConversion"/>
  </si>
  <si>
    <t>IPAHW</t>
    <phoneticPr fontId="3" type="noConversion"/>
  </si>
  <si>
    <t>C50110-INV-01(01)</t>
    <phoneticPr fontId="3" type="noConversion"/>
  </si>
  <si>
    <t>陳志修</t>
    <phoneticPr fontId="2" type="noConversion"/>
  </si>
  <si>
    <t>TK-604</t>
    <phoneticPr fontId="4" type="noConversion"/>
  </si>
  <si>
    <t>TK-605</t>
    <phoneticPr fontId="4" type="noConversion"/>
  </si>
  <si>
    <t>TK-606</t>
  </si>
  <si>
    <t>TK-607</t>
  </si>
  <si>
    <t>TK-608</t>
  </si>
  <si>
    <t>TK611</t>
    <phoneticPr fontId="4" type="noConversion"/>
  </si>
  <si>
    <t>TK612</t>
  </si>
  <si>
    <t>TK613</t>
  </si>
  <si>
    <t>TK617</t>
  </si>
  <si>
    <t>TK618</t>
  </si>
  <si>
    <t>IPA-HQ</t>
    <phoneticPr fontId="3" type="noConversion"/>
  </si>
  <si>
    <t>廢水</t>
    <phoneticPr fontId="3" type="noConversion"/>
  </si>
  <si>
    <t>IPA</t>
    <phoneticPr fontId="2" type="noConversion"/>
  </si>
  <si>
    <t>1.儲槽集水井是否關閉(雨天時打開)______
2.馬達pump是否關閉________________
3.現場是否有洩漏__________________
4.儲槽壓力是否正常________________ 
5.儲槽周邊是否異常________________ 
6.現場1T桶GHS標示是否脫落或模糊 ______ 
7.</t>
    <phoneticPr fontId="3" type="noConversion"/>
  </si>
  <si>
    <t>儲槽編號</t>
  </si>
  <si>
    <t>最高液位 (mm)</t>
  </si>
  <si>
    <t>1mm 容積 (L/mm)</t>
  </si>
  <si>
    <t>桶底容量 (L)</t>
  </si>
  <si>
    <t>1% 高度 (mm)</t>
  </si>
  <si>
    <t>1% 容積 (L)</t>
  </si>
  <si>
    <t>百分比 (%) 計算公式 (公斤 KG)</t>
  </si>
  <si>
    <t>TK-601 ~ 604</t>
  </si>
  <si>
    <t>TK-605 ~ 608</t>
  </si>
  <si>
    <t>TK-611 ~ 612</t>
  </si>
  <si>
    <t>TK-613 ~ 616</t>
  </si>
  <si>
    <t>TK-617 ~ 618</t>
  </si>
  <si>
    <t>=((D6*5200)*4.48+1790)*LOOKUP(D8,密度!A:A,密度!B:B)</t>
    <phoneticPr fontId="2" type="noConversion"/>
  </si>
  <si>
    <t>=((D6*5200)*18.322+8640)*LOOKUP(D8,密度!A:A,密度!B:B)</t>
    <phoneticPr fontId="2" type="noConversion"/>
  </si>
  <si>
    <t>=(D6*6650)*26.42*LOOKUP(D8,密度!A:A,密度!B:B)</t>
    <phoneticPr fontId="2" type="noConversion"/>
  </si>
  <si>
    <t>=(D6*5150)*18.32*LOOKUP(D8,密度!A:A,密度!B:B)</t>
    <phoneticPr fontId="2" type="noConversion"/>
  </si>
  <si>
    <t>=(D6*12200)*81.71*LOOKUP(D8,密度!A:A,密度!B:B)</t>
    <phoneticPr fontId="2" type="noConversion"/>
  </si>
  <si>
    <t>溫度( ℃)</t>
    <phoneticPr fontId="3" type="noConversion"/>
  </si>
  <si>
    <t>數量(kg)</t>
    <phoneticPr fontId="4" type="noConversion"/>
  </si>
  <si>
    <t xml:space="preserve">鴻勝化學科技股份有限公司                                    </t>
    <phoneticPr fontId="3" type="noConversion"/>
  </si>
  <si>
    <t>儲槽作業日報表</t>
    <phoneticPr fontId="3" type="noConversion"/>
  </si>
  <si>
    <t>時間</t>
    <phoneticPr fontId="3" type="noConversion"/>
  </si>
  <si>
    <t>槽　別</t>
    <phoneticPr fontId="3" type="noConversion"/>
  </si>
  <si>
    <t>TK-601(代驗)</t>
    <phoneticPr fontId="4" type="noConversion"/>
  </si>
  <si>
    <t>TK-602(代驗)</t>
    <phoneticPr fontId="4" type="noConversion"/>
  </si>
  <si>
    <t>TK-603</t>
    <phoneticPr fontId="4" type="noConversion"/>
  </si>
  <si>
    <t>TK-604</t>
    <phoneticPr fontId="4" type="noConversion"/>
  </si>
  <si>
    <t>TK-605(成品)</t>
    <phoneticPr fontId="4" type="noConversion"/>
  </si>
  <si>
    <t>TK-606(成品)</t>
    <phoneticPr fontId="2" type="noConversion"/>
  </si>
  <si>
    <t>TK611</t>
    <phoneticPr fontId="4" type="noConversion"/>
  </si>
  <si>
    <t>品名</t>
    <phoneticPr fontId="3" type="noConversion"/>
  </si>
  <si>
    <t>品名</t>
    <phoneticPr fontId="3" type="noConversion"/>
  </si>
  <si>
    <t>IPA-HQ</t>
    <phoneticPr fontId="3" type="noConversion"/>
  </si>
  <si>
    <t>空</t>
    <phoneticPr fontId="3" type="noConversion"/>
  </si>
  <si>
    <t>IPAHW</t>
    <phoneticPr fontId="3" type="noConversion"/>
  </si>
  <si>
    <t>廢水</t>
    <phoneticPr fontId="3" type="noConversion"/>
  </si>
  <si>
    <t>IPA</t>
    <phoneticPr fontId="2" type="noConversion"/>
  </si>
  <si>
    <t>液位(mm/%)</t>
    <phoneticPr fontId="3" type="noConversion"/>
  </si>
  <si>
    <r>
      <t>液位(</t>
    </r>
    <r>
      <rPr>
        <vertAlign val="superscript"/>
        <sz val="8"/>
        <rFont val="微軟正黑體"/>
        <family val="2"/>
        <charset val="136"/>
      </rPr>
      <t>mm</t>
    </r>
    <r>
      <rPr>
        <sz val="8"/>
        <rFont val="微軟正黑體"/>
        <family val="2"/>
        <charset val="136"/>
      </rPr>
      <t>/</t>
    </r>
    <r>
      <rPr>
        <vertAlign val="subscript"/>
        <sz val="8"/>
        <rFont val="微軟正黑體"/>
        <family val="2"/>
        <charset val="136"/>
      </rPr>
      <t>%</t>
    </r>
    <r>
      <rPr>
        <sz val="8"/>
        <rFont val="微軟正黑體"/>
        <family val="2"/>
        <charset val="136"/>
      </rPr>
      <t>)</t>
    </r>
    <phoneticPr fontId="4" type="noConversion"/>
  </si>
  <si>
    <t>數量(kg)</t>
    <phoneticPr fontId="4" type="noConversion"/>
  </si>
  <si>
    <t xml:space="preserve">                                  </t>
    <phoneticPr fontId="2" type="noConversion"/>
  </si>
  <si>
    <t>溫度( ℃)</t>
    <phoneticPr fontId="3" type="noConversion"/>
  </si>
  <si>
    <t xml:space="preserve">                                                                                                                                                                                                                                                                                                                                                                                                                                                                                                                                                                                                                  </t>
    <phoneticPr fontId="2" type="noConversion"/>
  </si>
  <si>
    <r>
      <t>液位(</t>
    </r>
    <r>
      <rPr>
        <vertAlign val="superscript"/>
        <sz val="8"/>
        <rFont val="微軟正黑體"/>
        <family val="2"/>
        <charset val="136"/>
      </rPr>
      <t>mm</t>
    </r>
    <r>
      <rPr>
        <sz val="8"/>
        <rFont val="微軟正黑體"/>
        <family val="2"/>
        <charset val="136"/>
      </rPr>
      <t>/</t>
    </r>
    <r>
      <rPr>
        <vertAlign val="subscript"/>
        <sz val="8"/>
        <rFont val="微軟正黑體"/>
        <family val="2"/>
        <charset val="136"/>
      </rPr>
      <t>%</t>
    </r>
    <r>
      <rPr>
        <sz val="8"/>
        <rFont val="微軟正黑體"/>
        <family val="2"/>
        <charset val="136"/>
      </rPr>
      <t>)</t>
    </r>
    <phoneticPr fontId="4" type="noConversion"/>
  </si>
  <si>
    <t xml:space="preserve"> </t>
    <phoneticPr fontId="2" type="noConversion"/>
  </si>
  <si>
    <t xml:space="preserve"> </t>
    <phoneticPr fontId="2" type="noConversion"/>
  </si>
  <si>
    <t>記事欄</t>
    <phoneticPr fontId="3" type="noConversion"/>
  </si>
  <si>
    <t>1.儲槽集水井是否關閉(雨天時打開)______
2.馬達pump是否關閉________________
3.現場是否有洩漏__________________
4.儲槽壓力是否正常________________ 
5.儲槽周邊是否異常________________ 
6.現場1T桶GHS標示是否脫落或模糊 ______ 
7.</t>
    <phoneticPr fontId="3" type="noConversion"/>
  </si>
  <si>
    <t>IPA</t>
    <phoneticPr fontId="3" type="noConversion"/>
  </si>
  <si>
    <t>原料</t>
    <phoneticPr fontId="3" type="noConversion"/>
  </si>
  <si>
    <t>成品</t>
    <phoneticPr fontId="3" type="noConversion"/>
  </si>
  <si>
    <t>待處理品</t>
    <phoneticPr fontId="3" type="noConversion"/>
  </si>
  <si>
    <t>原料</t>
    <phoneticPr fontId="3" type="noConversion"/>
  </si>
  <si>
    <t>成品</t>
    <phoneticPr fontId="3" type="noConversion"/>
  </si>
  <si>
    <t>待處理品</t>
    <phoneticPr fontId="3" type="noConversion"/>
  </si>
  <si>
    <t>待處理品</t>
    <phoneticPr fontId="3" type="noConversion"/>
  </si>
  <si>
    <t>原料</t>
    <phoneticPr fontId="3" type="noConversion"/>
  </si>
  <si>
    <t>原料</t>
    <phoneticPr fontId="2" type="noConversion"/>
  </si>
  <si>
    <t>成品</t>
    <phoneticPr fontId="2" type="noConversion"/>
  </si>
  <si>
    <t>待處理品</t>
    <phoneticPr fontId="2" type="noConversion"/>
  </si>
  <si>
    <t>總數量
(kg)</t>
    <phoneticPr fontId="3" type="noConversion"/>
  </si>
  <si>
    <t>C50110-INV-01(01)</t>
    <phoneticPr fontId="3" type="noConversion"/>
  </si>
  <si>
    <t>經(副)理:</t>
    <phoneticPr fontId="4" type="noConversion"/>
  </si>
  <si>
    <t>課長:</t>
    <phoneticPr fontId="4" type="noConversion"/>
  </si>
  <si>
    <t>組(副)長:</t>
    <phoneticPr fontId="4" type="noConversion"/>
  </si>
  <si>
    <t>記錄員:</t>
    <phoneticPr fontId="4" type="noConversion"/>
  </si>
  <si>
    <t>陳志修</t>
    <phoneticPr fontId="2" type="noConversion"/>
  </si>
  <si>
    <t>TK-606</t>
    <phoneticPr fontId="2" type="noConversion"/>
  </si>
  <si>
    <t>上午:</t>
    <phoneticPr fontId="3" type="noConversion"/>
  </si>
  <si>
    <t>2026年        月        日</t>
    <phoneticPr fontId="3" type="noConversion"/>
  </si>
  <si>
    <t>槽號</t>
    <phoneticPr fontId="3" type="noConversion"/>
  </si>
  <si>
    <t xml:space="preserve">液位 </t>
    <phoneticPr fontId="3" type="noConversion"/>
  </si>
  <si>
    <t>溫度</t>
    <phoneticPr fontId="3" type="noConversion"/>
  </si>
  <si>
    <r>
      <t>備</t>
    </r>
    <r>
      <rPr>
        <sz val="14"/>
        <rFont val="Times New Roman"/>
        <family val="1"/>
      </rPr>
      <t xml:space="preserve">    </t>
    </r>
    <r>
      <rPr>
        <sz val="14"/>
        <rFont val="文鼎海報體"/>
        <family val="3"/>
        <charset val="136"/>
      </rPr>
      <t>註</t>
    </r>
    <phoneticPr fontId="3" type="noConversion"/>
  </si>
  <si>
    <t>底面積</t>
    <phoneticPr fontId="3" type="noConversion"/>
  </si>
  <si>
    <t>桶底</t>
    <phoneticPr fontId="3" type="noConversion"/>
  </si>
  <si>
    <t>最高液位</t>
    <phoneticPr fontId="3" type="noConversion"/>
  </si>
  <si>
    <t>601-604</t>
    <phoneticPr fontId="3" type="noConversion"/>
  </si>
  <si>
    <t>1mm</t>
    <phoneticPr fontId="3" type="noConversion"/>
  </si>
  <si>
    <t>4.48L</t>
    <phoneticPr fontId="3" type="noConversion"/>
  </si>
  <si>
    <t>1.79KL</t>
    <phoneticPr fontId="3" type="noConversion"/>
  </si>
  <si>
    <t>232.96 L</t>
    <phoneticPr fontId="3" type="noConversion"/>
  </si>
  <si>
    <t>605-608</t>
    <phoneticPr fontId="3" type="noConversion"/>
  </si>
  <si>
    <t>1mm</t>
    <phoneticPr fontId="3" type="noConversion"/>
  </si>
  <si>
    <t>18.322L</t>
    <phoneticPr fontId="3" type="noConversion"/>
  </si>
  <si>
    <t>8.64KL</t>
    <phoneticPr fontId="3" type="noConversion"/>
  </si>
  <si>
    <t>952.744L</t>
    <phoneticPr fontId="3" type="noConversion"/>
  </si>
  <si>
    <t>611-612</t>
    <phoneticPr fontId="3" type="noConversion"/>
  </si>
  <si>
    <t>26.42L</t>
    <phoneticPr fontId="3" type="noConversion"/>
  </si>
  <si>
    <t>87L</t>
    <phoneticPr fontId="3" type="noConversion"/>
  </si>
  <si>
    <t>1,756.93L</t>
    <phoneticPr fontId="3" type="noConversion"/>
  </si>
  <si>
    <t>613-616</t>
    <phoneticPr fontId="3" type="noConversion"/>
  </si>
  <si>
    <t>1mm</t>
    <phoneticPr fontId="3" type="noConversion"/>
  </si>
  <si>
    <t>18.32L</t>
    <phoneticPr fontId="3" type="noConversion"/>
  </si>
  <si>
    <t>943.48L</t>
    <phoneticPr fontId="3" type="noConversion"/>
  </si>
  <si>
    <t>617-618</t>
    <phoneticPr fontId="3" type="noConversion"/>
  </si>
  <si>
    <t>81.71L</t>
    <phoneticPr fontId="3" type="noConversion"/>
  </si>
  <si>
    <t>9.97KL</t>
    <phoneticPr fontId="3" type="noConversion"/>
  </si>
  <si>
    <t>下午:</t>
    <phoneticPr fontId="3" type="noConversion"/>
  </si>
  <si>
    <t>溫度</t>
    <phoneticPr fontId="3" type="noConversion"/>
  </si>
  <si>
    <r>
      <t>備</t>
    </r>
    <r>
      <rPr>
        <sz val="14"/>
        <rFont val="Times New Roman"/>
        <family val="1"/>
      </rPr>
      <t xml:space="preserve">    </t>
    </r>
    <r>
      <rPr>
        <sz val="14"/>
        <rFont val="文鼎海報體"/>
        <family val="3"/>
        <charset val="136"/>
      </rPr>
      <t>註</t>
    </r>
    <phoneticPr fontId="3" type="noConversion"/>
  </si>
  <si>
    <t xml:space="preserve"> 液位</t>
  </si>
  <si>
    <t xml:space="preserve">液位 </t>
    <phoneticPr fontId="3" type="noConversion"/>
  </si>
  <si>
    <t>%</t>
    <phoneticPr fontId="3" type="noConversion"/>
  </si>
  <si>
    <t>課長:</t>
  </si>
  <si>
    <t>崙尾儲槽作業日報表</t>
    <phoneticPr fontId="3" type="noConversion"/>
  </si>
  <si>
    <t>1.儲槽集水井是否關閉(雨天時打開)  ______
2.馬達pump是否關閉______________
3.現場是否有洩漏__________________
4.儲槽壓力是否正常________________ 
5.儲槽周邊是否異常________________ 
6.現場1T桶GHS標示是否脫落或模糊 _____</t>
    <phoneticPr fontId="3" type="noConversion"/>
  </si>
  <si>
    <t>1.儲槽巡檢，如發現異常，請立即回報
2.每週檢查，現場儲槽電子液位計及溫度計是否正常
3.每月檢查，槽頂上方PG壓力錶是否正常</t>
    <phoneticPr fontId="3" type="noConversion"/>
  </si>
  <si>
    <t>蘇明宏</t>
    <phoneticPr fontId="2" type="noConversion"/>
  </si>
  <si>
    <t>邱建霖</t>
    <phoneticPr fontId="2" type="noConversion"/>
  </si>
  <si>
    <t>蘇明宏</t>
    <phoneticPr fontId="2" type="noConversion"/>
  </si>
  <si>
    <t>邱建霖</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</si>
</sst>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76" formatCode="_(&quot;$&quot;* #,##0.00_);_(&quot;$&quot;* \(#,##0.00\);_(&quot;$&quot;* &quot;-&quot;??_);_(@_)"/>
    <numFmt numFmtId="177" formatCode="_(* #,##0.00_);_(* \(#,##0.00\);_(* &quot;-&quot;??_);_(@_)"/>
    <numFmt numFmtId="178" formatCode="0_);[Red]\(0\)"/>
    <numFmt numFmtId="179" formatCode="0_ "/>
    <numFmt numFmtId="180" formatCode="#,##0.0000"/>
    <numFmt numFmtId="181" formatCode="0.0000_ "/>
    <numFmt numFmtId="182" formatCode="0.0000"/>
    <numFmt numFmtId="183" formatCode="[&lt;0]&quot;0&quot;;0"/>
    <numFmt numFmtId="184" formatCode="m&quot;月&quot;d&quot;日&quot;"/>
    <numFmt numFmtId="185" formatCode="0.##%"/>
  </numFmts>
  <fonts count="41">
    <font>
      <sz val="12"/>
      <color theme="1"/>
      <name val="新細明體"/>
      <family val="2"/>
      <scheme val="minor"/>
    </font>
    <font>
      <sz val="12"/>
      <name val="新細明體"/>
      <family val="1"/>
      <charset val="136"/>
    </font>
    <font>
      <sz val="9"/>
      <name val="新細明體"/>
      <family val="3"/>
      <charset val="136"/>
      <scheme val="minor"/>
    </font>
    <font>
      <sz val="9"/>
      <name val="新細明體"/>
      <family val="1"/>
      <charset val="136"/>
    </font>
    <font>
      <sz val="9"/>
      <name val="細明體"/>
      <family val="3"/>
      <charset val="136"/>
    </font>
    <font>
      <sz val="12"/>
      <color theme="1"/>
      <name val="新細明體"/>
      <family val="1"/>
      <charset val="136"/>
      <scheme val="minor"/>
    </font>
    <font>
      <sz val="12"/>
      <name val="DotumChe"/>
      <family val="3"/>
      <charset val="129"/>
    </font>
    <font>
      <sz val="12"/>
      <name val="細明體"/>
      <family val="3"/>
      <charset val="136"/>
    </font>
    <font>
      <sz val="14"/>
      <name val="DotumChe"/>
      <family val="3"/>
      <charset val="129"/>
    </font>
    <font>
      <b/>
      <sz val="14"/>
      <color rgb="FF0000FF"/>
      <name val="DotumChe"/>
      <family val="3"/>
      <charset val="129"/>
    </font>
    <font>
      <sz val="14"/>
      <name val="細明體"/>
      <family val="3"/>
      <charset val="136"/>
    </font>
    <font>
      <sz val="12"/>
      <name val="微軟正黑體"/>
      <family val="2"/>
      <charset val="136"/>
    </font>
    <font>
      <sz val="14"/>
      <name val="微軟正黑體"/>
      <family val="2"/>
      <charset val="136"/>
    </font>
    <font>
      <sz val="6"/>
      <name val="微軟正黑體"/>
      <family val="2"/>
      <charset val="136"/>
    </font>
    <font>
      <sz val="16"/>
      <name val="微軟正黑體"/>
      <family val="2"/>
      <charset val="136"/>
    </font>
    <font>
      <sz val="10"/>
      <name val="微軟正黑體"/>
      <family val="2"/>
      <charset val="136"/>
    </font>
    <font>
      <sz val="8"/>
      <name val="微軟正黑體"/>
      <family val="2"/>
      <charset val="136"/>
    </font>
    <font>
      <u/>
      <sz val="16"/>
      <name val="微軟正黑體"/>
      <family val="2"/>
      <charset val="136"/>
    </font>
    <font>
      <sz val="9"/>
      <name val="微軟正黑體"/>
      <family val="2"/>
      <charset val="136"/>
    </font>
    <font>
      <vertAlign val="superscript"/>
      <sz val="8"/>
      <name val="微軟正黑體"/>
      <family val="2"/>
      <charset val="136"/>
    </font>
    <font>
      <vertAlign val="subscript"/>
      <sz val="8"/>
      <name val="微軟正黑體"/>
      <family val="2"/>
      <charset val="136"/>
    </font>
    <font>
      <u/>
      <sz val="9"/>
      <name val="微軟正黑體"/>
      <family val="2"/>
      <charset val="136"/>
    </font>
    <font>
      <sz val="7"/>
      <name val="微軟正黑體"/>
      <family val="2"/>
      <charset val="136"/>
    </font>
    <font>
      <sz val="9"/>
      <color theme="1"/>
      <name val="微軟正黑體"/>
      <family val="2"/>
      <charset val="136"/>
    </font>
    <font>
      <sz val="7.5"/>
      <name val="微軟正黑體"/>
      <family val="2"/>
      <charset val="136"/>
    </font>
    <font>
      <u/>
      <sz val="9"/>
      <color theme="7" tint="-0.499984740745262"/>
      <name val="微軟正黑體"/>
      <family val="2"/>
      <charset val="136"/>
    </font>
    <font>
      <sz val="9"/>
      <color theme="7" tint="-0.499984740745262"/>
      <name val="微軟正黑體"/>
      <family val="2"/>
      <charset val="136"/>
    </font>
    <font>
      <sz val="8.5"/>
      <name val="微軟正黑體"/>
      <family val="2"/>
      <charset val="136"/>
    </font>
    <font>
      <sz val="8"/>
      <color rgb="FFC00000"/>
      <name val="微軟正黑體"/>
      <family val="2"/>
      <charset val="136"/>
    </font>
    <font>
      <sz val="12"/>
      <color theme="1"/>
      <name val="新細明體"/>
      <family val="2"/>
      <scheme val="minor"/>
    </font>
    <font>
      <sz val="12"/>
      <color rgb="FF1F1F1F"/>
      <name val="Arial"/>
      <family val="2"/>
    </font>
    <font>
      <b/>
      <sz val="12"/>
      <color rgb="FF1F1F1F"/>
      <name val="Arial"/>
      <family val="2"/>
    </font>
    <font>
      <sz val="10"/>
      <color rgb="FF444746"/>
      <name val="Google Sans Text"/>
      <family val="1"/>
      <charset val="136"/>
    </font>
    <font>
      <b/>
      <sz val="12"/>
      <name val="微軟正黑體"/>
      <family val="2"/>
      <charset val="136"/>
    </font>
    <font>
      <sz val="14"/>
      <name val="文鼎海報體"/>
      <family val="3"/>
      <charset val="136"/>
    </font>
    <font>
      <sz val="14"/>
      <name val="Times New Roman"/>
      <family val="1"/>
    </font>
    <font>
      <sz val="11"/>
      <name val="微軟正黑體"/>
      <family val="2"/>
      <charset val="136"/>
    </font>
    <font>
      <sz val="18"/>
      <color rgb="FFFF0000"/>
      <name val="微軟正黑體"/>
      <family val="2"/>
      <charset val="136"/>
    </font>
    <font>
      <sz val="14"/>
      <color rgb="FFFF0000"/>
      <name val="微軟正黑體"/>
      <family val="2"/>
      <charset val="136"/>
    </font>
    <font>
      <b/>
      <sz val="22"/>
      <name val="微軟正黑體"/>
      <family val="2"/>
      <charset val="136"/>
    </font>
    <font>
      <sz val="12"/>
      <color rgb="FF000000"/>
      <name val="新細明體"/>
      <family val="1"/>
      <charset val="136"/>
    </font>
  </fonts>
  <fills count="5">
    <fill>
      <patternFill patternType="none"/>
    </fill>
    <fill>
      <patternFill patternType="gray125"/>
    </fill>
    <fill>
      <patternFill patternType="solid">
        <fgColor theme="0"/>
        <bgColor indexed="64"/>
      </patternFill>
    </fill>
    <fill>
      <patternFill patternType="solid">
        <fgColor indexed="22"/>
        <bgColor indexed="64"/>
      </patternFill>
    </fill>
    <fill>
      <patternFill patternType="solid">
        <fgColor theme="5" tint="0.59999389629810485"/>
        <bgColor indexed="64"/>
      </patternFill>
    </fill>
  </fills>
  <borders count="62">
    <border>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dashed">
        <color indexed="64"/>
      </left>
      <right style="dashed">
        <color indexed="64"/>
      </right>
      <top style="thin">
        <color indexed="64"/>
      </top>
      <bottom style="thin">
        <color indexed="64"/>
      </bottom>
      <diagonal/>
    </border>
    <border>
      <left style="thin">
        <color indexed="64"/>
      </left>
      <right/>
      <top/>
      <bottom/>
      <diagonal/>
    </border>
    <border>
      <left style="dashed">
        <color indexed="64"/>
      </left>
      <right style="dashed">
        <color indexed="64"/>
      </right>
      <top/>
      <bottom/>
      <diagonal/>
    </border>
    <border>
      <left style="thin">
        <color indexed="64"/>
      </left>
      <right/>
      <top/>
      <bottom style="double">
        <color indexed="64"/>
      </bottom>
      <diagonal/>
    </border>
    <border>
      <left style="dashed">
        <color indexed="64"/>
      </left>
      <right style="dashed">
        <color indexed="64"/>
      </right>
      <top/>
      <bottom style="double">
        <color indexed="64"/>
      </bottom>
      <diagonal/>
    </border>
    <border>
      <left style="dashed">
        <color indexed="64"/>
      </left>
      <right style="dashed">
        <color indexed="64"/>
      </right>
      <top style="hair">
        <color indexed="64"/>
      </top>
      <bottom style="double">
        <color indexed="64"/>
      </bottom>
      <diagonal/>
    </border>
    <border>
      <left/>
      <right/>
      <top/>
      <bottom style="double">
        <color indexed="64"/>
      </bottom>
      <diagonal/>
    </border>
    <border>
      <left style="thin">
        <color indexed="64"/>
      </left>
      <right/>
      <top/>
      <bottom style="hair">
        <color indexed="64"/>
      </bottom>
      <diagonal/>
    </border>
    <border>
      <left style="dashed">
        <color indexed="64"/>
      </left>
      <right style="dashed">
        <color indexed="64"/>
      </right>
      <top/>
      <bottom style="hair">
        <color indexed="64"/>
      </bottom>
      <diagonal/>
    </border>
    <border>
      <left style="thin">
        <color indexed="64"/>
      </left>
      <right/>
      <top style="hair">
        <color indexed="64"/>
      </top>
      <bottom style="hair">
        <color indexed="64"/>
      </bottom>
      <diagonal/>
    </border>
    <border>
      <left style="dashed">
        <color indexed="64"/>
      </left>
      <right style="dashed">
        <color indexed="64"/>
      </right>
      <top style="hair">
        <color indexed="64"/>
      </top>
      <bottom style="hair">
        <color indexed="64"/>
      </bottom>
      <diagonal/>
    </border>
    <border>
      <left style="dashed">
        <color indexed="64"/>
      </left>
      <right style="dashed">
        <color indexed="64"/>
      </right>
      <top style="hair">
        <color indexed="64"/>
      </top>
      <bottom/>
      <diagonal/>
    </border>
    <border>
      <left style="thin">
        <color indexed="64"/>
      </left>
      <right/>
      <top style="hair">
        <color indexed="64"/>
      </top>
      <bottom style="dotted">
        <color indexed="64"/>
      </bottom>
      <diagonal/>
    </border>
    <border>
      <left style="dashed">
        <color indexed="64"/>
      </left>
      <right style="dashed">
        <color indexed="64"/>
      </right>
      <top style="hair">
        <color indexed="64"/>
      </top>
      <bottom style="dotted">
        <color indexed="64"/>
      </bottom>
      <diagonal/>
    </border>
    <border>
      <left style="thin">
        <color indexed="64"/>
      </left>
      <right/>
      <top style="hair">
        <color indexed="64"/>
      </top>
      <bottom/>
      <diagonal/>
    </border>
    <border>
      <left style="thin">
        <color indexed="64"/>
      </left>
      <right/>
      <top style="double">
        <color indexed="64"/>
      </top>
      <bottom style="hair">
        <color indexed="64"/>
      </bottom>
      <diagonal/>
    </border>
    <border>
      <left style="dashed">
        <color indexed="64"/>
      </left>
      <right style="dashed">
        <color indexed="64"/>
      </right>
      <top style="double">
        <color indexed="64"/>
      </top>
      <bottom style="hair">
        <color indexed="64"/>
      </bottom>
      <diagonal/>
    </border>
    <border>
      <left style="thin">
        <color indexed="64"/>
      </left>
      <right/>
      <top style="hair">
        <color indexed="64"/>
      </top>
      <bottom style="double">
        <color indexed="64"/>
      </bottom>
      <diagonal/>
    </border>
    <border>
      <left/>
      <right style="dashed">
        <color indexed="64"/>
      </right>
      <top/>
      <bottom style="double">
        <color indexed="64"/>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diagonalDown="1">
      <left style="thin">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style="thin">
        <color indexed="64"/>
      </bottom>
      <diagonal style="thin">
        <color indexed="64"/>
      </diagonal>
    </border>
    <border diagonalDown="1">
      <left/>
      <right style="thin">
        <color indexed="64"/>
      </right>
      <top/>
      <bottom style="thin">
        <color indexed="64"/>
      </bottom>
      <diagonal style="thin">
        <color indexed="64"/>
      </diagonal>
    </border>
    <border>
      <left/>
      <right style="double">
        <color indexed="64"/>
      </right>
      <top style="thin">
        <color indexed="64"/>
      </top>
      <bottom/>
      <diagonal/>
    </border>
    <border>
      <left/>
      <right style="double">
        <color indexed="64"/>
      </right>
      <top/>
      <bottom style="thin">
        <color indexed="64"/>
      </bottom>
      <diagonal/>
    </border>
    <border>
      <left style="medium">
        <color rgb="FF000000"/>
      </left>
      <right style="medium">
        <color rgb="FF000000"/>
      </right>
      <top style="medium">
        <color rgb="FF000000"/>
      </top>
      <bottom style="medium">
        <color rgb="FF000000"/>
      </bottom>
      <diagonal/>
    </border>
    <border>
      <left style="double">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right style="double">
        <color indexed="64"/>
      </right>
      <top style="double">
        <color indexed="64"/>
      </top>
      <bottom/>
      <diagonal/>
    </border>
    <border>
      <left style="double">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style="double">
        <color indexed="64"/>
      </right>
      <top style="hair">
        <color indexed="64"/>
      </top>
      <bottom/>
      <diagonal/>
    </border>
    <border>
      <left style="hair">
        <color indexed="64"/>
      </left>
      <right style="double">
        <color indexed="64"/>
      </right>
      <top/>
      <bottom/>
      <diagonal/>
    </border>
    <border>
      <left style="double">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double">
        <color indexed="64"/>
      </right>
      <top/>
      <bottom style="double">
        <color indexed="64"/>
      </bottom>
      <diagonal/>
    </border>
    <border>
      <left/>
      <right style="double">
        <color indexed="64"/>
      </right>
      <top style="double">
        <color indexed="64"/>
      </top>
      <bottom style="hair">
        <color indexed="64"/>
      </bottom>
      <diagonal/>
    </border>
    <border diagonalDown="1">
      <left/>
      <right/>
      <top style="thin">
        <color indexed="64"/>
      </top>
      <bottom/>
      <diagonal style="thin">
        <color indexed="64"/>
      </diagonal>
    </border>
    <border diagonalDown="1">
      <left/>
      <right/>
      <top/>
      <bottom style="thin">
        <color indexed="64"/>
      </bottom>
      <diagonal style="thin">
        <color indexed="64"/>
      </diagonal>
    </border>
  </borders>
  <cellStyleXfs count="24">
    <xf numFmtId="0" fontId="0" fillId="0" borderId="0"/>
    <xf numFmtId="0" fontId="1" fillId="0" borderId="0"/>
    <xf numFmtId="0" fontId="1" fillId="0" borderId="0"/>
    <xf numFmtId="177" fontId="1" fillId="0" borderId="0" applyFont="0" applyFill="0" applyBorder="0" applyAlignment="0" applyProtection="0"/>
    <xf numFmtId="176" fontId="1" fillId="0" borderId="0" applyFont="0" applyFill="0" applyBorder="0" applyAlignment="0" applyProtection="0"/>
    <xf numFmtId="9" fontId="1" fillId="0" borderId="0" applyFont="0" applyFill="0" applyBorder="0" applyAlignment="0" applyProtection="0"/>
    <xf numFmtId="0" fontId="5" fillId="0" borderId="0">
      <alignment vertical="center"/>
    </xf>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9" fontId="29" fillId="0" borderId="0" applyFont="0" applyFill="0" applyBorder="0" applyAlignment="0" applyProtection="0">
      <alignment vertical="center"/>
    </xf>
  </cellStyleXfs>
  <cellXfs count="306">
    <xf numFmtId="0" fontId="0" fillId="0" borderId="0" xfId="0"/>
    <xf numFmtId="0" fontId="6" fillId="3" borderId="5" xfId="1" applyFont="1" applyFill="1" applyBorder="1" applyAlignment="1">
      <alignment horizontal="left" vertical="center" wrapText="1"/>
    </xf>
    <xf numFmtId="0" fontId="8" fillId="3" borderId="17" xfId="1" applyFont="1" applyFill="1" applyBorder="1" applyAlignment="1">
      <alignment horizontal="center" vertical="center"/>
    </xf>
    <xf numFmtId="49" fontId="9" fillId="4" borderId="17" xfId="1" applyNumberFormat="1" applyFont="1" applyFill="1" applyBorder="1" applyAlignment="1">
      <alignment horizontal="center" vertical="center"/>
    </xf>
    <xf numFmtId="0" fontId="8" fillId="3" borderId="17" xfId="1" applyFont="1" applyFill="1" applyBorder="1" applyAlignment="1">
      <alignment horizontal="center" vertical="center" wrapText="1"/>
    </xf>
    <xf numFmtId="180" fontId="9" fillId="4" borderId="17" xfId="1" applyNumberFormat="1" applyFont="1" applyFill="1" applyBorder="1" applyAlignment="1">
      <alignment horizontal="center" vertical="center" wrapText="1"/>
    </xf>
    <xf numFmtId="0" fontId="8" fillId="0" borderId="0" xfId="1" applyFont="1" applyAlignment="1">
      <alignment vertical="center"/>
    </xf>
    <xf numFmtId="0" fontId="8" fillId="0" borderId="18" xfId="1" applyFont="1" applyFill="1" applyBorder="1" applyAlignment="1">
      <alignment horizontal="center" vertical="center" wrapText="1"/>
    </xf>
    <xf numFmtId="0" fontId="8" fillId="0" borderId="19" xfId="1" applyFont="1" applyFill="1" applyBorder="1" applyAlignment="1">
      <alignment horizontal="center" vertical="center"/>
    </xf>
    <xf numFmtId="0" fontId="8" fillId="4" borderId="19" xfId="1" applyFont="1" applyFill="1" applyBorder="1" applyAlignment="1">
      <alignment horizontal="center" vertical="center"/>
    </xf>
    <xf numFmtId="0" fontId="8" fillId="0" borderId="19" xfId="1" applyFont="1" applyFill="1" applyBorder="1" applyAlignment="1">
      <alignment horizontal="center" vertical="center" wrapText="1"/>
    </xf>
    <xf numFmtId="181" fontId="8" fillId="0" borderId="19" xfId="1" applyNumberFormat="1" applyFont="1" applyFill="1" applyBorder="1" applyAlignment="1">
      <alignment horizontal="center" vertical="center"/>
    </xf>
    <xf numFmtId="0" fontId="8" fillId="0" borderId="0" xfId="1" applyFont="1" applyFill="1" applyBorder="1" applyAlignment="1">
      <alignment horizontal="center" vertical="center"/>
    </xf>
    <xf numFmtId="0" fontId="8" fillId="0" borderId="0" xfId="1" applyFont="1" applyFill="1" applyAlignment="1">
      <alignment vertical="center"/>
    </xf>
    <xf numFmtId="0" fontId="8" fillId="0" borderId="19" xfId="1" applyNumberFormat="1" applyFont="1" applyFill="1" applyBorder="1" applyAlignment="1">
      <alignment horizontal="center" vertical="center"/>
    </xf>
    <xf numFmtId="0" fontId="8" fillId="0" borderId="20" xfId="1" applyFont="1" applyBorder="1" applyAlignment="1">
      <alignment horizontal="center" vertical="center"/>
    </xf>
    <xf numFmtId="180" fontId="8" fillId="0" borderId="21" xfId="1" applyNumberFormat="1" applyFont="1" applyBorder="1" applyAlignment="1">
      <alignment horizontal="center" vertical="center"/>
    </xf>
    <xf numFmtId="180" fontId="8" fillId="4" borderId="21" xfId="1" applyNumberFormat="1" applyFont="1" applyFill="1" applyBorder="1" applyAlignment="1">
      <alignment horizontal="center" vertical="center"/>
    </xf>
    <xf numFmtId="180" fontId="8" fillId="0" borderId="22" xfId="1" applyNumberFormat="1" applyFont="1" applyBorder="1" applyAlignment="1">
      <alignment horizontal="center" vertical="center"/>
    </xf>
    <xf numFmtId="180" fontId="8" fillId="4" borderId="22" xfId="1" applyNumberFormat="1" applyFont="1" applyFill="1" applyBorder="1" applyAlignment="1">
      <alignment horizontal="center" vertical="center"/>
    </xf>
    <xf numFmtId="180" fontId="8" fillId="0" borderId="23" xfId="1" applyNumberFormat="1" applyFont="1" applyBorder="1" applyAlignment="1">
      <alignment horizontal="center" vertical="center"/>
    </xf>
    <xf numFmtId="0" fontId="8" fillId="0" borderId="24" xfId="1" applyFont="1" applyBorder="1" applyAlignment="1">
      <alignment horizontal="center" vertical="center"/>
    </xf>
    <xf numFmtId="180" fontId="8" fillId="0" borderId="25" xfId="1" applyNumberFormat="1" applyFont="1" applyBorder="1" applyAlignment="1">
      <alignment horizontal="center" vertical="center"/>
    </xf>
    <xf numFmtId="180" fontId="8" fillId="0" borderId="19" xfId="1" applyNumberFormat="1" applyFont="1" applyBorder="1" applyAlignment="1">
      <alignment horizontal="center" vertical="center"/>
    </xf>
    <xf numFmtId="180" fontId="8" fillId="4" borderId="19" xfId="1" applyNumberFormat="1" applyFont="1" applyFill="1" applyBorder="1" applyAlignment="1">
      <alignment horizontal="center" vertical="center"/>
    </xf>
    <xf numFmtId="180" fontId="8" fillId="0" borderId="0" xfId="1" applyNumberFormat="1" applyFont="1" applyAlignment="1">
      <alignment horizontal="center" vertical="center"/>
    </xf>
    <xf numFmtId="0" fontId="8" fillId="0" borderId="26" xfId="1" applyFont="1" applyBorder="1" applyAlignment="1">
      <alignment horizontal="center" vertical="center"/>
    </xf>
    <xf numFmtId="180" fontId="8" fillId="0" borderId="27" xfId="1" applyNumberFormat="1" applyFont="1" applyBorder="1" applyAlignment="1">
      <alignment horizontal="center" vertical="center"/>
    </xf>
    <xf numFmtId="180" fontId="8" fillId="0" borderId="28" xfId="1" applyNumberFormat="1" applyFont="1" applyBorder="1" applyAlignment="1">
      <alignment horizontal="center" vertical="center"/>
    </xf>
    <xf numFmtId="180" fontId="8" fillId="4" borderId="28" xfId="1" applyNumberFormat="1" applyFont="1" applyFill="1" applyBorder="1" applyAlignment="1">
      <alignment horizontal="center" vertical="center"/>
    </xf>
    <xf numFmtId="180" fontId="8" fillId="4" borderId="27" xfId="1" applyNumberFormat="1" applyFont="1" applyFill="1" applyBorder="1" applyAlignment="1">
      <alignment horizontal="center" vertical="center"/>
    </xf>
    <xf numFmtId="180" fontId="8" fillId="0" borderId="25" xfId="1" applyNumberFormat="1" applyFont="1" applyFill="1" applyBorder="1" applyAlignment="1">
      <alignment horizontal="center" vertical="center"/>
    </xf>
    <xf numFmtId="0" fontId="8" fillId="0" borderId="29" xfId="1" applyFont="1" applyBorder="1" applyAlignment="1">
      <alignment horizontal="center" vertical="center"/>
    </xf>
    <xf numFmtId="180" fontId="8" fillId="0" borderId="30" xfId="1" applyNumberFormat="1" applyFont="1" applyBorder="1" applyAlignment="1">
      <alignment horizontal="center" vertical="center"/>
    </xf>
    <xf numFmtId="180" fontId="8" fillId="0" borderId="21" xfId="1" applyNumberFormat="1" applyFont="1" applyBorder="1" applyAlignment="1">
      <alignment horizontal="center" vertical="center" wrapText="1"/>
    </xf>
    <xf numFmtId="180" fontId="8" fillId="0" borderId="25" xfId="1" applyNumberFormat="1" applyFont="1" applyBorder="1" applyAlignment="1">
      <alignment horizontal="center" vertical="center" wrapText="1"/>
    </xf>
    <xf numFmtId="180" fontId="8" fillId="0" borderId="27" xfId="1" applyNumberFormat="1" applyFont="1" applyBorder="1" applyAlignment="1">
      <alignment horizontal="center" vertical="center" wrapText="1"/>
    </xf>
    <xf numFmtId="180" fontId="8" fillId="0" borderId="27" xfId="1" applyNumberFormat="1" applyFont="1" applyFill="1" applyBorder="1" applyAlignment="1">
      <alignment horizontal="center" vertical="center"/>
    </xf>
    <xf numFmtId="0" fontId="8" fillId="0" borderId="31" xfId="1" applyFont="1" applyBorder="1" applyAlignment="1">
      <alignment horizontal="center" vertical="center"/>
    </xf>
    <xf numFmtId="180" fontId="8" fillId="0" borderId="22" xfId="1" applyNumberFormat="1" applyFont="1" applyBorder="1" applyAlignment="1">
      <alignment horizontal="center" vertical="center" wrapText="1"/>
    </xf>
    <xf numFmtId="180" fontId="8" fillId="0" borderId="22" xfId="1" applyNumberFormat="1" applyFont="1" applyBorder="1" applyAlignment="1">
      <alignment horizontal="center" wrapText="1"/>
    </xf>
    <xf numFmtId="180" fontId="8" fillId="0" borderId="22" xfId="1" applyNumberFormat="1" applyFont="1" applyFill="1" applyBorder="1" applyAlignment="1">
      <alignment horizontal="center" vertical="center"/>
    </xf>
    <xf numFmtId="0" fontId="8" fillId="0" borderId="32" xfId="1" applyFont="1" applyBorder="1" applyAlignment="1">
      <alignment horizontal="center" vertical="center"/>
    </xf>
    <xf numFmtId="180" fontId="8" fillId="0" borderId="33" xfId="1" applyNumberFormat="1" applyFont="1" applyBorder="1" applyAlignment="1">
      <alignment horizontal="center" vertical="center"/>
    </xf>
    <xf numFmtId="180" fontId="8" fillId="0" borderId="25" xfId="1" applyNumberFormat="1" applyFont="1" applyBorder="1" applyAlignment="1">
      <alignment horizontal="center" wrapText="1"/>
    </xf>
    <xf numFmtId="180" fontId="8" fillId="0" borderId="27" xfId="1" applyNumberFormat="1" applyFont="1" applyBorder="1" applyAlignment="1">
      <alignment horizontal="center" wrapText="1"/>
    </xf>
    <xf numFmtId="0" fontId="8" fillId="0" borderId="34" xfId="1" applyFont="1" applyBorder="1" applyAlignment="1">
      <alignment horizontal="center" vertical="center"/>
    </xf>
    <xf numFmtId="0" fontId="8" fillId="0" borderId="0" xfId="1" applyFont="1" applyAlignment="1">
      <alignment horizontal="center" vertical="center"/>
    </xf>
    <xf numFmtId="0" fontId="8" fillId="0" borderId="35" xfId="1" applyFont="1" applyBorder="1" applyAlignment="1">
      <alignment horizontal="center" vertical="center"/>
    </xf>
    <xf numFmtId="181" fontId="8" fillId="0" borderId="0" xfId="1" applyNumberFormat="1" applyFont="1" applyAlignment="1">
      <alignment horizontal="center" vertical="center"/>
    </xf>
    <xf numFmtId="0" fontId="8" fillId="0" borderId="36" xfId="1" applyFont="1" applyBorder="1" applyAlignment="1">
      <alignment vertical="center"/>
    </xf>
    <xf numFmtId="180" fontId="8" fillId="0" borderId="0" xfId="1" applyNumberFormat="1" applyFont="1" applyAlignment="1">
      <alignment vertical="center"/>
    </xf>
    <xf numFmtId="182" fontId="8" fillId="0" borderId="19" xfId="1" applyNumberFormat="1" applyFont="1" applyFill="1" applyBorder="1" applyAlignment="1">
      <alignment horizontal="center" vertical="center"/>
    </xf>
    <xf numFmtId="0" fontId="11" fillId="2" borderId="0" xfId="1" applyFont="1" applyFill="1"/>
    <xf numFmtId="0" fontId="11" fillId="2" borderId="0" xfId="1" applyFont="1" applyFill="1" applyBorder="1"/>
    <xf numFmtId="0" fontId="12" fillId="2" borderId="0" xfId="1" applyFont="1" applyFill="1"/>
    <xf numFmtId="0" fontId="15" fillId="2" borderId="3" xfId="1" applyFont="1" applyFill="1" applyBorder="1" applyAlignment="1">
      <alignment horizontal="center" vertical="center"/>
    </xf>
    <xf numFmtId="0" fontId="18" fillId="2" borderId="3" xfId="1" applyFont="1" applyFill="1" applyBorder="1" applyAlignment="1">
      <alignment horizontal="center" vertical="center"/>
    </xf>
    <xf numFmtId="0" fontId="11" fillId="2" borderId="3" xfId="1" applyFont="1" applyFill="1" applyBorder="1"/>
    <xf numFmtId="0" fontId="16" fillId="2" borderId="3" xfId="1" applyFont="1" applyFill="1" applyBorder="1" applyAlignment="1">
      <alignment horizontal="center" vertical="top" wrapText="1"/>
    </xf>
    <xf numFmtId="183" fontId="18" fillId="2" borderId="3" xfId="2" applyNumberFormat="1" applyFont="1" applyFill="1" applyBorder="1" applyAlignment="1">
      <alignment horizontal="center" vertical="center"/>
    </xf>
    <xf numFmtId="0" fontId="16" fillId="2" borderId="0" xfId="1" applyFont="1" applyFill="1"/>
    <xf numFmtId="179" fontId="18" fillId="2" borderId="3" xfId="1" applyNumberFormat="1" applyFont="1" applyFill="1" applyBorder="1" applyAlignment="1">
      <alignment horizontal="center" vertical="center"/>
    </xf>
    <xf numFmtId="0" fontId="18" fillId="2" borderId="3" xfId="0" applyFont="1" applyFill="1" applyBorder="1" applyAlignment="1">
      <alignment horizontal="center" vertical="center"/>
    </xf>
    <xf numFmtId="178" fontId="11" fillId="2" borderId="0" xfId="1" applyNumberFormat="1" applyFont="1" applyFill="1"/>
    <xf numFmtId="0" fontId="21" fillId="2" borderId="3" xfId="1" applyFont="1" applyFill="1" applyBorder="1" applyAlignment="1">
      <alignment horizontal="center" vertical="center" wrapText="1"/>
    </xf>
    <xf numFmtId="0" fontId="16" fillId="2" borderId="3" xfId="1" applyFont="1" applyFill="1" applyBorder="1" applyAlignment="1">
      <alignment horizontal="center" vertical="top"/>
    </xf>
    <xf numFmtId="183" fontId="18" fillId="2" borderId="4" xfId="2" applyNumberFormat="1" applyFont="1" applyFill="1" applyBorder="1" applyAlignment="1">
      <alignment horizontal="center" vertical="center"/>
    </xf>
    <xf numFmtId="0" fontId="16" fillId="2" borderId="7" xfId="1" applyFont="1" applyFill="1" applyBorder="1" applyAlignment="1">
      <alignment horizontal="center" vertical="center"/>
    </xf>
    <xf numFmtId="0" fontId="16" fillId="2" borderId="39" xfId="1" applyFont="1" applyFill="1" applyBorder="1" applyAlignment="1">
      <alignment horizontal="center" vertical="center"/>
    </xf>
    <xf numFmtId="0" fontId="18" fillId="2" borderId="2" xfId="0" applyFont="1" applyFill="1" applyBorder="1" applyAlignment="1">
      <alignment horizontal="center" vertical="center"/>
    </xf>
    <xf numFmtId="20" fontId="15" fillId="2" borderId="8" xfId="1" applyNumberFormat="1" applyFont="1" applyFill="1" applyBorder="1" applyAlignment="1">
      <alignment horizontal="center" vertical="center"/>
    </xf>
    <xf numFmtId="0" fontId="16" fillId="2" borderId="8" xfId="1" applyFont="1" applyFill="1" applyBorder="1" applyAlignment="1">
      <alignment horizontal="center" vertical="center"/>
    </xf>
    <xf numFmtId="0" fontId="18" fillId="2" borderId="8" xfId="0" applyFont="1" applyFill="1" applyBorder="1" applyAlignment="1">
      <alignment horizontal="center" vertical="center"/>
    </xf>
    <xf numFmtId="0" fontId="15" fillId="2" borderId="4" xfId="1" applyFont="1" applyFill="1" applyBorder="1" applyAlignment="1">
      <alignment horizontal="center" vertical="center"/>
    </xf>
    <xf numFmtId="0" fontId="18" fillId="2" borderId="40" xfId="1" applyFont="1" applyFill="1" applyBorder="1" applyAlignment="1">
      <alignment horizontal="center" vertical="center"/>
    </xf>
    <xf numFmtId="0" fontId="23" fillId="2" borderId="40" xfId="1" applyFont="1" applyFill="1" applyBorder="1" applyAlignment="1">
      <alignment horizontal="center" vertical="center"/>
    </xf>
    <xf numFmtId="0" fontId="18" fillId="2" borderId="3" xfId="1" applyFont="1" applyFill="1" applyBorder="1" applyAlignment="1">
      <alignment horizontal="center" vertical="top"/>
    </xf>
    <xf numFmtId="0" fontId="23" fillId="2" borderId="3" xfId="1" applyFont="1" applyFill="1" applyBorder="1" applyAlignment="1">
      <alignment horizontal="center" vertical="top"/>
    </xf>
    <xf numFmtId="183" fontId="23" fillId="2" borderId="3" xfId="2" applyNumberFormat="1" applyFont="1" applyFill="1" applyBorder="1" applyAlignment="1">
      <alignment horizontal="center" vertical="center"/>
    </xf>
    <xf numFmtId="183" fontId="18" fillId="2" borderId="3" xfId="1" applyNumberFormat="1" applyFont="1" applyFill="1" applyBorder="1" applyAlignment="1">
      <alignment horizontal="center" vertical="center" wrapText="1"/>
    </xf>
    <xf numFmtId="183" fontId="23" fillId="2" borderId="3" xfId="1" applyNumberFormat="1" applyFont="1" applyFill="1" applyBorder="1" applyAlignment="1">
      <alignment horizontal="center" vertical="center" wrapText="1"/>
    </xf>
    <xf numFmtId="0" fontId="23" fillId="2" borderId="3" xfId="0" applyFont="1" applyFill="1" applyBorder="1" applyAlignment="1">
      <alignment horizontal="center" vertical="center"/>
    </xf>
    <xf numFmtId="0" fontId="24" fillId="2" borderId="1" xfId="1" applyFont="1" applyFill="1" applyBorder="1" applyAlignment="1">
      <alignment horizontal="center" vertical="center"/>
    </xf>
    <xf numFmtId="178" fontId="11" fillId="2" borderId="0" xfId="1" applyNumberFormat="1" applyFont="1" applyFill="1" applyAlignment="1">
      <alignment wrapText="1"/>
    </xf>
    <xf numFmtId="0" fontId="16" fillId="2" borderId="3" xfId="1" applyFont="1" applyFill="1" applyBorder="1" applyAlignment="1">
      <alignment horizontal="center" vertical="center" wrapText="1"/>
    </xf>
    <xf numFmtId="0" fontId="16" fillId="2" borderId="11" xfId="1" applyFont="1" applyFill="1" applyBorder="1" applyAlignment="1">
      <alignment horizontal="center" vertical="center" wrapText="1"/>
    </xf>
    <xf numFmtId="0" fontId="16" fillId="2" borderId="5" xfId="1" applyFont="1" applyFill="1" applyBorder="1" applyAlignment="1">
      <alignment horizontal="center" vertical="center"/>
    </xf>
    <xf numFmtId="0" fontId="13" fillId="2" borderId="12" xfId="1" applyFont="1" applyFill="1" applyBorder="1" applyAlignment="1">
      <alignment horizontal="center" vertical="center" wrapText="1"/>
    </xf>
    <xf numFmtId="178" fontId="16" fillId="2" borderId="11" xfId="1" applyNumberFormat="1" applyFont="1" applyFill="1" applyBorder="1" applyAlignment="1">
      <alignment horizontal="center" vertical="center" wrapText="1"/>
    </xf>
    <xf numFmtId="179" fontId="11" fillId="2" borderId="0" xfId="1" applyNumberFormat="1" applyFont="1" applyFill="1"/>
    <xf numFmtId="9" fontId="11" fillId="2" borderId="0" xfId="5" applyFont="1" applyFill="1"/>
    <xf numFmtId="0" fontId="11" fillId="2" borderId="0" xfId="1" applyFont="1" applyFill="1" applyAlignment="1">
      <alignment horizontal="left" vertical="center"/>
    </xf>
    <xf numFmtId="0" fontId="22" fillId="2" borderId="3" xfId="1" applyFont="1" applyFill="1" applyBorder="1" applyAlignment="1">
      <alignment horizontal="center" vertical="top"/>
    </xf>
    <xf numFmtId="0" fontId="25" fillId="2" borderId="3" xfId="1" applyFont="1" applyFill="1" applyBorder="1" applyAlignment="1">
      <alignment horizontal="center" vertical="center" wrapText="1"/>
    </xf>
    <xf numFmtId="183" fontId="26" fillId="2" borderId="4" xfId="2" applyNumberFormat="1" applyFont="1" applyFill="1" applyBorder="1" applyAlignment="1">
      <alignment horizontal="center" vertical="center"/>
    </xf>
    <xf numFmtId="179" fontId="26" fillId="2" borderId="3" xfId="1" applyNumberFormat="1" applyFont="1" applyFill="1" applyBorder="1" applyAlignment="1">
      <alignment horizontal="center" vertical="center"/>
    </xf>
    <xf numFmtId="0" fontId="26" fillId="2" borderId="3" xfId="0" applyFont="1" applyFill="1" applyBorder="1" applyAlignment="1">
      <alignment horizontal="center" vertical="center"/>
    </xf>
    <xf numFmtId="183" fontId="26" fillId="2" borderId="3" xfId="2" applyNumberFormat="1" applyFont="1" applyFill="1" applyBorder="1" applyAlignment="1">
      <alignment horizontal="center" vertical="center"/>
    </xf>
    <xf numFmtId="0" fontId="26" fillId="2" borderId="2" xfId="0" applyFont="1" applyFill="1" applyBorder="1" applyAlignment="1">
      <alignment horizontal="center" vertical="center"/>
    </xf>
    <xf numFmtId="184" fontId="11" fillId="2" borderId="0" xfId="1" applyNumberFormat="1" applyFont="1" applyFill="1"/>
    <xf numFmtId="0" fontId="13" fillId="2" borderId="3" xfId="1" applyFont="1" applyFill="1" applyBorder="1" applyAlignment="1">
      <alignment horizontal="center" vertical="top"/>
    </xf>
    <xf numFmtId="0" fontId="18" fillId="2" borderId="3" xfId="1" applyFont="1" applyFill="1" applyBorder="1" applyAlignment="1">
      <alignment horizontal="center" vertical="top" wrapText="1"/>
    </xf>
    <xf numFmtId="0" fontId="15" fillId="2" borderId="3" xfId="1" applyFont="1" applyFill="1" applyBorder="1" applyAlignment="1">
      <alignment horizontal="center" vertical="top" wrapText="1"/>
    </xf>
    <xf numFmtId="0" fontId="15" fillId="2" borderId="3" xfId="1" applyFont="1" applyFill="1" applyBorder="1" applyAlignment="1">
      <alignment horizontal="center" vertical="top"/>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28" fillId="2" borderId="3" xfId="1" applyFont="1" applyFill="1" applyBorder="1" applyAlignment="1">
      <alignment horizontal="center" vertical="top"/>
    </xf>
    <xf numFmtId="10" fontId="18" fillId="2" borderId="3" xfId="23" applyNumberFormat="1" applyFont="1" applyFill="1" applyBorder="1" applyAlignment="1">
      <alignment horizontal="center" vertical="center"/>
    </xf>
    <xf numFmtId="0" fontId="31" fillId="0" borderId="48" xfId="0" applyFont="1" applyBorder="1" applyAlignment="1">
      <alignment vertical="center" wrapText="1" readingOrder="1"/>
    </xf>
    <xf numFmtId="3" fontId="30" fillId="0" borderId="48" xfId="0" applyNumberFormat="1" applyFont="1" applyBorder="1" applyAlignment="1">
      <alignment vertical="center" wrapText="1" readingOrder="1"/>
    </xf>
    <xf numFmtId="0" fontId="30" fillId="0" borderId="48" xfId="0" applyFont="1" applyBorder="1" applyAlignment="1">
      <alignment vertical="center" wrapText="1" readingOrder="1"/>
    </xf>
    <xf numFmtId="4" fontId="30" fillId="0" borderId="48" xfId="0" applyNumberFormat="1" applyFont="1" applyBorder="1" applyAlignment="1">
      <alignment vertical="center" wrapText="1" readingOrder="1"/>
    </xf>
    <xf numFmtId="49" fontId="32" fillId="0" borderId="48" xfId="0" applyNumberFormat="1" applyFont="1" applyBorder="1" applyAlignment="1">
      <alignment vertical="center" wrapText="1" readingOrder="1"/>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9" fontId="18" fillId="2" borderId="3" xfId="23" applyFont="1" applyFill="1" applyBorder="1" applyAlignment="1">
      <alignment horizontal="center" vertical="center"/>
    </xf>
    <xf numFmtId="0" fontId="0" fillId="2" borderId="0" xfId="1" applyFont="1" applyFill="1"/>
    <xf numFmtId="179" fontId="0" fillId="2" borderId="3" xfId="1" applyNumberFormat="1" applyFont="1" applyFill="1" applyBorder="1" applyAlignment="1">
      <alignment horizontal="center" vertical="center"/>
    </xf>
    <xf numFmtId="0" fontId="0" fillId="2" borderId="3" xfId="0" applyFont="1" applyFill="1" applyBorder="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1" fillId="0" borderId="0" xfId="1" applyFont="1" applyAlignment="1">
      <alignment vertical="center"/>
    </xf>
    <xf numFmtId="0" fontId="11" fillId="0" borderId="0" xfId="1" applyFont="1" applyAlignment="1">
      <alignment horizontal="center" vertical="center"/>
    </xf>
    <xf numFmtId="0" fontId="34" fillId="0" borderId="51" xfId="1" applyFont="1" applyBorder="1" applyAlignment="1">
      <alignment horizontal="center" vertical="center"/>
    </xf>
    <xf numFmtId="0" fontId="13" fillId="0" borderId="0" xfId="1" applyFont="1" applyAlignment="1">
      <alignment horizontal="center" vertical="center"/>
    </xf>
    <xf numFmtId="0" fontId="14" fillId="0" borderId="0" xfId="1" applyFont="1" applyAlignment="1">
      <alignment horizontal="center" vertical="center"/>
    </xf>
    <xf numFmtId="0" fontId="13" fillId="0" borderId="0" xfId="1" applyFont="1" applyAlignment="1">
      <alignment vertical="center"/>
    </xf>
    <xf numFmtId="0" fontId="36" fillId="0" borderId="0" xfId="1" applyFont="1" applyAlignment="1">
      <alignment horizontal="right" vertical="center"/>
    </xf>
    <xf numFmtId="0" fontId="37" fillId="0" borderId="0" xfId="1" applyFont="1" applyAlignment="1">
      <alignment horizontal="center" vertical="center"/>
    </xf>
    <xf numFmtId="9" fontId="37" fillId="0" borderId="0" xfId="1" applyNumberFormat="1" applyFont="1" applyAlignment="1">
      <alignment horizontal="center" vertical="center"/>
    </xf>
    <xf numFmtId="0" fontId="38" fillId="0" borderId="0" xfId="1" applyFont="1" applyAlignment="1">
      <alignment vertical="center"/>
    </xf>
    <xf numFmtId="0" fontId="36" fillId="0" borderId="53" xfId="1" applyFont="1" applyBorder="1" applyAlignment="1" applyProtection="1">
      <alignment horizontal="right" vertical="center"/>
      <protection locked="0"/>
    </xf>
    <xf numFmtId="9" fontId="37" fillId="0" borderId="0" xfId="5" applyFont="1" applyAlignment="1">
      <alignment horizontal="center" vertical="center"/>
    </xf>
    <xf numFmtId="3" fontId="37" fillId="0" borderId="0" xfId="1" applyNumberFormat="1" applyFont="1" applyAlignment="1">
      <alignment horizontal="center" vertical="center"/>
    </xf>
    <xf numFmtId="9" fontId="11" fillId="0" borderId="0" xfId="1" applyNumberFormat="1" applyFont="1" applyAlignment="1">
      <alignment vertical="center"/>
    </xf>
    <xf numFmtId="0" fontId="11" fillId="0" borderId="0" xfId="1" applyFont="1" applyAlignment="1">
      <alignment horizontal="right" vertical="center"/>
    </xf>
    <xf numFmtId="10" fontId="36" fillId="0" borderId="0" xfId="1" applyNumberFormat="1" applyFont="1" applyFill="1" applyBorder="1" applyAlignment="1" applyProtection="1">
      <alignment horizontal="left" vertical="top" wrapText="1"/>
      <protection locked="0"/>
    </xf>
    <xf numFmtId="0" fontId="11" fillId="0" borderId="0" xfId="1" applyFont="1"/>
    <xf numFmtId="0" fontId="11" fillId="0" borderId="0" xfId="1" applyFont="1" applyAlignment="1">
      <alignment horizontal="center"/>
    </xf>
    <xf numFmtId="0" fontId="34" fillId="0" borderId="59" xfId="1" applyFont="1" applyBorder="1" applyAlignment="1">
      <alignment horizontal="center" vertical="center"/>
    </xf>
    <xf numFmtId="0" fontId="11" fillId="0" borderId="50" xfId="1" applyNumberFormat="1" applyFont="1" applyBorder="1" applyAlignment="1" applyProtection="1">
      <alignment horizontal="center" vertical="center"/>
      <protection locked="0"/>
    </xf>
    <xf numFmtId="0" fontId="36" fillId="0" borderId="53" xfId="1" applyNumberFormat="1" applyFont="1" applyFill="1" applyBorder="1" applyAlignment="1" applyProtection="1">
      <alignment horizontal="right" vertical="center"/>
      <protection locked="0"/>
    </xf>
    <xf numFmtId="0" fontId="36" fillId="2" borderId="57" xfId="1" applyNumberFormat="1" applyFont="1" applyFill="1" applyBorder="1" applyAlignment="1" applyProtection="1">
      <alignment horizontal="center" vertical="center"/>
      <protection locked="0"/>
    </xf>
    <xf numFmtId="0" fontId="36" fillId="2" borderId="0" xfId="1" applyNumberFormat="1" applyFont="1" applyFill="1" applyBorder="1" applyAlignment="1" applyProtection="1">
      <alignment horizontal="center" vertical="center"/>
      <protection locked="0"/>
    </xf>
    <xf numFmtId="0" fontId="11" fillId="0" borderId="0" xfId="1" applyNumberFormat="1" applyFont="1"/>
    <xf numFmtId="1" fontId="18" fillId="2" borderId="3" xfId="0" applyNumberFormat="1" applyFont="1" applyFill="1" applyBorder="1" applyAlignment="1">
      <alignment horizontal="center" vertical="center"/>
    </xf>
    <xf numFmtId="1" fontId="18" fillId="2" borderId="3" xfId="2" applyNumberFormat="1" applyFont="1" applyFill="1" applyBorder="1" applyAlignment="1">
      <alignment horizontal="center" vertical="center"/>
    </xf>
    <xf numFmtId="185" fontId="18" fillId="2" borderId="3" xfId="23" applyNumberFormat="1" applyFont="1" applyFill="1" applyBorder="1" applyAlignment="1">
      <alignment horizontal="center" vertical="center"/>
    </xf>
    <xf numFmtId="0" fontId="11" fillId="0" borderId="0" xfId="1" applyFont="1" applyBorder="1"/>
    <xf numFmtId="0" fontId="11" fillId="0" borderId="0" xfId="1" applyFont="1" applyBorder="1" applyAlignment="1">
      <alignment horizontal="center"/>
    </xf>
    <xf numFmtId="10" fontId="18" fillId="2" borderId="0" xfId="23" applyNumberFormat="1" applyFont="1" applyFill="1" applyBorder="1" applyAlignment="1">
      <alignment horizontal="center" vertical="center"/>
    </xf>
    <xf numFmtId="1" fontId="18" fillId="2" borderId="0" xfId="2" applyNumberFormat="1" applyFont="1" applyFill="1" applyBorder="1" applyAlignment="1">
      <alignment horizontal="center" vertical="center"/>
    </xf>
    <xf numFmtId="1" fontId="18" fillId="2" borderId="0" xfId="0" applyNumberFormat="1" applyFont="1" applyFill="1" applyBorder="1" applyAlignment="1">
      <alignment horizontal="center" vertical="center"/>
    </xf>
    <xf numFmtId="0" fontId="11" fillId="2" borderId="8" xfId="1" applyFont="1" applyFill="1" applyBorder="1"/>
    <xf numFmtId="0" fontId="21" fillId="2" borderId="8" xfId="1" applyFont="1" applyFill="1" applyBorder="1" applyAlignment="1">
      <alignment horizontal="center" vertical="center" wrapText="1"/>
    </xf>
    <xf numFmtId="9" fontId="37" fillId="0" borderId="0" xfId="1" applyNumberFormat="1" applyFont="1" applyAlignment="1">
      <alignment horizontal="center" vertical="center"/>
    </xf>
    <xf numFmtId="0" fontId="11" fillId="0" borderId="0" xfId="1" applyFont="1" applyAlignment="1">
      <alignment horizontal="right" vertical="center"/>
    </xf>
    <xf numFmtId="0" fontId="37" fillId="0" borderId="0" xfId="1" applyFont="1" applyAlignment="1">
      <alignment horizontal="center" vertical="center"/>
    </xf>
    <xf numFmtId="0" fontId="11" fillId="0" borderId="49" xfId="1" applyNumberFormat="1" applyFont="1" applyBorder="1" applyAlignment="1" applyProtection="1">
      <alignment horizontal="center" vertical="center"/>
      <protection locked="0"/>
    </xf>
    <xf numFmtId="0" fontId="36" fillId="0" borderId="52" xfId="1" applyNumberFormat="1" applyFont="1" applyBorder="1" applyAlignment="1" applyProtection="1">
      <alignment horizontal="center" vertical="center"/>
      <protection locked="0"/>
    </xf>
    <xf numFmtId="0" fontId="36" fillId="0" borderId="53" xfId="1" applyNumberFormat="1" applyFont="1" applyBorder="1" applyAlignment="1" applyProtection="1">
      <alignment horizontal="right" vertical="center"/>
      <protection locked="0"/>
    </xf>
    <xf numFmtId="0" fontId="36" fillId="0" borderId="56" xfId="1" applyNumberFormat="1" applyFont="1" applyBorder="1" applyAlignment="1" applyProtection="1">
      <alignment horizontal="center" vertical="center"/>
      <protection locked="0"/>
    </xf>
    <xf numFmtId="0" fontId="36" fillId="2" borderId="57" xfId="1" applyNumberFormat="1" applyFont="1" applyFill="1" applyBorder="1" applyAlignment="1" applyProtection="1">
      <alignment vertical="center"/>
      <protection locked="0"/>
    </xf>
    <xf numFmtId="0" fontId="36" fillId="0" borderId="0" xfId="1" applyNumberFormat="1" applyFont="1" applyBorder="1" applyAlignment="1" applyProtection="1">
      <alignment horizontal="center" vertical="center"/>
      <protection locked="0"/>
    </xf>
    <xf numFmtId="0" fontId="36" fillId="2" borderId="0" xfId="1" applyNumberFormat="1" applyFont="1" applyFill="1" applyBorder="1" applyAlignment="1" applyProtection="1">
      <alignment vertical="center"/>
      <protection locked="0"/>
    </xf>
    <xf numFmtId="0" fontId="39" fillId="0" borderId="0" xfId="1" applyNumberFormat="1" applyFont="1"/>
    <xf numFmtId="0" fontId="11" fillId="2" borderId="0" xfId="1" applyFont="1" applyFill="1" applyAlignment="1">
      <alignment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33" fillId="0" borderId="0" xfId="1" applyNumberFormat="1" applyFont="1" applyBorder="1" applyAlignment="1" applyProtection="1">
      <alignment horizontal="center" vertical="center"/>
      <protection locked="0"/>
    </xf>
    <xf numFmtId="0" fontId="11" fillId="0" borderId="23" xfId="1" applyFont="1" applyBorder="1" applyAlignment="1" applyProtection="1">
      <alignment horizontal="right" vertical="center"/>
      <protection locked="0"/>
    </xf>
    <xf numFmtId="10" fontId="36" fillId="0" borderId="54" xfId="1" applyNumberFormat="1" applyFont="1" applyFill="1" applyBorder="1" applyAlignment="1" applyProtection="1">
      <alignment horizontal="left" vertical="top" wrapText="1"/>
      <protection locked="0"/>
    </xf>
    <xf numFmtId="10" fontId="36" fillId="0" borderId="55" xfId="1" applyNumberFormat="1" applyFont="1" applyFill="1" applyBorder="1" applyAlignment="1" applyProtection="1">
      <alignment horizontal="left" vertical="top" wrapText="1"/>
      <protection locked="0"/>
    </xf>
    <xf numFmtId="10" fontId="36" fillId="0" borderId="58" xfId="1" applyNumberFormat="1" applyFont="1" applyFill="1" applyBorder="1" applyAlignment="1" applyProtection="1">
      <alignment horizontal="left" vertical="top" wrapText="1"/>
      <protection locked="0"/>
    </xf>
    <xf numFmtId="49" fontId="37" fillId="0" borderId="0" xfId="1" applyNumberFormat="1" applyFont="1" applyBorder="1" applyAlignment="1">
      <alignment horizontal="center" vertical="center" wrapText="1"/>
    </xf>
    <xf numFmtId="9" fontId="37" fillId="0" borderId="0" xfId="1" applyNumberFormat="1" applyFont="1" applyAlignment="1">
      <alignment horizontal="center" vertical="center"/>
    </xf>
    <xf numFmtId="0" fontId="38" fillId="0" borderId="0" xfId="1" applyFont="1" applyAlignment="1">
      <alignment horizontal="left" vertical="center"/>
    </xf>
    <xf numFmtId="0" fontId="11" fillId="0" borderId="0" xfId="1" applyFont="1" applyAlignment="1">
      <alignment horizontal="right" vertical="center"/>
    </xf>
    <xf numFmtId="0" fontId="33" fillId="0" borderId="23" xfId="1" applyNumberFormat="1" applyFont="1" applyBorder="1" applyAlignment="1" applyProtection="1">
      <alignment horizontal="center" vertical="center"/>
      <protection locked="0"/>
    </xf>
    <xf numFmtId="0" fontId="37" fillId="0" borderId="0" xfId="1" applyFont="1" applyAlignment="1">
      <alignment horizontal="center" vertical="center"/>
    </xf>
    <xf numFmtId="0" fontId="11" fillId="2" borderId="0" xfId="1" applyFont="1" applyFill="1" applyAlignment="1">
      <alignment horizontal="center" vertical="center"/>
    </xf>
    <xf numFmtId="178" fontId="12" fillId="2" borderId="0" xfId="1" applyNumberFormat="1" applyFont="1" applyFill="1" applyAlignment="1">
      <alignment horizontal="center" vertical="center"/>
    </xf>
    <xf numFmtId="179" fontId="16" fillId="2" borderId="2" xfId="1" applyNumberFormat="1" applyFont="1" applyFill="1" applyBorder="1" applyAlignment="1">
      <alignment horizontal="center" vertical="center"/>
    </xf>
    <xf numFmtId="179" fontId="16" fillId="2" borderId="4" xfId="1" applyNumberFormat="1" applyFont="1" applyFill="1" applyBorder="1" applyAlignment="1">
      <alignment horizontal="center" vertical="center"/>
    </xf>
    <xf numFmtId="179" fontId="16" fillId="2" borderId="13" xfId="1" applyNumberFormat="1" applyFont="1" applyFill="1" applyBorder="1" applyAlignment="1">
      <alignment horizontal="center" vertical="center"/>
    </xf>
    <xf numFmtId="179" fontId="16" fillId="2" borderId="15" xfId="1" applyNumberFormat="1" applyFont="1" applyFill="1" applyBorder="1" applyAlignment="1">
      <alignment horizontal="center" vertical="center"/>
    </xf>
    <xf numFmtId="179" fontId="16" fillId="2" borderId="14" xfId="1" applyNumberFormat="1" applyFont="1" applyFill="1" applyBorder="1" applyAlignment="1">
      <alignment horizontal="center" vertical="center"/>
    </xf>
    <xf numFmtId="179" fontId="16" fillId="2" borderId="16" xfId="1" applyNumberFormat="1" applyFont="1" applyFill="1" applyBorder="1" applyAlignment="1">
      <alignment horizontal="center" vertical="center"/>
    </xf>
    <xf numFmtId="178" fontId="16" fillId="2" borderId="2" xfId="1" applyNumberFormat="1" applyFont="1" applyFill="1" applyBorder="1" applyAlignment="1">
      <alignment horizontal="center" vertical="center"/>
    </xf>
    <xf numFmtId="178" fontId="16" fillId="2" borderId="4" xfId="1" applyNumberFormat="1" applyFont="1" applyFill="1" applyBorder="1" applyAlignment="1">
      <alignment horizontal="center" vertical="center"/>
    </xf>
    <xf numFmtId="179" fontId="16" fillId="2" borderId="37" xfId="1" applyNumberFormat="1" applyFont="1" applyFill="1" applyBorder="1" applyAlignment="1">
      <alignment horizontal="center" vertical="center"/>
    </xf>
    <xf numFmtId="179" fontId="16" fillId="2" borderId="46" xfId="1" applyNumberFormat="1" applyFont="1" applyFill="1" applyBorder="1" applyAlignment="1">
      <alignment horizontal="center" vertical="center"/>
    </xf>
    <xf numFmtId="179" fontId="16" fillId="2" borderId="40" xfId="1" applyNumberFormat="1" applyFont="1" applyFill="1" applyBorder="1" applyAlignment="1">
      <alignment horizontal="center" vertical="center"/>
    </xf>
    <xf numFmtId="179" fontId="16" fillId="2" borderId="47" xfId="1" applyNumberFormat="1" applyFont="1" applyFill="1" applyBorder="1" applyAlignment="1">
      <alignment horizontal="center" vertical="center"/>
    </xf>
    <xf numFmtId="0" fontId="11" fillId="2" borderId="38" xfId="1" applyFont="1" applyFill="1" applyBorder="1" applyAlignment="1">
      <alignment horizontal="center"/>
    </xf>
    <xf numFmtId="179" fontId="16" fillId="2" borderId="2" xfId="1" applyNumberFormat="1" applyFont="1" applyFill="1" applyBorder="1" applyAlignment="1">
      <alignment horizontal="center" vertical="center" wrapText="1"/>
    </xf>
    <xf numFmtId="179" fontId="16" fillId="2" borderId="4" xfId="1" applyNumberFormat="1" applyFont="1" applyFill="1" applyBorder="1" applyAlignment="1">
      <alignment horizontal="center" vertical="center" wrapText="1"/>
    </xf>
    <xf numFmtId="178" fontId="16" fillId="2" borderId="2" xfId="1" applyNumberFormat="1" applyFont="1" applyFill="1" applyBorder="1" applyAlignment="1">
      <alignment horizontal="center" vertical="center" wrapText="1"/>
    </xf>
    <xf numFmtId="178" fontId="16" fillId="2" borderId="4" xfId="1" applyNumberFormat="1" applyFont="1" applyFill="1" applyBorder="1" applyAlignment="1">
      <alignment horizontal="center" vertical="center" wrapText="1"/>
    </xf>
    <xf numFmtId="179" fontId="16" fillId="2" borderId="13" xfId="1" applyNumberFormat="1" applyFont="1" applyFill="1" applyBorder="1" applyAlignment="1">
      <alignment horizontal="center" vertical="center" wrapText="1"/>
    </xf>
    <xf numFmtId="179" fontId="16" fillId="2" borderId="15" xfId="1" applyNumberFormat="1" applyFont="1" applyFill="1" applyBorder="1" applyAlignment="1">
      <alignment horizontal="center" vertical="center" wrapText="1"/>
    </xf>
    <xf numFmtId="178" fontId="16" fillId="2" borderId="14" xfId="1" applyNumberFormat="1" applyFont="1" applyFill="1" applyBorder="1" applyAlignment="1">
      <alignment horizontal="center" vertical="center"/>
    </xf>
    <xf numFmtId="178" fontId="16" fillId="2" borderId="16" xfId="1" applyNumberFormat="1" applyFont="1" applyFill="1" applyBorder="1" applyAlignment="1">
      <alignment horizontal="center" vertical="center"/>
    </xf>
    <xf numFmtId="179" fontId="16" fillId="2" borderId="14" xfId="1" applyNumberFormat="1" applyFont="1" applyFill="1" applyBorder="1" applyAlignment="1">
      <alignment horizontal="center" vertical="center" wrapText="1"/>
    </xf>
    <xf numFmtId="179" fontId="16" fillId="2" borderId="16" xfId="1" applyNumberFormat="1" applyFont="1" applyFill="1" applyBorder="1" applyAlignment="1">
      <alignment horizontal="center" vertical="center" wrapText="1"/>
    </xf>
    <xf numFmtId="179" fontId="16" fillId="2" borderId="13" xfId="4" applyNumberFormat="1" applyFont="1" applyFill="1" applyBorder="1" applyAlignment="1">
      <alignment horizontal="center" vertical="center" wrapText="1"/>
    </xf>
    <xf numFmtId="179" fontId="16" fillId="2" borderId="15" xfId="4" applyNumberFormat="1" applyFont="1" applyFill="1" applyBorder="1" applyAlignment="1">
      <alignment horizontal="center" vertical="center" wrapText="1"/>
    </xf>
    <xf numFmtId="0" fontId="12" fillId="2" borderId="10" xfId="1" applyFont="1" applyFill="1" applyBorder="1" applyAlignment="1">
      <alignment horizontal="center" vertical="center"/>
    </xf>
    <xf numFmtId="0" fontId="12" fillId="2" borderId="8" xfId="1" applyFont="1" applyFill="1" applyBorder="1" applyAlignment="1">
      <alignment horizontal="center" vertical="center"/>
    </xf>
    <xf numFmtId="0" fontId="12" fillId="2" borderId="9" xfId="1" applyFont="1" applyFill="1" applyBorder="1" applyAlignment="1">
      <alignment horizontal="center" vertical="center"/>
    </xf>
    <xf numFmtId="0" fontId="11" fillId="2" borderId="10" xfId="1" applyFont="1" applyFill="1" applyBorder="1" applyAlignment="1">
      <alignment horizontal="center"/>
    </xf>
    <xf numFmtId="0" fontId="11" fillId="2" borderId="8" xfId="1" applyFont="1" applyFill="1" applyBorder="1" applyAlignment="1">
      <alignment horizontal="center"/>
    </xf>
    <xf numFmtId="0" fontId="11" fillId="2" borderId="9" xfId="1" applyFont="1" applyFill="1" applyBorder="1" applyAlignment="1">
      <alignment horizontal="center"/>
    </xf>
    <xf numFmtId="0" fontId="13" fillId="2" borderId="5" xfId="1" applyFont="1" applyFill="1" applyBorder="1" applyAlignment="1">
      <alignment horizontal="center" vertical="center" wrapText="1"/>
    </xf>
    <xf numFmtId="0" fontId="13" fillId="2" borderId="9" xfId="1" applyFont="1" applyFill="1" applyBorder="1" applyAlignment="1">
      <alignment horizontal="center" vertical="center" wrapText="1"/>
    </xf>
    <xf numFmtId="0" fontId="12" fillId="2" borderId="37" xfId="1" applyFont="1" applyFill="1" applyBorder="1" applyAlignment="1">
      <alignment horizontal="center" vertical="center" wrapText="1"/>
    </xf>
    <xf numFmtId="0" fontId="12" fillId="2" borderId="39" xfId="1" applyFont="1" applyFill="1" applyBorder="1" applyAlignment="1">
      <alignment horizontal="center" vertical="center" wrapText="1"/>
    </xf>
    <xf numFmtId="0" fontId="12" fillId="2" borderId="40" xfId="1" applyFont="1" applyFill="1" applyBorder="1" applyAlignment="1">
      <alignment horizontal="center" vertical="center" wrapText="1"/>
    </xf>
    <xf numFmtId="0" fontId="12" fillId="2" borderId="41" xfId="1" applyFont="1" applyFill="1" applyBorder="1" applyAlignment="1">
      <alignment horizontal="center" vertical="center" wrapText="1"/>
    </xf>
    <xf numFmtId="178" fontId="16" fillId="2" borderId="13" xfId="3" applyNumberFormat="1" applyFont="1" applyFill="1" applyBorder="1" applyAlignment="1">
      <alignment horizontal="center" vertical="center"/>
    </xf>
    <xf numFmtId="178" fontId="16" fillId="2" borderId="15" xfId="3" applyNumberFormat="1" applyFont="1" applyFill="1" applyBorder="1" applyAlignment="1">
      <alignment horizontal="center" vertical="center"/>
    </xf>
    <xf numFmtId="178" fontId="16" fillId="2" borderId="14" xfId="3" applyNumberFormat="1" applyFont="1" applyFill="1" applyBorder="1" applyAlignment="1">
      <alignment horizontal="center" vertical="center"/>
    </xf>
    <xf numFmtId="178" fontId="16" fillId="2" borderId="16" xfId="3" applyNumberFormat="1" applyFont="1" applyFill="1" applyBorder="1" applyAlignment="1">
      <alignment horizontal="center" vertical="center"/>
    </xf>
    <xf numFmtId="0" fontId="16" fillId="2" borderId="2" xfId="1" applyFont="1" applyFill="1" applyBorder="1" applyAlignment="1">
      <alignment horizontal="center" vertical="center"/>
    </xf>
    <xf numFmtId="0" fontId="16" fillId="2" borderId="4" xfId="1" applyFont="1" applyFill="1" applyBorder="1" applyAlignment="1">
      <alignment horizontal="center" vertical="center"/>
    </xf>
    <xf numFmtId="20" fontId="15" fillId="2" borderId="2" xfId="1" applyNumberFormat="1" applyFont="1" applyFill="1" applyBorder="1" applyAlignment="1">
      <alignment horizontal="center" vertical="center"/>
    </xf>
    <xf numFmtId="20" fontId="15" fillId="2" borderId="6" xfId="1" applyNumberFormat="1" applyFont="1" applyFill="1" applyBorder="1" applyAlignment="1">
      <alignment horizontal="center" vertical="center"/>
    </xf>
    <xf numFmtId="20" fontId="15" fillId="2" borderId="4" xfId="1" applyNumberFormat="1" applyFont="1" applyFill="1" applyBorder="1" applyAlignment="1">
      <alignment horizontal="center" vertical="center"/>
    </xf>
    <xf numFmtId="0" fontId="16" fillId="2" borderId="3" xfId="1" applyFont="1" applyFill="1" applyBorder="1" applyAlignment="1">
      <alignment horizontal="center" vertical="center"/>
    </xf>
    <xf numFmtId="0" fontId="11" fillId="2" borderId="42" xfId="1" applyFont="1" applyFill="1" applyBorder="1" applyAlignment="1">
      <alignment horizontal="center"/>
    </xf>
    <xf numFmtId="0" fontId="11" fillId="2" borderId="43" xfId="1" applyFont="1" applyFill="1" applyBorder="1" applyAlignment="1">
      <alignment horizontal="center"/>
    </xf>
    <xf numFmtId="0" fontId="11" fillId="2" borderId="44" xfId="1" applyFont="1" applyFill="1" applyBorder="1" applyAlignment="1">
      <alignment horizontal="center"/>
    </xf>
    <xf numFmtId="0" fontId="11" fillId="2" borderId="45" xfId="1" applyFont="1" applyFill="1" applyBorder="1" applyAlignment="1">
      <alignment horizontal="center"/>
    </xf>
    <xf numFmtId="0" fontId="12" fillId="2" borderId="5" xfId="1" applyFont="1" applyFill="1" applyBorder="1" applyAlignment="1">
      <alignment horizontal="center" vertical="center"/>
    </xf>
    <xf numFmtId="0" fontId="15" fillId="2" borderId="40" xfId="1" applyFont="1" applyFill="1" applyBorder="1" applyAlignment="1">
      <alignment horizontal="center" vertical="center"/>
    </xf>
    <xf numFmtId="0" fontId="15" fillId="2" borderId="1" xfId="1" applyFont="1" applyFill="1" applyBorder="1" applyAlignment="1">
      <alignment horizontal="center" vertical="center"/>
    </xf>
    <xf numFmtId="0" fontId="15" fillId="2" borderId="41" xfId="1" applyFont="1" applyFill="1" applyBorder="1" applyAlignment="1">
      <alignment horizontal="center" vertical="center"/>
    </xf>
    <xf numFmtId="0" fontId="16" fillId="2" borderId="37" xfId="1" applyNumberFormat="1" applyFont="1" applyFill="1" applyBorder="1" applyAlignment="1">
      <alignment horizontal="left" vertical="top" wrapText="1"/>
    </xf>
    <xf numFmtId="0" fontId="27" fillId="2" borderId="38" xfId="1" applyNumberFormat="1" applyFont="1" applyFill="1" applyBorder="1" applyAlignment="1">
      <alignment horizontal="left" vertical="top" wrapText="1"/>
    </xf>
    <xf numFmtId="0" fontId="27" fillId="2" borderId="39" xfId="1" applyNumberFormat="1" applyFont="1" applyFill="1" applyBorder="1" applyAlignment="1">
      <alignment horizontal="left" vertical="top" wrapText="1"/>
    </xf>
    <xf numFmtId="0" fontId="27" fillId="2" borderId="18" xfId="1" applyNumberFormat="1" applyFont="1" applyFill="1" applyBorder="1" applyAlignment="1">
      <alignment horizontal="left" vertical="top" wrapText="1"/>
    </xf>
    <xf numFmtId="0" fontId="27" fillId="2" borderId="0" xfId="1" applyNumberFormat="1" applyFont="1" applyFill="1" applyBorder="1" applyAlignment="1">
      <alignment horizontal="left" vertical="top" wrapText="1"/>
    </xf>
    <xf numFmtId="0" fontId="27" fillId="2" borderId="36" xfId="1" applyNumberFormat="1" applyFont="1" applyFill="1" applyBorder="1" applyAlignment="1">
      <alignment horizontal="left" vertical="top" wrapText="1"/>
    </xf>
    <xf numFmtId="0" fontId="27" fillId="2" borderId="40" xfId="1" applyNumberFormat="1" applyFont="1" applyFill="1" applyBorder="1" applyAlignment="1">
      <alignment horizontal="left" vertical="top" wrapText="1"/>
    </xf>
    <xf numFmtId="0" fontId="27" fillId="2" borderId="1" xfId="1" applyNumberFormat="1" applyFont="1" applyFill="1" applyBorder="1" applyAlignment="1">
      <alignment horizontal="left" vertical="top" wrapText="1"/>
    </xf>
    <xf numFmtId="0" fontId="27" fillId="2" borderId="41" xfId="1" applyNumberFormat="1" applyFont="1" applyFill="1" applyBorder="1" applyAlignment="1">
      <alignment horizontal="left" vertical="top" wrapText="1"/>
    </xf>
    <xf numFmtId="20" fontId="15" fillId="2" borderId="3" xfId="1" applyNumberFormat="1" applyFont="1" applyFill="1" applyBorder="1" applyAlignment="1">
      <alignment horizontal="center" vertical="center"/>
    </xf>
    <xf numFmtId="0" fontId="14" fillId="2" borderId="0" xfId="1" applyFont="1" applyFill="1" applyAlignment="1">
      <alignment horizontal="center"/>
    </xf>
    <xf numFmtId="0" fontId="17" fillId="2" borderId="0" xfId="1" applyFont="1" applyFill="1" applyBorder="1" applyAlignment="1">
      <alignment horizontal="center"/>
    </xf>
    <xf numFmtId="31" fontId="11" fillId="2" borderId="1" xfId="1" applyNumberFormat="1" applyFont="1" applyFill="1" applyBorder="1" applyAlignment="1">
      <alignment horizontal="right"/>
    </xf>
    <xf numFmtId="0" fontId="15" fillId="2" borderId="5" xfId="1" applyFont="1" applyFill="1" applyBorder="1" applyAlignment="1">
      <alignment horizontal="center" vertical="center"/>
    </xf>
    <xf numFmtId="0" fontId="15" fillId="2" borderId="8" xfId="1" applyFont="1" applyFill="1" applyBorder="1" applyAlignment="1">
      <alignment horizontal="center" vertical="center"/>
    </xf>
    <xf numFmtId="0" fontId="15" fillId="2" borderId="7" xfId="1" applyFont="1" applyFill="1" applyBorder="1" applyAlignment="1">
      <alignment horizontal="center" vertical="center"/>
    </xf>
    <xf numFmtId="0" fontId="15" fillId="2" borderId="37" xfId="1" applyNumberFormat="1" applyFont="1" applyFill="1" applyBorder="1" applyAlignment="1">
      <alignment horizontal="left" vertical="top" wrapText="1"/>
    </xf>
    <xf numFmtId="0" fontId="15" fillId="2" borderId="38" xfId="1" applyNumberFormat="1" applyFont="1" applyFill="1" applyBorder="1" applyAlignment="1">
      <alignment horizontal="left" vertical="top" wrapText="1"/>
    </xf>
    <xf numFmtId="0" fontId="15" fillId="2" borderId="39" xfId="1" applyNumberFormat="1" applyFont="1" applyFill="1" applyBorder="1" applyAlignment="1">
      <alignment horizontal="left" vertical="top" wrapText="1"/>
    </xf>
    <xf numFmtId="0" fontId="15" fillId="2" borderId="18" xfId="1" applyNumberFormat="1" applyFont="1" applyFill="1" applyBorder="1" applyAlignment="1">
      <alignment horizontal="left" vertical="top" wrapText="1"/>
    </xf>
    <xf numFmtId="0" fontId="15" fillId="2" borderId="0" xfId="1" applyNumberFormat="1" applyFont="1" applyFill="1" applyBorder="1" applyAlignment="1">
      <alignment horizontal="left" vertical="top" wrapText="1"/>
    </xf>
    <xf numFmtId="0" fontId="15" fillId="2" borderId="36" xfId="1" applyNumberFormat="1" applyFont="1" applyFill="1" applyBorder="1" applyAlignment="1">
      <alignment horizontal="left" vertical="top" wrapText="1"/>
    </xf>
    <xf numFmtId="0" fontId="15" fillId="2" borderId="40" xfId="1" applyNumberFormat="1" applyFont="1" applyFill="1" applyBorder="1" applyAlignment="1">
      <alignment horizontal="left" vertical="top" wrapText="1"/>
    </xf>
    <xf numFmtId="0" fontId="15" fillId="2" borderId="1" xfId="1" applyNumberFormat="1" applyFont="1" applyFill="1" applyBorder="1" applyAlignment="1">
      <alignment horizontal="left" vertical="top" wrapText="1"/>
    </xf>
    <xf numFmtId="0" fontId="15" fillId="2" borderId="41" xfId="1" applyNumberFormat="1" applyFont="1" applyFill="1" applyBorder="1" applyAlignment="1">
      <alignment horizontal="left" vertical="top" wrapText="1"/>
    </xf>
    <xf numFmtId="0" fontId="12" fillId="2" borderId="37" xfId="1" applyFont="1" applyFill="1" applyBorder="1" applyAlignment="1">
      <alignment horizontal="center" wrapText="1"/>
    </xf>
    <xf numFmtId="0" fontId="12" fillId="2" borderId="38" xfId="1" applyFont="1" applyFill="1" applyBorder="1" applyAlignment="1">
      <alignment horizontal="center" wrapText="1"/>
    </xf>
    <xf numFmtId="0" fontId="12" fillId="2" borderId="40" xfId="1" applyFont="1" applyFill="1" applyBorder="1" applyAlignment="1">
      <alignment horizontal="center" wrapText="1"/>
    </xf>
    <xf numFmtId="0" fontId="12" fillId="2" borderId="1" xfId="1" applyFont="1" applyFill="1" applyBorder="1" applyAlignment="1">
      <alignment horizontal="center" wrapText="1"/>
    </xf>
    <xf numFmtId="0" fontId="11" fillId="2" borderId="60" xfId="1" applyFont="1" applyFill="1" applyBorder="1" applyAlignment="1">
      <alignment horizontal="center"/>
    </xf>
    <xf numFmtId="0" fontId="11" fillId="2" borderId="61" xfId="1" applyFont="1" applyFill="1" applyBorder="1" applyAlignment="1">
      <alignment horizontal="center"/>
    </xf>
  </cellXfs>
  <cellStyles count="24">
    <cellStyle name="一般" xfId="0" builtinId="0"/>
    <cellStyle name="一般 2" xfId="1"/>
    <cellStyle name="一般 2 2" xfId="6"/>
    <cellStyle name="一般 3" xfId="2"/>
    <cellStyle name="千分位 2" xfId="3"/>
    <cellStyle name="千分位 2 2" xfId="7"/>
    <cellStyle name="千分位 2 2 2" xfId="9"/>
    <cellStyle name="千分位 2 2 2 2" xfId="13"/>
    <cellStyle name="千分位 2 2 2 2 2" xfId="21"/>
    <cellStyle name="千分位 2 2 2 3" xfId="17"/>
    <cellStyle name="千分位 2 2 3" xfId="11"/>
    <cellStyle name="千分位 2 2 3 2" xfId="19"/>
    <cellStyle name="千分位 2 2 4" xfId="15"/>
    <cellStyle name="百分比" xfId="23" builtinId="5"/>
    <cellStyle name="百分比 2" xfId="5"/>
    <cellStyle name="貨幣 2" xfId="4"/>
    <cellStyle name="貨幣 2 2" xfId="8"/>
    <cellStyle name="貨幣 2 2 2" xfId="10"/>
    <cellStyle name="貨幣 2 2 2 2" xfId="14"/>
    <cellStyle name="貨幣 2 2 2 2 2" xfId="22"/>
    <cellStyle name="貨幣 2 2 2 3" xfId="18"/>
    <cellStyle name="貨幣 2 2 3" xfId="12"/>
    <cellStyle name="貨幣 2 2 3 2" xfId="20"/>
    <cellStyle name="貨幣 2 2 4" xfId="16"/>
  </cellStyles>
  <dxfs count="2282">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Medium9"/>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137160</xdr:colOff>
          <xdr:row>11</xdr:row>
          <xdr:rowOff>266700</xdr:rowOff>
        </xdr:from>
        <xdr:to>
          <xdr:col>6</xdr:col>
          <xdr:colOff>99060</xdr:colOff>
          <xdr:row>16</xdr:row>
          <xdr:rowOff>0</xdr:rowOff>
        </xdr:to>
        <xdr:sp macro="" textlink="">
          <xdr:nvSpPr>
            <xdr:cNvPr id="2910209" name="CommandButton1" hidden="1">
              <a:extLst>
                <a:ext uri="{63B3BB69-23CF-44E3-9099-C40C66FF867C}">
                  <a14:compatExt spid="_x0000_s2910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23</xdr:row>
          <xdr:rowOff>160020</xdr:rowOff>
        </xdr:from>
        <xdr:to>
          <xdr:col>6</xdr:col>
          <xdr:colOff>91440</xdr:colOff>
          <xdr:row>27</xdr:row>
          <xdr:rowOff>106680</xdr:rowOff>
        </xdr:to>
        <xdr:sp macro="" textlink="">
          <xdr:nvSpPr>
            <xdr:cNvPr id="2910211" name="CommandButton2" hidden="1">
              <a:extLst>
                <a:ext uri="{63B3BB69-23CF-44E3-9099-C40C66FF867C}">
                  <a14:compatExt spid="_x0000_s2910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17</xdr:row>
          <xdr:rowOff>0</xdr:rowOff>
        </xdr:from>
        <xdr:to>
          <xdr:col>6</xdr:col>
          <xdr:colOff>99060</xdr:colOff>
          <xdr:row>19</xdr:row>
          <xdr:rowOff>175260</xdr:rowOff>
        </xdr:to>
        <xdr:sp macro="" textlink="">
          <xdr:nvSpPr>
            <xdr:cNvPr id="2910213" name="CommandButton3" hidden="1">
              <a:extLst>
                <a:ext uri="{63B3BB69-23CF-44E3-9099-C40C66FF867C}">
                  <a14:compatExt spid="_x0000_s2910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792449" name="Button 1" hidden="1">
              <a:extLst>
                <a:ext uri="{63B3BB69-23CF-44E3-9099-C40C66FF867C}">
                  <a14:compatExt spid="_x0000_s27924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747393" name="Button 1" hidden="1">
              <a:extLst>
                <a:ext uri="{63B3BB69-23CF-44E3-9099-C40C66FF867C}">
                  <a14:compatExt spid="_x0000_s2747393"/>
                </a:ext>
                <a:ext uri="{FF2B5EF4-FFF2-40B4-BE49-F238E27FC236}">
                  <a16:creationId xmlns:a16="http://schemas.microsoft.com/office/drawing/2014/main" id="{00000000-0008-0000-0300-000001EC2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867201" name="Button 1" hidden="1">
              <a:extLst>
                <a:ext uri="{63B3BB69-23CF-44E3-9099-C40C66FF867C}">
                  <a14:compatExt spid="_x0000_s2867201"/>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19777" name="CommandButton1" hidden="1">
              <a:extLst>
                <a:ext uri="{63B3BB69-23CF-44E3-9099-C40C66FF867C}">
                  <a14:compatExt spid="_x0000_s3019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20801" name="CommandButton1" hidden="1">
              <a:extLst>
                <a:ext uri="{63B3BB69-23CF-44E3-9099-C40C66FF867C}">
                  <a14:compatExt spid="_x0000_s3020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21825" name="CommandButton1" hidden="1">
              <a:extLst>
                <a:ext uri="{63B3BB69-23CF-44E3-9099-C40C66FF867C}">
                  <a14:compatExt spid="_x0000_s30218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25921" name="CommandButton1" hidden="1">
              <a:extLst>
                <a:ext uri="{63B3BB69-23CF-44E3-9099-C40C66FF867C}">
                  <a14:compatExt spid="_x0000_s30259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26945" name="CommandButton1" hidden="1">
              <a:extLst>
                <a:ext uri="{63B3BB69-23CF-44E3-9099-C40C66FF867C}">
                  <a14:compatExt spid="_x0000_s30269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27969" name="CommandButton1" hidden="1">
              <a:extLst>
                <a:ext uri="{63B3BB69-23CF-44E3-9099-C40C66FF867C}">
                  <a14:compatExt spid="_x0000_s3027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28993" name="CommandButton1" hidden="1">
              <a:extLst>
                <a:ext uri="{63B3BB69-23CF-44E3-9099-C40C66FF867C}">
                  <a14:compatExt spid="_x0000_s30289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30017" name="CommandButton1" hidden="1">
              <a:extLst>
                <a:ext uri="{63B3BB69-23CF-44E3-9099-C40C66FF867C}">
                  <a14:compatExt spid="_x0000_s3030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34113" name="CommandButton1" hidden="1">
              <a:extLst>
                <a:ext uri="{63B3BB69-23CF-44E3-9099-C40C66FF867C}">
                  <a14:compatExt spid="_x0000_s3034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35137" name="CommandButton1" hidden="1">
              <a:extLst>
                <a:ext uri="{63B3BB69-23CF-44E3-9099-C40C66FF867C}">
                  <a14:compatExt spid="_x0000_s30351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36161" name="CommandButton1" hidden="1">
              <a:extLst>
                <a:ext uri="{63B3BB69-23CF-44E3-9099-C40C66FF867C}">
                  <a14:compatExt spid="_x0000_s303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40257" name="CommandButton1" hidden="1">
              <a:extLst>
                <a:ext uri="{63B3BB69-23CF-44E3-9099-C40C66FF867C}">
                  <a14:compatExt spid="_x0000_s3040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41281" name="CommandButton1" hidden="1">
              <a:extLst>
                <a:ext uri="{63B3BB69-23CF-44E3-9099-C40C66FF867C}">
                  <a14:compatExt spid="_x0000_s3041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45377" name="CommandButton1" hidden="1">
              <a:extLst>
                <a:ext uri="{63B3BB69-23CF-44E3-9099-C40C66FF867C}">
                  <a14:compatExt spid="_x0000_s3045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46401" name="CommandButton1" hidden="1">
              <a:extLst>
                <a:ext uri="{63B3BB69-23CF-44E3-9099-C40C66FF867C}">
                  <a14:compatExt spid="_x0000_s304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47425" name="CommandButton1" hidden="1">
              <a:extLst>
                <a:ext uri="{63B3BB69-23CF-44E3-9099-C40C66FF867C}">
                  <a14:compatExt spid="_x0000_s30474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48449" name="CommandButton1" hidden="1">
              <a:extLst>
                <a:ext uri="{63B3BB69-23CF-44E3-9099-C40C66FF867C}">
                  <a14:compatExt spid="_x0000_s3048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49473" name="CommandButton1" hidden="1">
              <a:extLst>
                <a:ext uri="{63B3BB69-23CF-44E3-9099-C40C66FF867C}">
                  <a14:compatExt spid="_x0000_s30494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53569" name="CommandButton1" hidden="1">
              <a:extLst>
                <a:ext uri="{63B3BB69-23CF-44E3-9099-C40C66FF867C}">
                  <a14:compatExt spid="_x0000_s30535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54593" name="CommandButton1" hidden="1">
              <a:extLst>
                <a:ext uri="{63B3BB69-23CF-44E3-9099-C40C66FF867C}">
                  <a14:compatExt spid="_x0000_s3054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55617" name="CommandButton1" hidden="1">
              <a:extLst>
                <a:ext uri="{63B3BB69-23CF-44E3-9099-C40C66FF867C}">
                  <a14:compatExt spid="_x0000_s30556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22860</xdr:colOff>
          <xdr:row>2</xdr:row>
          <xdr:rowOff>152400</xdr:rowOff>
        </xdr:to>
        <xdr:sp macro="" textlink="">
          <xdr:nvSpPr>
            <xdr:cNvPr id="3059713" name="CommandButton1" hidden="1">
              <a:extLst>
                <a:ext uri="{63B3BB69-23CF-44E3-9099-C40C66FF867C}">
                  <a14:compatExt spid="_x0000_s3059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22</xdr:col>
          <xdr:colOff>495300</xdr:colOff>
          <xdr:row>2</xdr:row>
          <xdr:rowOff>152400</xdr:rowOff>
        </xdr:to>
        <xdr:sp macro="" textlink="">
          <xdr:nvSpPr>
            <xdr:cNvPr id="3060737" name="CommandButton1" hidden="1">
              <a:extLst>
                <a:ext uri="{63B3BB69-23CF-44E3-9099-C40C66FF867C}">
                  <a14:compatExt spid="_x0000_s30607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770\Desktop\&#26032;&#22686;&#36039;&#26009;&#22846;\&#23833;&#23614;&#20786;&#27133;&#20316;&#26989;&#26085;&#22577;&#3492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3833;&#23614;&#20786;&#27133;&#20316;&#26989;&#26085;&#22577;&#34920;-5&#2637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新增"/>
      <sheetName val="工作表1"/>
      <sheetName val="密度"/>
      <sheetName val="1.30 %計算"/>
      <sheetName val="3.3"/>
    </sheetNames>
    <sheetDataSet>
      <sheetData sheetId="0"/>
      <sheetData sheetId="1"/>
      <sheetData sheetId="2">
        <row r="2">
          <cell r="A2">
            <v>1</v>
          </cell>
          <cell r="B2">
            <v>0.80020000000000002</v>
          </cell>
        </row>
        <row r="3">
          <cell r="A3">
            <v>2</v>
          </cell>
          <cell r="B3">
            <v>0.79930000000000001</v>
          </cell>
        </row>
        <row r="4">
          <cell r="A4">
            <v>3</v>
          </cell>
          <cell r="B4">
            <v>0.7984</v>
          </cell>
        </row>
        <row r="5">
          <cell r="A5">
            <v>4</v>
          </cell>
          <cell r="B5">
            <v>0.79749999999999999</v>
          </cell>
        </row>
        <row r="6">
          <cell r="A6">
            <v>5</v>
          </cell>
          <cell r="B6">
            <v>0.79659999999999997</v>
          </cell>
        </row>
        <row r="7">
          <cell r="A7">
            <v>6</v>
          </cell>
          <cell r="B7">
            <v>0.79569999999999996</v>
          </cell>
        </row>
        <row r="8">
          <cell r="A8">
            <v>7</v>
          </cell>
          <cell r="B8">
            <v>0.79479999999999995</v>
          </cell>
        </row>
        <row r="9">
          <cell r="A9">
            <v>8</v>
          </cell>
          <cell r="B9">
            <v>0.79400000000000004</v>
          </cell>
        </row>
        <row r="10">
          <cell r="A10">
            <v>9</v>
          </cell>
          <cell r="B10">
            <v>0.79310000000000003</v>
          </cell>
        </row>
        <row r="11">
          <cell r="A11">
            <v>10</v>
          </cell>
          <cell r="B11">
            <v>0.7923</v>
          </cell>
        </row>
        <row r="12">
          <cell r="A12">
            <v>11</v>
          </cell>
          <cell r="B12">
            <v>0.79139999999999999</v>
          </cell>
        </row>
        <row r="13">
          <cell r="A13">
            <v>12</v>
          </cell>
          <cell r="B13">
            <v>0.79059999999999997</v>
          </cell>
        </row>
        <row r="14">
          <cell r="A14">
            <v>13</v>
          </cell>
          <cell r="B14">
            <v>0.78969999999999996</v>
          </cell>
        </row>
        <row r="15">
          <cell r="A15">
            <v>14</v>
          </cell>
          <cell r="B15">
            <v>0.78890000000000005</v>
          </cell>
        </row>
        <row r="16">
          <cell r="A16">
            <v>15</v>
          </cell>
          <cell r="B16">
            <v>0.78800000000000003</v>
          </cell>
        </row>
        <row r="17">
          <cell r="A17">
            <v>16</v>
          </cell>
          <cell r="B17">
            <v>0.78720000000000001</v>
          </cell>
        </row>
        <row r="18">
          <cell r="A18">
            <v>17</v>
          </cell>
          <cell r="B18">
            <v>0.78639999999999999</v>
          </cell>
        </row>
        <row r="19">
          <cell r="A19">
            <v>18</v>
          </cell>
          <cell r="B19">
            <v>0.78569999999999995</v>
          </cell>
        </row>
        <row r="20">
          <cell r="A20">
            <v>19</v>
          </cell>
          <cell r="B20">
            <v>0.78490000000000004</v>
          </cell>
        </row>
        <row r="21">
          <cell r="A21">
            <v>20</v>
          </cell>
          <cell r="B21">
            <v>0.78410000000000002</v>
          </cell>
        </row>
        <row r="22">
          <cell r="A22">
            <v>21</v>
          </cell>
          <cell r="B22">
            <v>0.78320000000000001</v>
          </cell>
        </row>
        <row r="23">
          <cell r="A23">
            <v>22</v>
          </cell>
          <cell r="B23">
            <v>0.7823</v>
          </cell>
        </row>
        <row r="24">
          <cell r="A24">
            <v>23</v>
          </cell>
          <cell r="B24">
            <v>0.78139999999999998</v>
          </cell>
        </row>
        <row r="25">
          <cell r="A25">
            <v>24</v>
          </cell>
          <cell r="B25">
            <v>0.78049999999999997</v>
          </cell>
        </row>
        <row r="26">
          <cell r="A26">
            <v>25</v>
          </cell>
          <cell r="B26">
            <v>0.77959999999999996</v>
          </cell>
        </row>
        <row r="27">
          <cell r="A27">
            <v>26</v>
          </cell>
          <cell r="B27">
            <v>0.77869999999999995</v>
          </cell>
        </row>
        <row r="28">
          <cell r="A28">
            <v>27</v>
          </cell>
          <cell r="B28">
            <v>0.77790000000000004</v>
          </cell>
        </row>
        <row r="29">
          <cell r="A29">
            <v>28</v>
          </cell>
          <cell r="B29">
            <v>0.77700000000000002</v>
          </cell>
        </row>
        <row r="30">
          <cell r="A30">
            <v>29</v>
          </cell>
          <cell r="B30">
            <v>0.7762</v>
          </cell>
        </row>
        <row r="31">
          <cell r="A31">
            <v>30</v>
          </cell>
          <cell r="B31">
            <v>0.77529999999999999</v>
          </cell>
        </row>
        <row r="32">
          <cell r="A32">
            <v>31</v>
          </cell>
          <cell r="B32">
            <v>0.77439999999999998</v>
          </cell>
        </row>
        <row r="33">
          <cell r="A33">
            <v>32</v>
          </cell>
          <cell r="B33">
            <v>0.77349999999999997</v>
          </cell>
        </row>
        <row r="34">
          <cell r="A34">
            <v>33</v>
          </cell>
          <cell r="B34">
            <v>0.77270000000000005</v>
          </cell>
        </row>
        <row r="35">
          <cell r="A35">
            <v>34</v>
          </cell>
          <cell r="B35">
            <v>0.77180000000000004</v>
          </cell>
        </row>
        <row r="36">
          <cell r="A36">
            <v>35</v>
          </cell>
          <cell r="B36">
            <v>0.77090000000000003</v>
          </cell>
        </row>
        <row r="37">
          <cell r="A37">
            <v>36</v>
          </cell>
          <cell r="B37">
            <v>0.77</v>
          </cell>
        </row>
        <row r="38">
          <cell r="A38">
            <v>37</v>
          </cell>
          <cell r="B38">
            <v>0.76910000000000001</v>
          </cell>
        </row>
        <row r="39">
          <cell r="A39">
            <v>38</v>
          </cell>
          <cell r="B39">
            <v>0.76829999999999998</v>
          </cell>
        </row>
        <row r="40">
          <cell r="A40">
            <v>39</v>
          </cell>
          <cell r="B40">
            <v>0.76739999999999997</v>
          </cell>
        </row>
        <row r="41">
          <cell r="A41">
            <v>40</v>
          </cell>
          <cell r="B41">
            <v>0.76649999999999996</v>
          </cell>
        </row>
        <row r="42">
          <cell r="A42">
            <v>41</v>
          </cell>
          <cell r="B42">
            <v>0.76559999999999995</v>
          </cell>
        </row>
        <row r="43">
          <cell r="A43">
            <v>42</v>
          </cell>
          <cell r="B43">
            <v>0.76470000000000005</v>
          </cell>
        </row>
        <row r="44">
          <cell r="A44">
            <v>43</v>
          </cell>
          <cell r="B44">
            <v>0.76390000000000002</v>
          </cell>
        </row>
        <row r="45">
          <cell r="A45">
            <v>44</v>
          </cell>
          <cell r="B45">
            <v>0.76300000000000001</v>
          </cell>
        </row>
        <row r="46">
          <cell r="A46">
            <v>45</v>
          </cell>
          <cell r="B46">
            <v>0.7621</v>
          </cell>
        </row>
        <row r="47">
          <cell r="A47">
            <v>46</v>
          </cell>
          <cell r="B47">
            <v>0.76124999999999998</v>
          </cell>
        </row>
        <row r="48">
          <cell r="A48">
            <v>47</v>
          </cell>
          <cell r="B48">
            <v>0.76037999999999994</v>
          </cell>
        </row>
        <row r="49">
          <cell r="A49">
            <v>48</v>
          </cell>
          <cell r="B49">
            <v>0.75951000000000002</v>
          </cell>
        </row>
        <row r="50">
          <cell r="A50">
            <v>49</v>
          </cell>
          <cell r="B50">
            <v>0.75863999999999998</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新增"/>
      <sheetName val="工作表1"/>
      <sheetName val="密度"/>
      <sheetName val="mm計算"/>
      <sheetName val="1.30 %計算"/>
      <sheetName val="4.30"/>
      <sheetName val="5.4"/>
      <sheetName val="5.5"/>
      <sheetName val="5.6"/>
      <sheetName val="5.7"/>
      <sheetName val="5.8"/>
      <sheetName val="5.11"/>
      <sheetName val="5.12"/>
      <sheetName val="5.13"/>
      <sheetName val="5.14"/>
      <sheetName val="5.15"/>
      <sheetName val="5.18"/>
      <sheetName val="5.19"/>
      <sheetName val="5.20"/>
      <sheetName val="5.21"/>
      <sheetName val="5.22"/>
      <sheetName val="5.25"/>
      <sheetName val="5.26"/>
      <sheetName val="5.27"/>
      <sheetName val="5.28"/>
      <sheetName val="5.29 "/>
    </sheetNames>
    <sheetDataSet>
      <sheetData sheetId="0"/>
      <sheetData sheetId="1"/>
      <sheetData sheetId="2">
        <row r="2">
          <cell r="A2">
            <v>1</v>
          </cell>
          <cell r="B2">
            <v>0.80020000000000002</v>
          </cell>
        </row>
        <row r="3">
          <cell r="A3">
            <v>2</v>
          </cell>
          <cell r="B3">
            <v>0.79930000000000001</v>
          </cell>
        </row>
        <row r="4">
          <cell r="A4">
            <v>3</v>
          </cell>
          <cell r="B4">
            <v>0.7984</v>
          </cell>
        </row>
        <row r="5">
          <cell r="A5">
            <v>4</v>
          </cell>
          <cell r="B5">
            <v>0.79749999999999999</v>
          </cell>
        </row>
        <row r="6">
          <cell r="A6">
            <v>5</v>
          </cell>
          <cell r="B6">
            <v>0.79659999999999997</v>
          </cell>
        </row>
        <row r="7">
          <cell r="A7">
            <v>6</v>
          </cell>
          <cell r="B7">
            <v>0.79569999999999996</v>
          </cell>
        </row>
        <row r="8">
          <cell r="A8">
            <v>7</v>
          </cell>
          <cell r="B8">
            <v>0.79479999999999995</v>
          </cell>
        </row>
        <row r="9">
          <cell r="A9">
            <v>8</v>
          </cell>
          <cell r="B9">
            <v>0.79400000000000004</v>
          </cell>
        </row>
        <row r="10">
          <cell r="A10">
            <v>9</v>
          </cell>
          <cell r="B10">
            <v>0.79310000000000003</v>
          </cell>
        </row>
        <row r="11">
          <cell r="A11">
            <v>10</v>
          </cell>
          <cell r="B11">
            <v>0.7923</v>
          </cell>
        </row>
        <row r="12">
          <cell r="A12">
            <v>11</v>
          </cell>
          <cell r="B12">
            <v>0.79139999999999999</v>
          </cell>
        </row>
        <row r="13">
          <cell r="A13">
            <v>12</v>
          </cell>
          <cell r="B13">
            <v>0.79059999999999997</v>
          </cell>
        </row>
        <row r="14">
          <cell r="A14">
            <v>13</v>
          </cell>
          <cell r="B14">
            <v>0.78969999999999996</v>
          </cell>
        </row>
        <row r="15">
          <cell r="A15">
            <v>14</v>
          </cell>
          <cell r="B15">
            <v>0.78890000000000005</v>
          </cell>
        </row>
        <row r="16">
          <cell r="A16">
            <v>15</v>
          </cell>
          <cell r="B16">
            <v>0.78800000000000003</v>
          </cell>
        </row>
        <row r="17">
          <cell r="A17">
            <v>16</v>
          </cell>
          <cell r="B17">
            <v>0.78720000000000001</v>
          </cell>
        </row>
        <row r="18">
          <cell r="A18">
            <v>17</v>
          </cell>
          <cell r="B18">
            <v>0.78639999999999999</v>
          </cell>
        </row>
        <row r="19">
          <cell r="A19">
            <v>18</v>
          </cell>
          <cell r="B19">
            <v>0.78569999999999995</v>
          </cell>
        </row>
        <row r="20">
          <cell r="A20">
            <v>19</v>
          </cell>
          <cell r="B20">
            <v>0.78490000000000004</v>
          </cell>
        </row>
        <row r="21">
          <cell r="A21">
            <v>20</v>
          </cell>
          <cell r="B21">
            <v>0.78410000000000002</v>
          </cell>
        </row>
        <row r="22">
          <cell r="A22">
            <v>21</v>
          </cell>
          <cell r="B22">
            <v>0.78320000000000001</v>
          </cell>
        </row>
        <row r="23">
          <cell r="A23">
            <v>22</v>
          </cell>
          <cell r="B23">
            <v>0.7823</v>
          </cell>
        </row>
        <row r="24">
          <cell r="A24">
            <v>23</v>
          </cell>
          <cell r="B24">
            <v>0.78139999999999998</v>
          </cell>
        </row>
        <row r="25">
          <cell r="A25">
            <v>24</v>
          </cell>
          <cell r="B25">
            <v>0.78049999999999997</v>
          </cell>
        </row>
        <row r="26">
          <cell r="A26">
            <v>25</v>
          </cell>
          <cell r="B26">
            <v>0.77959999999999996</v>
          </cell>
        </row>
        <row r="27">
          <cell r="A27">
            <v>26</v>
          </cell>
          <cell r="B27">
            <v>0.77869999999999995</v>
          </cell>
        </row>
        <row r="28">
          <cell r="A28">
            <v>27</v>
          </cell>
          <cell r="B28">
            <v>0.77790000000000004</v>
          </cell>
        </row>
        <row r="29">
          <cell r="A29">
            <v>28</v>
          </cell>
          <cell r="B29">
            <v>0.77700000000000002</v>
          </cell>
        </row>
        <row r="30">
          <cell r="A30">
            <v>29</v>
          </cell>
          <cell r="B30">
            <v>0.7762</v>
          </cell>
        </row>
        <row r="31">
          <cell r="A31">
            <v>30</v>
          </cell>
          <cell r="B31">
            <v>0.77529999999999999</v>
          </cell>
        </row>
        <row r="32">
          <cell r="A32">
            <v>31</v>
          </cell>
          <cell r="B32">
            <v>0.77439999999999998</v>
          </cell>
        </row>
        <row r="33">
          <cell r="A33">
            <v>32</v>
          </cell>
          <cell r="B33">
            <v>0.77349999999999997</v>
          </cell>
        </row>
        <row r="34">
          <cell r="A34">
            <v>33</v>
          </cell>
          <cell r="B34">
            <v>0.77270000000000005</v>
          </cell>
        </row>
        <row r="35">
          <cell r="A35">
            <v>34</v>
          </cell>
          <cell r="B35">
            <v>0.77180000000000004</v>
          </cell>
        </row>
        <row r="36">
          <cell r="A36">
            <v>35</v>
          </cell>
          <cell r="B36">
            <v>0.77090000000000003</v>
          </cell>
        </row>
        <row r="37">
          <cell r="A37">
            <v>36</v>
          </cell>
          <cell r="B37">
            <v>0.77</v>
          </cell>
        </row>
        <row r="38">
          <cell r="A38">
            <v>37</v>
          </cell>
          <cell r="B38">
            <v>0.76910000000000001</v>
          </cell>
        </row>
        <row r="39">
          <cell r="A39">
            <v>38</v>
          </cell>
          <cell r="B39">
            <v>0.76829999999999998</v>
          </cell>
        </row>
        <row r="40">
          <cell r="A40">
            <v>39</v>
          </cell>
          <cell r="B40">
            <v>0.76739999999999997</v>
          </cell>
        </row>
        <row r="41">
          <cell r="A41">
            <v>40</v>
          </cell>
          <cell r="B41">
            <v>0.76649999999999996</v>
          </cell>
        </row>
        <row r="42">
          <cell r="A42">
            <v>41</v>
          </cell>
          <cell r="B42">
            <v>0.76559999999999995</v>
          </cell>
        </row>
        <row r="43">
          <cell r="A43">
            <v>42</v>
          </cell>
          <cell r="B43">
            <v>0.76470000000000005</v>
          </cell>
        </row>
        <row r="44">
          <cell r="A44">
            <v>43</v>
          </cell>
          <cell r="B44">
            <v>0.76390000000000002</v>
          </cell>
        </row>
        <row r="45">
          <cell r="A45">
            <v>44</v>
          </cell>
          <cell r="B45">
            <v>0.76300000000000001</v>
          </cell>
        </row>
        <row r="46">
          <cell r="A46">
            <v>45</v>
          </cell>
          <cell r="B46">
            <v>0.7621</v>
          </cell>
        </row>
        <row r="47">
          <cell r="A47">
            <v>46</v>
          </cell>
          <cell r="B47">
            <v>0.76124999999999998</v>
          </cell>
        </row>
        <row r="48">
          <cell r="A48">
            <v>47</v>
          </cell>
          <cell r="B48">
            <v>0.76037999999999994</v>
          </cell>
        </row>
        <row r="49">
          <cell r="A49">
            <v>48</v>
          </cell>
          <cell r="B49">
            <v>0.75951000000000002</v>
          </cell>
        </row>
        <row r="50">
          <cell r="A50">
            <v>49</v>
          </cell>
          <cell r="B50">
            <v>0.75863999999999998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8357890-2BA6-4CC5-90A2-87AD6187BD32}">
  <we:reference id="wa104381026" version="1.2.0.0" store="zh-TW" storeType="OMEX"/>
  <we:alternateReferences>
    <we:reference id="WA104381026" version="1.2.0.0" store="WA104381026"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image" Target="../media/image4.emf"/><Relationship Id="rId4" Type="http://schemas.openxmlformats.org/officeDocument/2006/relationships/control" Target="../activeX/activeX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image" Target="../media/image4.emf"/><Relationship Id="rId4" Type="http://schemas.openxmlformats.org/officeDocument/2006/relationships/control" Target="../activeX/activeX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image" Target="../media/image4.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image" Target="../media/image4.emf"/><Relationship Id="rId4" Type="http://schemas.openxmlformats.org/officeDocument/2006/relationships/control" Target="../activeX/activeX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image" Target="../media/image4.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image" Target="../media/image4.emf"/><Relationship Id="rId4" Type="http://schemas.openxmlformats.org/officeDocument/2006/relationships/control" Target="../activeX/activeX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image" Target="../media/image4.emf"/><Relationship Id="rId4" Type="http://schemas.openxmlformats.org/officeDocument/2006/relationships/control" Target="../activeX/activeX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5.bin"/><Relationship Id="rId5" Type="http://schemas.openxmlformats.org/officeDocument/2006/relationships/image" Target="../media/image4.emf"/><Relationship Id="rId4" Type="http://schemas.openxmlformats.org/officeDocument/2006/relationships/control" Target="../activeX/activeX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6.bin"/><Relationship Id="rId5" Type="http://schemas.openxmlformats.org/officeDocument/2006/relationships/image" Target="../media/image4.emf"/><Relationship Id="rId4" Type="http://schemas.openxmlformats.org/officeDocument/2006/relationships/control" Target="../activeX/activeX1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7.bin"/><Relationship Id="rId5" Type="http://schemas.openxmlformats.org/officeDocument/2006/relationships/image" Target="../media/image4.emf"/><Relationship Id="rId4" Type="http://schemas.openxmlformats.org/officeDocument/2006/relationships/control" Target="../activeX/activeX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8.bin"/><Relationship Id="rId5" Type="http://schemas.openxmlformats.org/officeDocument/2006/relationships/image" Target="../media/image4.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9.bin"/><Relationship Id="rId5" Type="http://schemas.openxmlformats.org/officeDocument/2006/relationships/image" Target="../media/image4.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0.bin"/><Relationship Id="rId5" Type="http://schemas.openxmlformats.org/officeDocument/2006/relationships/image" Target="../media/image4.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21.bin"/><Relationship Id="rId5" Type="http://schemas.openxmlformats.org/officeDocument/2006/relationships/image" Target="../media/image4.emf"/><Relationship Id="rId4" Type="http://schemas.openxmlformats.org/officeDocument/2006/relationships/control" Target="../activeX/activeX1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2.bin"/><Relationship Id="rId5" Type="http://schemas.openxmlformats.org/officeDocument/2006/relationships/image" Target="../media/image4.emf"/><Relationship Id="rId4" Type="http://schemas.openxmlformats.org/officeDocument/2006/relationships/control" Target="../activeX/activeX1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3.bin"/><Relationship Id="rId5" Type="http://schemas.openxmlformats.org/officeDocument/2006/relationships/image" Target="../media/image4.emf"/><Relationship Id="rId4" Type="http://schemas.openxmlformats.org/officeDocument/2006/relationships/control" Target="../activeX/activeX2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4.bin"/><Relationship Id="rId5" Type="http://schemas.openxmlformats.org/officeDocument/2006/relationships/image" Target="../media/image4.emf"/><Relationship Id="rId4" Type="http://schemas.openxmlformats.org/officeDocument/2006/relationships/control" Target="../activeX/activeX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5.bin"/><Relationship Id="rId5" Type="http://schemas.openxmlformats.org/officeDocument/2006/relationships/image" Target="../media/image4.emf"/><Relationship Id="rId4" Type="http://schemas.openxmlformats.org/officeDocument/2006/relationships/control" Target="../activeX/activeX22.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6.bin"/><Relationship Id="rId5" Type="http://schemas.openxmlformats.org/officeDocument/2006/relationships/image" Target="../media/image4.emf"/><Relationship Id="rId4" Type="http://schemas.openxmlformats.org/officeDocument/2006/relationships/control" Target="../activeX/activeX23.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7.bin"/><Relationship Id="rId5" Type="http://schemas.openxmlformats.org/officeDocument/2006/relationships/image" Target="../media/image4.emf"/><Relationship Id="rId4" Type="http://schemas.openxmlformats.org/officeDocument/2006/relationships/control" Target="../activeX/activeX24.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8.bin"/><Relationship Id="rId5" Type="http://schemas.openxmlformats.org/officeDocument/2006/relationships/image" Target="../media/image5.emf"/><Relationship Id="rId4" Type="http://schemas.openxmlformats.org/officeDocument/2006/relationships/control" Target="../activeX/activeX25.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9.bin"/><Relationship Id="rId5" Type="http://schemas.openxmlformats.org/officeDocument/2006/relationships/image" Target="../media/image6.emf"/><Relationship Id="rId4" Type="http://schemas.openxmlformats.org/officeDocument/2006/relationships/control" Target="../activeX/activeX2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pageSetUpPr fitToPage="1"/>
  </sheetPr>
  <dimension ref="A1:S88"/>
  <sheetViews>
    <sheetView view="pageBreakPreview" topLeftCell="A19" zoomScale="80" zoomScaleNormal="100" zoomScaleSheetLayoutView="80" workbookViewId="0">
      <selection activeCell="L26" sqref="L26"/>
    </sheetView>
  </sheetViews>
  <sheetFormatPr defaultColWidth="9" defaultRowHeight="15.6"/>
  <cols>
    <col min="1" max="1" width="7.33203125" style="148" customWidth="1"/>
    <col min="2" max="2" width="18.77734375" style="148" customWidth="1"/>
    <col min="3" max="3" width="12.77734375" style="148" customWidth="1"/>
    <col min="4" max="4" width="24.88671875" style="141" customWidth="1"/>
    <col min="5" max="5" width="17.6640625" style="141" customWidth="1"/>
    <col min="6" max="7" width="11.88671875" style="141" customWidth="1"/>
    <col min="8" max="8" width="12.77734375" style="142" bestFit="1" customWidth="1"/>
    <col min="9" max="9" width="8.44140625" style="142" customWidth="1"/>
    <col min="10" max="10" width="17.77734375" style="142" bestFit="1" customWidth="1"/>
    <col min="11" max="11" width="14.33203125" style="142" customWidth="1"/>
    <col min="12" max="12" width="9" style="141"/>
    <col min="13" max="13" width="10.21875" style="141" customWidth="1"/>
    <col min="14" max="14" width="9" style="141"/>
    <col min="15" max="15" width="13.77734375" style="141" bestFit="1" customWidth="1"/>
    <col min="16" max="256" width="9" style="141"/>
    <col min="257" max="257" width="7.33203125" style="141" customWidth="1"/>
    <col min="258" max="258" width="18.77734375" style="141" customWidth="1"/>
    <col min="259" max="259" width="12.77734375" style="141" customWidth="1"/>
    <col min="260" max="260" width="23.109375" style="141" customWidth="1"/>
    <col min="261" max="261" width="17.6640625" style="141" customWidth="1"/>
    <col min="262" max="263" width="11.88671875" style="141" customWidth="1"/>
    <col min="264" max="264" width="12.77734375" style="141" bestFit="1" customWidth="1"/>
    <col min="265" max="265" width="8.44140625" style="141" customWidth="1"/>
    <col min="266" max="266" width="17.77734375" style="141" bestFit="1" customWidth="1"/>
    <col min="267" max="267" width="14.33203125" style="141" customWidth="1"/>
    <col min="268" max="268" width="9" style="141"/>
    <col min="269" max="269" width="10.21875" style="141" customWidth="1"/>
    <col min="270" max="270" width="9" style="141"/>
    <col min="271" max="271" width="13.77734375" style="141" bestFit="1" customWidth="1"/>
    <col min="272" max="512" width="9" style="141"/>
    <col min="513" max="513" width="7.33203125" style="141" customWidth="1"/>
    <col min="514" max="514" width="18.77734375" style="141" customWidth="1"/>
    <col min="515" max="515" width="12.77734375" style="141" customWidth="1"/>
    <col min="516" max="516" width="23.109375" style="141" customWidth="1"/>
    <col min="517" max="517" width="17.6640625" style="141" customWidth="1"/>
    <col min="518" max="519" width="11.88671875" style="141" customWidth="1"/>
    <col min="520" max="520" width="12.77734375" style="141" bestFit="1" customWidth="1"/>
    <col min="521" max="521" width="8.44140625" style="141" customWidth="1"/>
    <col min="522" max="522" width="17.77734375" style="141" bestFit="1" customWidth="1"/>
    <col min="523" max="523" width="14.33203125" style="141" customWidth="1"/>
    <col min="524" max="524" width="9" style="141"/>
    <col min="525" max="525" width="10.21875" style="141" customWidth="1"/>
    <col min="526" max="526" width="9" style="141"/>
    <col min="527" max="527" width="13.77734375" style="141" bestFit="1" customWidth="1"/>
    <col min="528" max="768" width="9" style="141"/>
    <col min="769" max="769" width="7.33203125" style="141" customWidth="1"/>
    <col min="770" max="770" width="18.77734375" style="141" customWidth="1"/>
    <col min="771" max="771" width="12.77734375" style="141" customWidth="1"/>
    <col min="772" max="772" width="23.109375" style="141" customWidth="1"/>
    <col min="773" max="773" width="17.6640625" style="141" customWidth="1"/>
    <col min="774" max="775" width="11.88671875" style="141" customWidth="1"/>
    <col min="776" max="776" width="12.77734375" style="141" bestFit="1" customWidth="1"/>
    <col min="777" max="777" width="8.44140625" style="141" customWidth="1"/>
    <col min="778" max="778" width="17.77734375" style="141" bestFit="1" customWidth="1"/>
    <col min="779" max="779" width="14.33203125" style="141" customWidth="1"/>
    <col min="780" max="780" width="9" style="141"/>
    <col min="781" max="781" width="10.21875" style="141" customWidth="1"/>
    <col min="782" max="782" width="9" style="141"/>
    <col min="783" max="783" width="13.77734375" style="141" bestFit="1" customWidth="1"/>
    <col min="784" max="1024" width="9" style="141"/>
    <col min="1025" max="1025" width="7.33203125" style="141" customWidth="1"/>
    <col min="1026" max="1026" width="18.77734375" style="141" customWidth="1"/>
    <col min="1027" max="1027" width="12.77734375" style="141" customWidth="1"/>
    <col min="1028" max="1028" width="23.109375" style="141" customWidth="1"/>
    <col min="1029" max="1029" width="17.6640625" style="141" customWidth="1"/>
    <col min="1030" max="1031" width="11.88671875" style="141" customWidth="1"/>
    <col min="1032" max="1032" width="12.77734375" style="141" bestFit="1" customWidth="1"/>
    <col min="1033" max="1033" width="8.44140625" style="141" customWidth="1"/>
    <col min="1034" max="1034" width="17.77734375" style="141" bestFit="1" customWidth="1"/>
    <col min="1035" max="1035" width="14.33203125" style="141" customWidth="1"/>
    <col min="1036" max="1036" width="9" style="141"/>
    <col min="1037" max="1037" width="10.21875" style="141" customWidth="1"/>
    <col min="1038" max="1038" width="9" style="141"/>
    <col min="1039" max="1039" width="13.77734375" style="141" bestFit="1" customWidth="1"/>
    <col min="1040" max="1280" width="9" style="141"/>
    <col min="1281" max="1281" width="7.33203125" style="141" customWidth="1"/>
    <col min="1282" max="1282" width="18.77734375" style="141" customWidth="1"/>
    <col min="1283" max="1283" width="12.77734375" style="141" customWidth="1"/>
    <col min="1284" max="1284" width="23.109375" style="141" customWidth="1"/>
    <col min="1285" max="1285" width="17.6640625" style="141" customWidth="1"/>
    <col min="1286" max="1287" width="11.88671875" style="141" customWidth="1"/>
    <col min="1288" max="1288" width="12.77734375" style="141" bestFit="1" customWidth="1"/>
    <col min="1289" max="1289" width="8.44140625" style="141" customWidth="1"/>
    <col min="1290" max="1290" width="17.77734375" style="141" bestFit="1" customWidth="1"/>
    <col min="1291" max="1291" width="14.33203125" style="141" customWidth="1"/>
    <col min="1292" max="1292" width="9" style="141"/>
    <col min="1293" max="1293" width="10.21875" style="141" customWidth="1"/>
    <col min="1294" max="1294" width="9" style="141"/>
    <col min="1295" max="1295" width="13.77734375" style="141" bestFit="1" customWidth="1"/>
    <col min="1296" max="1536" width="9" style="141"/>
    <col min="1537" max="1537" width="7.33203125" style="141" customWidth="1"/>
    <col min="1538" max="1538" width="18.77734375" style="141" customWidth="1"/>
    <col min="1539" max="1539" width="12.77734375" style="141" customWidth="1"/>
    <col min="1540" max="1540" width="23.109375" style="141" customWidth="1"/>
    <col min="1541" max="1541" width="17.6640625" style="141" customWidth="1"/>
    <col min="1542" max="1543" width="11.88671875" style="141" customWidth="1"/>
    <col min="1544" max="1544" width="12.77734375" style="141" bestFit="1" customWidth="1"/>
    <col min="1545" max="1545" width="8.44140625" style="141" customWidth="1"/>
    <col min="1546" max="1546" width="17.77734375" style="141" bestFit="1" customWidth="1"/>
    <col min="1547" max="1547" width="14.33203125" style="141" customWidth="1"/>
    <col min="1548" max="1548" width="9" style="141"/>
    <col min="1549" max="1549" width="10.21875" style="141" customWidth="1"/>
    <col min="1550" max="1550" width="9" style="141"/>
    <col min="1551" max="1551" width="13.77734375" style="141" bestFit="1" customWidth="1"/>
    <col min="1552" max="1792" width="9" style="141"/>
    <col min="1793" max="1793" width="7.33203125" style="141" customWidth="1"/>
    <col min="1794" max="1794" width="18.77734375" style="141" customWidth="1"/>
    <col min="1795" max="1795" width="12.77734375" style="141" customWidth="1"/>
    <col min="1796" max="1796" width="23.109375" style="141" customWidth="1"/>
    <col min="1797" max="1797" width="17.6640625" style="141" customWidth="1"/>
    <col min="1798" max="1799" width="11.88671875" style="141" customWidth="1"/>
    <col min="1800" max="1800" width="12.77734375" style="141" bestFit="1" customWidth="1"/>
    <col min="1801" max="1801" width="8.44140625" style="141" customWidth="1"/>
    <col min="1802" max="1802" width="17.77734375" style="141" bestFit="1" customWidth="1"/>
    <col min="1803" max="1803" width="14.33203125" style="141" customWidth="1"/>
    <col min="1804" max="1804" width="9" style="141"/>
    <col min="1805" max="1805" width="10.21875" style="141" customWidth="1"/>
    <col min="1806" max="1806" width="9" style="141"/>
    <col min="1807" max="1807" width="13.77734375" style="141" bestFit="1" customWidth="1"/>
    <col min="1808" max="2048" width="9" style="141"/>
    <col min="2049" max="2049" width="7.33203125" style="141" customWidth="1"/>
    <col min="2050" max="2050" width="18.77734375" style="141" customWidth="1"/>
    <col min="2051" max="2051" width="12.77734375" style="141" customWidth="1"/>
    <col min="2052" max="2052" width="23.109375" style="141" customWidth="1"/>
    <col min="2053" max="2053" width="17.6640625" style="141" customWidth="1"/>
    <col min="2054" max="2055" width="11.88671875" style="141" customWidth="1"/>
    <col min="2056" max="2056" width="12.77734375" style="141" bestFit="1" customWidth="1"/>
    <col min="2057" max="2057" width="8.44140625" style="141" customWidth="1"/>
    <col min="2058" max="2058" width="17.77734375" style="141" bestFit="1" customWidth="1"/>
    <col min="2059" max="2059" width="14.33203125" style="141" customWidth="1"/>
    <col min="2060" max="2060" width="9" style="141"/>
    <col min="2061" max="2061" width="10.21875" style="141" customWidth="1"/>
    <col min="2062" max="2062" width="9" style="141"/>
    <col min="2063" max="2063" width="13.77734375" style="141" bestFit="1" customWidth="1"/>
    <col min="2064" max="2304" width="9" style="141"/>
    <col min="2305" max="2305" width="7.33203125" style="141" customWidth="1"/>
    <col min="2306" max="2306" width="18.77734375" style="141" customWidth="1"/>
    <col min="2307" max="2307" width="12.77734375" style="141" customWidth="1"/>
    <col min="2308" max="2308" width="23.109375" style="141" customWidth="1"/>
    <col min="2309" max="2309" width="17.6640625" style="141" customWidth="1"/>
    <col min="2310" max="2311" width="11.88671875" style="141" customWidth="1"/>
    <col min="2312" max="2312" width="12.77734375" style="141" bestFit="1" customWidth="1"/>
    <col min="2313" max="2313" width="8.44140625" style="141" customWidth="1"/>
    <col min="2314" max="2314" width="17.77734375" style="141" bestFit="1" customWidth="1"/>
    <col min="2315" max="2315" width="14.33203125" style="141" customWidth="1"/>
    <col min="2316" max="2316" width="9" style="141"/>
    <col min="2317" max="2317" width="10.21875" style="141" customWidth="1"/>
    <col min="2318" max="2318" width="9" style="141"/>
    <col min="2319" max="2319" width="13.77734375" style="141" bestFit="1" customWidth="1"/>
    <col min="2320" max="2560" width="9" style="141"/>
    <col min="2561" max="2561" width="7.33203125" style="141" customWidth="1"/>
    <col min="2562" max="2562" width="18.77734375" style="141" customWidth="1"/>
    <col min="2563" max="2563" width="12.77734375" style="141" customWidth="1"/>
    <col min="2564" max="2564" width="23.109375" style="141" customWidth="1"/>
    <col min="2565" max="2565" width="17.6640625" style="141" customWidth="1"/>
    <col min="2566" max="2567" width="11.88671875" style="141" customWidth="1"/>
    <col min="2568" max="2568" width="12.77734375" style="141" bestFit="1" customWidth="1"/>
    <col min="2569" max="2569" width="8.44140625" style="141" customWidth="1"/>
    <col min="2570" max="2570" width="17.77734375" style="141" bestFit="1" customWidth="1"/>
    <col min="2571" max="2571" width="14.33203125" style="141" customWidth="1"/>
    <col min="2572" max="2572" width="9" style="141"/>
    <col min="2573" max="2573" width="10.21875" style="141" customWidth="1"/>
    <col min="2574" max="2574" width="9" style="141"/>
    <col min="2575" max="2575" width="13.77734375" style="141" bestFit="1" customWidth="1"/>
    <col min="2576" max="2816" width="9" style="141"/>
    <col min="2817" max="2817" width="7.33203125" style="141" customWidth="1"/>
    <col min="2818" max="2818" width="18.77734375" style="141" customWidth="1"/>
    <col min="2819" max="2819" width="12.77734375" style="141" customWidth="1"/>
    <col min="2820" max="2820" width="23.109375" style="141" customWidth="1"/>
    <col min="2821" max="2821" width="17.6640625" style="141" customWidth="1"/>
    <col min="2822" max="2823" width="11.88671875" style="141" customWidth="1"/>
    <col min="2824" max="2824" width="12.77734375" style="141" bestFit="1" customWidth="1"/>
    <col min="2825" max="2825" width="8.44140625" style="141" customWidth="1"/>
    <col min="2826" max="2826" width="17.77734375" style="141" bestFit="1" customWidth="1"/>
    <col min="2827" max="2827" width="14.33203125" style="141" customWidth="1"/>
    <col min="2828" max="2828" width="9" style="141"/>
    <col min="2829" max="2829" width="10.21875" style="141" customWidth="1"/>
    <col min="2830" max="2830" width="9" style="141"/>
    <col min="2831" max="2831" width="13.77734375" style="141" bestFit="1" customWidth="1"/>
    <col min="2832" max="3072" width="9" style="141"/>
    <col min="3073" max="3073" width="7.33203125" style="141" customWidth="1"/>
    <col min="3074" max="3074" width="18.77734375" style="141" customWidth="1"/>
    <col min="3075" max="3075" width="12.77734375" style="141" customWidth="1"/>
    <col min="3076" max="3076" width="23.109375" style="141" customWidth="1"/>
    <col min="3077" max="3077" width="17.6640625" style="141" customWidth="1"/>
    <col min="3078" max="3079" width="11.88671875" style="141" customWidth="1"/>
    <col min="3080" max="3080" width="12.77734375" style="141" bestFit="1" customWidth="1"/>
    <col min="3081" max="3081" width="8.44140625" style="141" customWidth="1"/>
    <col min="3082" max="3082" width="17.77734375" style="141" bestFit="1" customWidth="1"/>
    <col min="3083" max="3083" width="14.33203125" style="141" customWidth="1"/>
    <col min="3084" max="3084" width="9" style="141"/>
    <col min="3085" max="3085" width="10.21875" style="141" customWidth="1"/>
    <col min="3086" max="3086" width="9" style="141"/>
    <col min="3087" max="3087" width="13.77734375" style="141" bestFit="1" customWidth="1"/>
    <col min="3088" max="3328" width="9" style="141"/>
    <col min="3329" max="3329" width="7.33203125" style="141" customWidth="1"/>
    <col min="3330" max="3330" width="18.77734375" style="141" customWidth="1"/>
    <col min="3331" max="3331" width="12.77734375" style="141" customWidth="1"/>
    <col min="3332" max="3332" width="23.109375" style="141" customWidth="1"/>
    <col min="3333" max="3333" width="17.6640625" style="141" customWidth="1"/>
    <col min="3334" max="3335" width="11.88671875" style="141" customWidth="1"/>
    <col min="3336" max="3336" width="12.77734375" style="141" bestFit="1" customWidth="1"/>
    <col min="3337" max="3337" width="8.44140625" style="141" customWidth="1"/>
    <col min="3338" max="3338" width="17.77734375" style="141" bestFit="1" customWidth="1"/>
    <col min="3339" max="3339" width="14.33203125" style="141" customWidth="1"/>
    <col min="3340" max="3340" width="9" style="141"/>
    <col min="3341" max="3341" width="10.21875" style="141" customWidth="1"/>
    <col min="3342" max="3342" width="9" style="141"/>
    <col min="3343" max="3343" width="13.77734375" style="141" bestFit="1" customWidth="1"/>
    <col min="3344" max="3584" width="9" style="141"/>
    <col min="3585" max="3585" width="7.33203125" style="141" customWidth="1"/>
    <col min="3586" max="3586" width="18.77734375" style="141" customWidth="1"/>
    <col min="3587" max="3587" width="12.77734375" style="141" customWidth="1"/>
    <col min="3588" max="3588" width="23.109375" style="141" customWidth="1"/>
    <col min="3589" max="3589" width="17.6640625" style="141" customWidth="1"/>
    <col min="3590" max="3591" width="11.88671875" style="141" customWidth="1"/>
    <col min="3592" max="3592" width="12.77734375" style="141" bestFit="1" customWidth="1"/>
    <col min="3593" max="3593" width="8.44140625" style="141" customWidth="1"/>
    <col min="3594" max="3594" width="17.77734375" style="141" bestFit="1" customWidth="1"/>
    <col min="3595" max="3595" width="14.33203125" style="141" customWidth="1"/>
    <col min="3596" max="3596" width="9" style="141"/>
    <col min="3597" max="3597" width="10.21875" style="141" customWidth="1"/>
    <col min="3598" max="3598" width="9" style="141"/>
    <col min="3599" max="3599" width="13.77734375" style="141" bestFit="1" customWidth="1"/>
    <col min="3600" max="3840" width="9" style="141"/>
    <col min="3841" max="3841" width="7.33203125" style="141" customWidth="1"/>
    <col min="3842" max="3842" width="18.77734375" style="141" customWidth="1"/>
    <col min="3843" max="3843" width="12.77734375" style="141" customWidth="1"/>
    <col min="3844" max="3844" width="23.109375" style="141" customWidth="1"/>
    <col min="3845" max="3845" width="17.6640625" style="141" customWidth="1"/>
    <col min="3846" max="3847" width="11.88671875" style="141" customWidth="1"/>
    <col min="3848" max="3848" width="12.77734375" style="141" bestFit="1" customWidth="1"/>
    <col min="3849" max="3849" width="8.44140625" style="141" customWidth="1"/>
    <col min="3850" max="3850" width="17.77734375" style="141" bestFit="1" customWidth="1"/>
    <col min="3851" max="3851" width="14.33203125" style="141" customWidth="1"/>
    <col min="3852" max="3852" width="9" style="141"/>
    <col min="3853" max="3853" width="10.21875" style="141" customWidth="1"/>
    <col min="3854" max="3854" width="9" style="141"/>
    <col min="3855" max="3855" width="13.77734375" style="141" bestFit="1" customWidth="1"/>
    <col min="3856" max="4096" width="9" style="141"/>
    <col min="4097" max="4097" width="7.33203125" style="141" customWidth="1"/>
    <col min="4098" max="4098" width="18.77734375" style="141" customWidth="1"/>
    <col min="4099" max="4099" width="12.77734375" style="141" customWidth="1"/>
    <col min="4100" max="4100" width="23.109375" style="141" customWidth="1"/>
    <col min="4101" max="4101" width="17.6640625" style="141" customWidth="1"/>
    <col min="4102" max="4103" width="11.88671875" style="141" customWidth="1"/>
    <col min="4104" max="4104" width="12.77734375" style="141" bestFit="1" customWidth="1"/>
    <col min="4105" max="4105" width="8.44140625" style="141" customWidth="1"/>
    <col min="4106" max="4106" width="17.77734375" style="141" bestFit="1" customWidth="1"/>
    <col min="4107" max="4107" width="14.33203125" style="141" customWidth="1"/>
    <col min="4108" max="4108" width="9" style="141"/>
    <col min="4109" max="4109" width="10.21875" style="141" customWidth="1"/>
    <col min="4110" max="4110" width="9" style="141"/>
    <col min="4111" max="4111" width="13.77734375" style="141" bestFit="1" customWidth="1"/>
    <col min="4112" max="4352" width="9" style="141"/>
    <col min="4353" max="4353" width="7.33203125" style="141" customWidth="1"/>
    <col min="4354" max="4354" width="18.77734375" style="141" customWidth="1"/>
    <col min="4355" max="4355" width="12.77734375" style="141" customWidth="1"/>
    <col min="4356" max="4356" width="23.109375" style="141" customWidth="1"/>
    <col min="4357" max="4357" width="17.6640625" style="141" customWidth="1"/>
    <col min="4358" max="4359" width="11.88671875" style="141" customWidth="1"/>
    <col min="4360" max="4360" width="12.77734375" style="141" bestFit="1" customWidth="1"/>
    <col min="4361" max="4361" width="8.44140625" style="141" customWidth="1"/>
    <col min="4362" max="4362" width="17.77734375" style="141" bestFit="1" customWidth="1"/>
    <col min="4363" max="4363" width="14.33203125" style="141" customWidth="1"/>
    <col min="4364" max="4364" width="9" style="141"/>
    <col min="4365" max="4365" width="10.21875" style="141" customWidth="1"/>
    <col min="4366" max="4366" width="9" style="141"/>
    <col min="4367" max="4367" width="13.77734375" style="141" bestFit="1" customWidth="1"/>
    <col min="4368" max="4608" width="9" style="141"/>
    <col min="4609" max="4609" width="7.33203125" style="141" customWidth="1"/>
    <col min="4610" max="4610" width="18.77734375" style="141" customWidth="1"/>
    <col min="4611" max="4611" width="12.77734375" style="141" customWidth="1"/>
    <col min="4612" max="4612" width="23.109375" style="141" customWidth="1"/>
    <col min="4613" max="4613" width="17.6640625" style="141" customWidth="1"/>
    <col min="4614" max="4615" width="11.88671875" style="141" customWidth="1"/>
    <col min="4616" max="4616" width="12.77734375" style="141" bestFit="1" customWidth="1"/>
    <col min="4617" max="4617" width="8.44140625" style="141" customWidth="1"/>
    <col min="4618" max="4618" width="17.77734375" style="141" bestFit="1" customWidth="1"/>
    <col min="4619" max="4619" width="14.33203125" style="141" customWidth="1"/>
    <col min="4620" max="4620" width="9" style="141"/>
    <col min="4621" max="4621" width="10.21875" style="141" customWidth="1"/>
    <col min="4622" max="4622" width="9" style="141"/>
    <col min="4623" max="4623" width="13.77734375" style="141" bestFit="1" customWidth="1"/>
    <col min="4624" max="4864" width="9" style="141"/>
    <col min="4865" max="4865" width="7.33203125" style="141" customWidth="1"/>
    <col min="4866" max="4866" width="18.77734375" style="141" customWidth="1"/>
    <col min="4867" max="4867" width="12.77734375" style="141" customWidth="1"/>
    <col min="4868" max="4868" width="23.109375" style="141" customWidth="1"/>
    <col min="4869" max="4869" width="17.6640625" style="141" customWidth="1"/>
    <col min="4870" max="4871" width="11.88671875" style="141" customWidth="1"/>
    <col min="4872" max="4872" width="12.77734375" style="141" bestFit="1" customWidth="1"/>
    <col min="4873" max="4873" width="8.44140625" style="141" customWidth="1"/>
    <col min="4874" max="4874" width="17.77734375" style="141" bestFit="1" customWidth="1"/>
    <col min="4875" max="4875" width="14.33203125" style="141" customWidth="1"/>
    <col min="4876" max="4876" width="9" style="141"/>
    <col min="4877" max="4877" width="10.21875" style="141" customWidth="1"/>
    <col min="4878" max="4878" width="9" style="141"/>
    <col min="4879" max="4879" width="13.77734375" style="141" bestFit="1" customWidth="1"/>
    <col min="4880" max="5120" width="9" style="141"/>
    <col min="5121" max="5121" width="7.33203125" style="141" customWidth="1"/>
    <col min="5122" max="5122" width="18.77734375" style="141" customWidth="1"/>
    <col min="5123" max="5123" width="12.77734375" style="141" customWidth="1"/>
    <col min="5124" max="5124" width="23.109375" style="141" customWidth="1"/>
    <col min="5125" max="5125" width="17.6640625" style="141" customWidth="1"/>
    <col min="5126" max="5127" width="11.88671875" style="141" customWidth="1"/>
    <col min="5128" max="5128" width="12.77734375" style="141" bestFit="1" customWidth="1"/>
    <col min="5129" max="5129" width="8.44140625" style="141" customWidth="1"/>
    <col min="5130" max="5130" width="17.77734375" style="141" bestFit="1" customWidth="1"/>
    <col min="5131" max="5131" width="14.33203125" style="141" customWidth="1"/>
    <col min="5132" max="5132" width="9" style="141"/>
    <col min="5133" max="5133" width="10.21875" style="141" customWidth="1"/>
    <col min="5134" max="5134" width="9" style="141"/>
    <col min="5135" max="5135" width="13.77734375" style="141" bestFit="1" customWidth="1"/>
    <col min="5136" max="5376" width="9" style="141"/>
    <col min="5377" max="5377" width="7.33203125" style="141" customWidth="1"/>
    <col min="5378" max="5378" width="18.77734375" style="141" customWidth="1"/>
    <col min="5379" max="5379" width="12.77734375" style="141" customWidth="1"/>
    <col min="5380" max="5380" width="23.109375" style="141" customWidth="1"/>
    <col min="5381" max="5381" width="17.6640625" style="141" customWidth="1"/>
    <col min="5382" max="5383" width="11.88671875" style="141" customWidth="1"/>
    <col min="5384" max="5384" width="12.77734375" style="141" bestFit="1" customWidth="1"/>
    <col min="5385" max="5385" width="8.44140625" style="141" customWidth="1"/>
    <col min="5386" max="5386" width="17.77734375" style="141" bestFit="1" customWidth="1"/>
    <col min="5387" max="5387" width="14.33203125" style="141" customWidth="1"/>
    <col min="5388" max="5388" width="9" style="141"/>
    <col min="5389" max="5389" width="10.21875" style="141" customWidth="1"/>
    <col min="5390" max="5390" width="9" style="141"/>
    <col min="5391" max="5391" width="13.77734375" style="141" bestFit="1" customWidth="1"/>
    <col min="5392" max="5632" width="9" style="141"/>
    <col min="5633" max="5633" width="7.33203125" style="141" customWidth="1"/>
    <col min="5634" max="5634" width="18.77734375" style="141" customWidth="1"/>
    <col min="5635" max="5635" width="12.77734375" style="141" customWidth="1"/>
    <col min="5636" max="5636" width="23.109375" style="141" customWidth="1"/>
    <col min="5637" max="5637" width="17.6640625" style="141" customWidth="1"/>
    <col min="5638" max="5639" width="11.88671875" style="141" customWidth="1"/>
    <col min="5640" max="5640" width="12.77734375" style="141" bestFit="1" customWidth="1"/>
    <col min="5641" max="5641" width="8.44140625" style="141" customWidth="1"/>
    <col min="5642" max="5642" width="17.77734375" style="141" bestFit="1" customWidth="1"/>
    <col min="5643" max="5643" width="14.33203125" style="141" customWidth="1"/>
    <col min="5644" max="5644" width="9" style="141"/>
    <col min="5645" max="5645" width="10.21875" style="141" customWidth="1"/>
    <col min="5646" max="5646" width="9" style="141"/>
    <col min="5647" max="5647" width="13.77734375" style="141" bestFit="1" customWidth="1"/>
    <col min="5648" max="5888" width="9" style="141"/>
    <col min="5889" max="5889" width="7.33203125" style="141" customWidth="1"/>
    <col min="5890" max="5890" width="18.77734375" style="141" customWidth="1"/>
    <col min="5891" max="5891" width="12.77734375" style="141" customWidth="1"/>
    <col min="5892" max="5892" width="23.109375" style="141" customWidth="1"/>
    <col min="5893" max="5893" width="17.6640625" style="141" customWidth="1"/>
    <col min="5894" max="5895" width="11.88671875" style="141" customWidth="1"/>
    <col min="5896" max="5896" width="12.77734375" style="141" bestFit="1" customWidth="1"/>
    <col min="5897" max="5897" width="8.44140625" style="141" customWidth="1"/>
    <col min="5898" max="5898" width="17.77734375" style="141" bestFit="1" customWidth="1"/>
    <col min="5899" max="5899" width="14.33203125" style="141" customWidth="1"/>
    <col min="5900" max="5900" width="9" style="141"/>
    <col min="5901" max="5901" width="10.21875" style="141" customWidth="1"/>
    <col min="5902" max="5902" width="9" style="141"/>
    <col min="5903" max="5903" width="13.77734375" style="141" bestFit="1" customWidth="1"/>
    <col min="5904" max="6144" width="9" style="141"/>
    <col min="6145" max="6145" width="7.33203125" style="141" customWidth="1"/>
    <col min="6146" max="6146" width="18.77734375" style="141" customWidth="1"/>
    <col min="6147" max="6147" width="12.77734375" style="141" customWidth="1"/>
    <col min="6148" max="6148" width="23.109375" style="141" customWidth="1"/>
    <col min="6149" max="6149" width="17.6640625" style="141" customWidth="1"/>
    <col min="6150" max="6151" width="11.88671875" style="141" customWidth="1"/>
    <col min="6152" max="6152" width="12.77734375" style="141" bestFit="1" customWidth="1"/>
    <col min="6153" max="6153" width="8.44140625" style="141" customWidth="1"/>
    <col min="6154" max="6154" width="17.77734375" style="141" bestFit="1" customWidth="1"/>
    <col min="6155" max="6155" width="14.33203125" style="141" customWidth="1"/>
    <col min="6156" max="6156" width="9" style="141"/>
    <col min="6157" max="6157" width="10.21875" style="141" customWidth="1"/>
    <col min="6158" max="6158" width="9" style="141"/>
    <col min="6159" max="6159" width="13.77734375" style="141" bestFit="1" customWidth="1"/>
    <col min="6160" max="6400" width="9" style="141"/>
    <col min="6401" max="6401" width="7.33203125" style="141" customWidth="1"/>
    <col min="6402" max="6402" width="18.77734375" style="141" customWidth="1"/>
    <col min="6403" max="6403" width="12.77734375" style="141" customWidth="1"/>
    <col min="6404" max="6404" width="23.109375" style="141" customWidth="1"/>
    <col min="6405" max="6405" width="17.6640625" style="141" customWidth="1"/>
    <col min="6406" max="6407" width="11.88671875" style="141" customWidth="1"/>
    <col min="6408" max="6408" width="12.77734375" style="141" bestFit="1" customWidth="1"/>
    <col min="6409" max="6409" width="8.44140625" style="141" customWidth="1"/>
    <col min="6410" max="6410" width="17.77734375" style="141" bestFit="1" customWidth="1"/>
    <col min="6411" max="6411" width="14.33203125" style="141" customWidth="1"/>
    <col min="6412" max="6412" width="9" style="141"/>
    <col min="6413" max="6413" width="10.21875" style="141" customWidth="1"/>
    <col min="6414" max="6414" width="9" style="141"/>
    <col min="6415" max="6415" width="13.77734375" style="141" bestFit="1" customWidth="1"/>
    <col min="6416" max="6656" width="9" style="141"/>
    <col min="6657" max="6657" width="7.33203125" style="141" customWidth="1"/>
    <col min="6658" max="6658" width="18.77734375" style="141" customWidth="1"/>
    <col min="6659" max="6659" width="12.77734375" style="141" customWidth="1"/>
    <col min="6660" max="6660" width="23.109375" style="141" customWidth="1"/>
    <col min="6661" max="6661" width="17.6640625" style="141" customWidth="1"/>
    <col min="6662" max="6663" width="11.88671875" style="141" customWidth="1"/>
    <col min="6664" max="6664" width="12.77734375" style="141" bestFit="1" customWidth="1"/>
    <col min="6665" max="6665" width="8.44140625" style="141" customWidth="1"/>
    <col min="6666" max="6666" width="17.77734375" style="141" bestFit="1" customWidth="1"/>
    <col min="6667" max="6667" width="14.33203125" style="141" customWidth="1"/>
    <col min="6668" max="6668" width="9" style="141"/>
    <col min="6669" max="6669" width="10.21875" style="141" customWidth="1"/>
    <col min="6670" max="6670" width="9" style="141"/>
    <col min="6671" max="6671" width="13.77734375" style="141" bestFit="1" customWidth="1"/>
    <col min="6672" max="6912" width="9" style="141"/>
    <col min="6913" max="6913" width="7.33203125" style="141" customWidth="1"/>
    <col min="6914" max="6914" width="18.77734375" style="141" customWidth="1"/>
    <col min="6915" max="6915" width="12.77734375" style="141" customWidth="1"/>
    <col min="6916" max="6916" width="23.109375" style="141" customWidth="1"/>
    <col min="6917" max="6917" width="17.6640625" style="141" customWidth="1"/>
    <col min="6918" max="6919" width="11.88671875" style="141" customWidth="1"/>
    <col min="6920" max="6920" width="12.77734375" style="141" bestFit="1" customWidth="1"/>
    <col min="6921" max="6921" width="8.44140625" style="141" customWidth="1"/>
    <col min="6922" max="6922" width="17.77734375" style="141" bestFit="1" customWidth="1"/>
    <col min="6923" max="6923" width="14.33203125" style="141" customWidth="1"/>
    <col min="6924" max="6924" width="9" style="141"/>
    <col min="6925" max="6925" width="10.21875" style="141" customWidth="1"/>
    <col min="6926" max="6926" width="9" style="141"/>
    <col min="6927" max="6927" width="13.77734375" style="141" bestFit="1" customWidth="1"/>
    <col min="6928" max="7168" width="9" style="141"/>
    <col min="7169" max="7169" width="7.33203125" style="141" customWidth="1"/>
    <col min="7170" max="7170" width="18.77734375" style="141" customWidth="1"/>
    <col min="7171" max="7171" width="12.77734375" style="141" customWidth="1"/>
    <col min="7172" max="7172" width="23.109375" style="141" customWidth="1"/>
    <col min="7173" max="7173" width="17.6640625" style="141" customWidth="1"/>
    <col min="7174" max="7175" width="11.88671875" style="141" customWidth="1"/>
    <col min="7176" max="7176" width="12.77734375" style="141" bestFit="1" customWidth="1"/>
    <col min="7177" max="7177" width="8.44140625" style="141" customWidth="1"/>
    <col min="7178" max="7178" width="17.77734375" style="141" bestFit="1" customWidth="1"/>
    <col min="7179" max="7179" width="14.33203125" style="141" customWidth="1"/>
    <col min="7180" max="7180" width="9" style="141"/>
    <col min="7181" max="7181" width="10.21875" style="141" customWidth="1"/>
    <col min="7182" max="7182" width="9" style="141"/>
    <col min="7183" max="7183" width="13.77734375" style="141" bestFit="1" customWidth="1"/>
    <col min="7184" max="7424" width="9" style="141"/>
    <col min="7425" max="7425" width="7.33203125" style="141" customWidth="1"/>
    <col min="7426" max="7426" width="18.77734375" style="141" customWidth="1"/>
    <col min="7427" max="7427" width="12.77734375" style="141" customWidth="1"/>
    <col min="7428" max="7428" width="23.109375" style="141" customWidth="1"/>
    <col min="7429" max="7429" width="17.6640625" style="141" customWidth="1"/>
    <col min="7430" max="7431" width="11.88671875" style="141" customWidth="1"/>
    <col min="7432" max="7432" width="12.77734375" style="141" bestFit="1" customWidth="1"/>
    <col min="7433" max="7433" width="8.44140625" style="141" customWidth="1"/>
    <col min="7434" max="7434" width="17.77734375" style="141" bestFit="1" customWidth="1"/>
    <col min="7435" max="7435" width="14.33203125" style="141" customWidth="1"/>
    <col min="7436" max="7436" width="9" style="141"/>
    <col min="7437" max="7437" width="10.21875" style="141" customWidth="1"/>
    <col min="7438" max="7438" width="9" style="141"/>
    <col min="7439" max="7439" width="13.77734375" style="141" bestFit="1" customWidth="1"/>
    <col min="7440" max="7680" width="9" style="141"/>
    <col min="7681" max="7681" width="7.33203125" style="141" customWidth="1"/>
    <col min="7682" max="7682" width="18.77734375" style="141" customWidth="1"/>
    <col min="7683" max="7683" width="12.77734375" style="141" customWidth="1"/>
    <col min="7684" max="7684" width="23.109375" style="141" customWidth="1"/>
    <col min="7685" max="7685" width="17.6640625" style="141" customWidth="1"/>
    <col min="7686" max="7687" width="11.88671875" style="141" customWidth="1"/>
    <col min="7688" max="7688" width="12.77734375" style="141" bestFit="1" customWidth="1"/>
    <col min="7689" max="7689" width="8.44140625" style="141" customWidth="1"/>
    <col min="7690" max="7690" width="17.77734375" style="141" bestFit="1" customWidth="1"/>
    <col min="7691" max="7691" width="14.33203125" style="141" customWidth="1"/>
    <col min="7692" max="7692" width="9" style="141"/>
    <col min="7693" max="7693" width="10.21875" style="141" customWidth="1"/>
    <col min="7694" max="7694" width="9" style="141"/>
    <col min="7695" max="7695" width="13.77734375" style="141" bestFit="1" customWidth="1"/>
    <col min="7696" max="7936" width="9" style="141"/>
    <col min="7937" max="7937" width="7.33203125" style="141" customWidth="1"/>
    <col min="7938" max="7938" width="18.77734375" style="141" customWidth="1"/>
    <col min="7939" max="7939" width="12.77734375" style="141" customWidth="1"/>
    <col min="7940" max="7940" width="23.109375" style="141" customWidth="1"/>
    <col min="7941" max="7941" width="17.6640625" style="141" customWidth="1"/>
    <col min="7942" max="7943" width="11.88671875" style="141" customWidth="1"/>
    <col min="7944" max="7944" width="12.77734375" style="141" bestFit="1" customWidth="1"/>
    <col min="7945" max="7945" width="8.44140625" style="141" customWidth="1"/>
    <col min="7946" max="7946" width="17.77734375" style="141" bestFit="1" customWidth="1"/>
    <col min="7947" max="7947" width="14.33203125" style="141" customWidth="1"/>
    <col min="7948" max="7948" width="9" style="141"/>
    <col min="7949" max="7949" width="10.21875" style="141" customWidth="1"/>
    <col min="7950" max="7950" width="9" style="141"/>
    <col min="7951" max="7951" width="13.77734375" style="141" bestFit="1" customWidth="1"/>
    <col min="7952" max="8192" width="9" style="141"/>
    <col min="8193" max="8193" width="7.33203125" style="141" customWidth="1"/>
    <col min="8194" max="8194" width="18.77734375" style="141" customWidth="1"/>
    <col min="8195" max="8195" width="12.77734375" style="141" customWidth="1"/>
    <col min="8196" max="8196" width="23.109375" style="141" customWidth="1"/>
    <col min="8197" max="8197" width="17.6640625" style="141" customWidth="1"/>
    <col min="8198" max="8199" width="11.88671875" style="141" customWidth="1"/>
    <col min="8200" max="8200" width="12.77734375" style="141" bestFit="1" customWidth="1"/>
    <col min="8201" max="8201" width="8.44140625" style="141" customWidth="1"/>
    <col min="8202" max="8202" width="17.77734375" style="141" bestFit="1" customWidth="1"/>
    <col min="8203" max="8203" width="14.33203125" style="141" customWidth="1"/>
    <col min="8204" max="8204" width="9" style="141"/>
    <col min="8205" max="8205" width="10.21875" style="141" customWidth="1"/>
    <col min="8206" max="8206" width="9" style="141"/>
    <col min="8207" max="8207" width="13.77734375" style="141" bestFit="1" customWidth="1"/>
    <col min="8208" max="8448" width="9" style="141"/>
    <col min="8449" max="8449" width="7.33203125" style="141" customWidth="1"/>
    <col min="8450" max="8450" width="18.77734375" style="141" customWidth="1"/>
    <col min="8451" max="8451" width="12.77734375" style="141" customWidth="1"/>
    <col min="8452" max="8452" width="23.109375" style="141" customWidth="1"/>
    <col min="8453" max="8453" width="17.6640625" style="141" customWidth="1"/>
    <col min="8454" max="8455" width="11.88671875" style="141" customWidth="1"/>
    <col min="8456" max="8456" width="12.77734375" style="141" bestFit="1" customWidth="1"/>
    <col min="8457" max="8457" width="8.44140625" style="141" customWidth="1"/>
    <col min="8458" max="8458" width="17.77734375" style="141" bestFit="1" customWidth="1"/>
    <col min="8459" max="8459" width="14.33203125" style="141" customWidth="1"/>
    <col min="8460" max="8460" width="9" style="141"/>
    <col min="8461" max="8461" width="10.21875" style="141" customWidth="1"/>
    <col min="8462" max="8462" width="9" style="141"/>
    <col min="8463" max="8463" width="13.77734375" style="141" bestFit="1" customWidth="1"/>
    <col min="8464" max="8704" width="9" style="141"/>
    <col min="8705" max="8705" width="7.33203125" style="141" customWidth="1"/>
    <col min="8706" max="8706" width="18.77734375" style="141" customWidth="1"/>
    <col min="8707" max="8707" width="12.77734375" style="141" customWidth="1"/>
    <col min="8708" max="8708" width="23.109375" style="141" customWidth="1"/>
    <col min="8709" max="8709" width="17.6640625" style="141" customWidth="1"/>
    <col min="8710" max="8711" width="11.88671875" style="141" customWidth="1"/>
    <col min="8712" max="8712" width="12.77734375" style="141" bestFit="1" customWidth="1"/>
    <col min="8713" max="8713" width="8.44140625" style="141" customWidth="1"/>
    <col min="8714" max="8714" width="17.77734375" style="141" bestFit="1" customWidth="1"/>
    <col min="8715" max="8715" width="14.33203125" style="141" customWidth="1"/>
    <col min="8716" max="8716" width="9" style="141"/>
    <col min="8717" max="8717" width="10.21875" style="141" customWidth="1"/>
    <col min="8718" max="8718" width="9" style="141"/>
    <col min="8719" max="8719" width="13.77734375" style="141" bestFit="1" customWidth="1"/>
    <col min="8720" max="8960" width="9" style="141"/>
    <col min="8961" max="8961" width="7.33203125" style="141" customWidth="1"/>
    <col min="8962" max="8962" width="18.77734375" style="141" customWidth="1"/>
    <col min="8963" max="8963" width="12.77734375" style="141" customWidth="1"/>
    <col min="8964" max="8964" width="23.109375" style="141" customWidth="1"/>
    <col min="8965" max="8965" width="17.6640625" style="141" customWidth="1"/>
    <col min="8966" max="8967" width="11.88671875" style="141" customWidth="1"/>
    <col min="8968" max="8968" width="12.77734375" style="141" bestFit="1" customWidth="1"/>
    <col min="8969" max="8969" width="8.44140625" style="141" customWidth="1"/>
    <col min="8970" max="8970" width="17.77734375" style="141" bestFit="1" customWidth="1"/>
    <col min="8971" max="8971" width="14.33203125" style="141" customWidth="1"/>
    <col min="8972" max="8972" width="9" style="141"/>
    <col min="8973" max="8973" width="10.21875" style="141" customWidth="1"/>
    <col min="8974" max="8974" width="9" style="141"/>
    <col min="8975" max="8975" width="13.77734375" style="141" bestFit="1" customWidth="1"/>
    <col min="8976" max="9216" width="9" style="141"/>
    <col min="9217" max="9217" width="7.33203125" style="141" customWidth="1"/>
    <col min="9218" max="9218" width="18.77734375" style="141" customWidth="1"/>
    <col min="9219" max="9219" width="12.77734375" style="141" customWidth="1"/>
    <col min="9220" max="9220" width="23.109375" style="141" customWidth="1"/>
    <col min="9221" max="9221" width="17.6640625" style="141" customWidth="1"/>
    <col min="9222" max="9223" width="11.88671875" style="141" customWidth="1"/>
    <col min="9224" max="9224" width="12.77734375" style="141" bestFit="1" customWidth="1"/>
    <col min="9225" max="9225" width="8.44140625" style="141" customWidth="1"/>
    <col min="9226" max="9226" width="17.77734375" style="141" bestFit="1" customWidth="1"/>
    <col min="9227" max="9227" width="14.33203125" style="141" customWidth="1"/>
    <col min="9228" max="9228" width="9" style="141"/>
    <col min="9229" max="9229" width="10.21875" style="141" customWidth="1"/>
    <col min="9230" max="9230" width="9" style="141"/>
    <col min="9231" max="9231" width="13.77734375" style="141" bestFit="1" customWidth="1"/>
    <col min="9232" max="9472" width="9" style="141"/>
    <col min="9473" max="9473" width="7.33203125" style="141" customWidth="1"/>
    <col min="9474" max="9474" width="18.77734375" style="141" customWidth="1"/>
    <col min="9475" max="9475" width="12.77734375" style="141" customWidth="1"/>
    <col min="9476" max="9476" width="23.109375" style="141" customWidth="1"/>
    <col min="9477" max="9477" width="17.6640625" style="141" customWidth="1"/>
    <col min="9478" max="9479" width="11.88671875" style="141" customWidth="1"/>
    <col min="9480" max="9480" width="12.77734375" style="141" bestFit="1" customWidth="1"/>
    <col min="9481" max="9481" width="8.44140625" style="141" customWidth="1"/>
    <col min="9482" max="9482" width="17.77734375" style="141" bestFit="1" customWidth="1"/>
    <col min="9483" max="9483" width="14.33203125" style="141" customWidth="1"/>
    <col min="9484" max="9484" width="9" style="141"/>
    <col min="9485" max="9485" width="10.21875" style="141" customWidth="1"/>
    <col min="9486" max="9486" width="9" style="141"/>
    <col min="9487" max="9487" width="13.77734375" style="141" bestFit="1" customWidth="1"/>
    <col min="9488" max="9728" width="9" style="141"/>
    <col min="9729" max="9729" width="7.33203125" style="141" customWidth="1"/>
    <col min="9730" max="9730" width="18.77734375" style="141" customWidth="1"/>
    <col min="9731" max="9731" width="12.77734375" style="141" customWidth="1"/>
    <col min="9732" max="9732" width="23.109375" style="141" customWidth="1"/>
    <col min="9733" max="9733" width="17.6640625" style="141" customWidth="1"/>
    <col min="9734" max="9735" width="11.88671875" style="141" customWidth="1"/>
    <col min="9736" max="9736" width="12.77734375" style="141" bestFit="1" customWidth="1"/>
    <col min="9737" max="9737" width="8.44140625" style="141" customWidth="1"/>
    <col min="9738" max="9738" width="17.77734375" style="141" bestFit="1" customWidth="1"/>
    <col min="9739" max="9739" width="14.33203125" style="141" customWidth="1"/>
    <col min="9740" max="9740" width="9" style="141"/>
    <col min="9741" max="9741" width="10.21875" style="141" customWidth="1"/>
    <col min="9742" max="9742" width="9" style="141"/>
    <col min="9743" max="9743" width="13.77734375" style="141" bestFit="1" customWidth="1"/>
    <col min="9744" max="9984" width="9" style="141"/>
    <col min="9985" max="9985" width="7.33203125" style="141" customWidth="1"/>
    <col min="9986" max="9986" width="18.77734375" style="141" customWidth="1"/>
    <col min="9987" max="9987" width="12.77734375" style="141" customWidth="1"/>
    <col min="9988" max="9988" width="23.109375" style="141" customWidth="1"/>
    <col min="9989" max="9989" width="17.6640625" style="141" customWidth="1"/>
    <col min="9990" max="9991" width="11.88671875" style="141" customWidth="1"/>
    <col min="9992" max="9992" width="12.77734375" style="141" bestFit="1" customWidth="1"/>
    <col min="9993" max="9993" width="8.44140625" style="141" customWidth="1"/>
    <col min="9994" max="9994" width="17.77734375" style="141" bestFit="1" customWidth="1"/>
    <col min="9995" max="9995" width="14.33203125" style="141" customWidth="1"/>
    <col min="9996" max="9996" width="9" style="141"/>
    <col min="9997" max="9997" width="10.21875" style="141" customWidth="1"/>
    <col min="9998" max="9998" width="9" style="141"/>
    <col min="9999" max="9999" width="13.77734375" style="141" bestFit="1" customWidth="1"/>
    <col min="10000" max="10240" width="9" style="141"/>
    <col min="10241" max="10241" width="7.33203125" style="141" customWidth="1"/>
    <col min="10242" max="10242" width="18.77734375" style="141" customWidth="1"/>
    <col min="10243" max="10243" width="12.77734375" style="141" customWidth="1"/>
    <col min="10244" max="10244" width="23.109375" style="141" customWidth="1"/>
    <col min="10245" max="10245" width="17.6640625" style="141" customWidth="1"/>
    <col min="10246" max="10247" width="11.88671875" style="141" customWidth="1"/>
    <col min="10248" max="10248" width="12.77734375" style="141" bestFit="1" customWidth="1"/>
    <col min="10249" max="10249" width="8.44140625" style="141" customWidth="1"/>
    <col min="10250" max="10250" width="17.77734375" style="141" bestFit="1" customWidth="1"/>
    <col min="10251" max="10251" width="14.33203125" style="141" customWidth="1"/>
    <col min="10252" max="10252" width="9" style="141"/>
    <col min="10253" max="10253" width="10.21875" style="141" customWidth="1"/>
    <col min="10254" max="10254" width="9" style="141"/>
    <col min="10255" max="10255" width="13.77734375" style="141" bestFit="1" customWidth="1"/>
    <col min="10256" max="10496" width="9" style="141"/>
    <col min="10497" max="10497" width="7.33203125" style="141" customWidth="1"/>
    <col min="10498" max="10498" width="18.77734375" style="141" customWidth="1"/>
    <col min="10499" max="10499" width="12.77734375" style="141" customWidth="1"/>
    <col min="10500" max="10500" width="23.109375" style="141" customWidth="1"/>
    <col min="10501" max="10501" width="17.6640625" style="141" customWidth="1"/>
    <col min="10502" max="10503" width="11.88671875" style="141" customWidth="1"/>
    <col min="10504" max="10504" width="12.77734375" style="141" bestFit="1" customWidth="1"/>
    <col min="10505" max="10505" width="8.44140625" style="141" customWidth="1"/>
    <col min="10506" max="10506" width="17.77734375" style="141" bestFit="1" customWidth="1"/>
    <col min="10507" max="10507" width="14.33203125" style="141" customWidth="1"/>
    <col min="10508" max="10508" width="9" style="141"/>
    <col min="10509" max="10509" width="10.21875" style="141" customWidth="1"/>
    <col min="10510" max="10510" width="9" style="141"/>
    <col min="10511" max="10511" width="13.77734375" style="141" bestFit="1" customWidth="1"/>
    <col min="10512" max="10752" width="9" style="141"/>
    <col min="10753" max="10753" width="7.33203125" style="141" customWidth="1"/>
    <col min="10754" max="10754" width="18.77734375" style="141" customWidth="1"/>
    <col min="10755" max="10755" width="12.77734375" style="141" customWidth="1"/>
    <col min="10756" max="10756" width="23.109375" style="141" customWidth="1"/>
    <col min="10757" max="10757" width="17.6640625" style="141" customWidth="1"/>
    <col min="10758" max="10759" width="11.88671875" style="141" customWidth="1"/>
    <col min="10760" max="10760" width="12.77734375" style="141" bestFit="1" customWidth="1"/>
    <col min="10761" max="10761" width="8.44140625" style="141" customWidth="1"/>
    <col min="10762" max="10762" width="17.77734375" style="141" bestFit="1" customWidth="1"/>
    <col min="10763" max="10763" width="14.33203125" style="141" customWidth="1"/>
    <col min="10764" max="10764" width="9" style="141"/>
    <col min="10765" max="10765" width="10.21875" style="141" customWidth="1"/>
    <col min="10766" max="10766" width="9" style="141"/>
    <col min="10767" max="10767" width="13.77734375" style="141" bestFit="1" customWidth="1"/>
    <col min="10768" max="11008" width="9" style="141"/>
    <col min="11009" max="11009" width="7.33203125" style="141" customWidth="1"/>
    <col min="11010" max="11010" width="18.77734375" style="141" customWidth="1"/>
    <col min="11011" max="11011" width="12.77734375" style="141" customWidth="1"/>
    <col min="11012" max="11012" width="23.109375" style="141" customWidth="1"/>
    <col min="11013" max="11013" width="17.6640625" style="141" customWidth="1"/>
    <col min="11014" max="11015" width="11.88671875" style="141" customWidth="1"/>
    <col min="11016" max="11016" width="12.77734375" style="141" bestFit="1" customWidth="1"/>
    <col min="11017" max="11017" width="8.44140625" style="141" customWidth="1"/>
    <col min="11018" max="11018" width="17.77734375" style="141" bestFit="1" customWidth="1"/>
    <col min="11019" max="11019" width="14.33203125" style="141" customWidth="1"/>
    <col min="11020" max="11020" width="9" style="141"/>
    <col min="11021" max="11021" width="10.21875" style="141" customWidth="1"/>
    <col min="11022" max="11022" width="9" style="141"/>
    <col min="11023" max="11023" width="13.77734375" style="141" bestFit="1" customWidth="1"/>
    <col min="11024" max="11264" width="9" style="141"/>
    <col min="11265" max="11265" width="7.33203125" style="141" customWidth="1"/>
    <col min="11266" max="11266" width="18.77734375" style="141" customWidth="1"/>
    <col min="11267" max="11267" width="12.77734375" style="141" customWidth="1"/>
    <col min="11268" max="11268" width="23.109375" style="141" customWidth="1"/>
    <col min="11269" max="11269" width="17.6640625" style="141" customWidth="1"/>
    <col min="11270" max="11271" width="11.88671875" style="141" customWidth="1"/>
    <col min="11272" max="11272" width="12.77734375" style="141" bestFit="1" customWidth="1"/>
    <col min="11273" max="11273" width="8.44140625" style="141" customWidth="1"/>
    <col min="11274" max="11274" width="17.77734375" style="141" bestFit="1" customWidth="1"/>
    <col min="11275" max="11275" width="14.33203125" style="141" customWidth="1"/>
    <col min="11276" max="11276" width="9" style="141"/>
    <col min="11277" max="11277" width="10.21875" style="141" customWidth="1"/>
    <col min="11278" max="11278" width="9" style="141"/>
    <col min="11279" max="11279" width="13.77734375" style="141" bestFit="1" customWidth="1"/>
    <col min="11280" max="11520" width="9" style="141"/>
    <col min="11521" max="11521" width="7.33203125" style="141" customWidth="1"/>
    <col min="11522" max="11522" width="18.77734375" style="141" customWidth="1"/>
    <col min="11523" max="11523" width="12.77734375" style="141" customWidth="1"/>
    <col min="11524" max="11524" width="23.109375" style="141" customWidth="1"/>
    <col min="11525" max="11525" width="17.6640625" style="141" customWidth="1"/>
    <col min="11526" max="11527" width="11.88671875" style="141" customWidth="1"/>
    <col min="11528" max="11528" width="12.77734375" style="141" bestFit="1" customWidth="1"/>
    <col min="11529" max="11529" width="8.44140625" style="141" customWidth="1"/>
    <col min="11530" max="11530" width="17.77734375" style="141" bestFit="1" customWidth="1"/>
    <col min="11531" max="11531" width="14.33203125" style="141" customWidth="1"/>
    <col min="11532" max="11532" width="9" style="141"/>
    <col min="11533" max="11533" width="10.21875" style="141" customWidth="1"/>
    <col min="11534" max="11534" width="9" style="141"/>
    <col min="11535" max="11535" width="13.77734375" style="141" bestFit="1" customWidth="1"/>
    <col min="11536" max="11776" width="9" style="141"/>
    <col min="11777" max="11777" width="7.33203125" style="141" customWidth="1"/>
    <col min="11778" max="11778" width="18.77734375" style="141" customWidth="1"/>
    <col min="11779" max="11779" width="12.77734375" style="141" customWidth="1"/>
    <col min="11780" max="11780" width="23.109375" style="141" customWidth="1"/>
    <col min="11781" max="11781" width="17.6640625" style="141" customWidth="1"/>
    <col min="11782" max="11783" width="11.88671875" style="141" customWidth="1"/>
    <col min="11784" max="11784" width="12.77734375" style="141" bestFit="1" customWidth="1"/>
    <col min="11785" max="11785" width="8.44140625" style="141" customWidth="1"/>
    <col min="11786" max="11786" width="17.77734375" style="141" bestFit="1" customWidth="1"/>
    <col min="11787" max="11787" width="14.33203125" style="141" customWidth="1"/>
    <col min="11788" max="11788" width="9" style="141"/>
    <col min="11789" max="11789" width="10.21875" style="141" customWidth="1"/>
    <col min="11790" max="11790" width="9" style="141"/>
    <col min="11791" max="11791" width="13.77734375" style="141" bestFit="1" customWidth="1"/>
    <col min="11792" max="12032" width="9" style="141"/>
    <col min="12033" max="12033" width="7.33203125" style="141" customWidth="1"/>
    <col min="12034" max="12034" width="18.77734375" style="141" customWidth="1"/>
    <col min="12035" max="12035" width="12.77734375" style="141" customWidth="1"/>
    <col min="12036" max="12036" width="23.109375" style="141" customWidth="1"/>
    <col min="12037" max="12037" width="17.6640625" style="141" customWidth="1"/>
    <col min="12038" max="12039" width="11.88671875" style="141" customWidth="1"/>
    <col min="12040" max="12040" width="12.77734375" style="141" bestFit="1" customWidth="1"/>
    <col min="12041" max="12041" width="8.44140625" style="141" customWidth="1"/>
    <col min="12042" max="12042" width="17.77734375" style="141" bestFit="1" customWidth="1"/>
    <col min="12043" max="12043" width="14.33203125" style="141" customWidth="1"/>
    <col min="12044" max="12044" width="9" style="141"/>
    <col min="12045" max="12045" width="10.21875" style="141" customWidth="1"/>
    <col min="12046" max="12046" width="9" style="141"/>
    <col min="12047" max="12047" width="13.77734375" style="141" bestFit="1" customWidth="1"/>
    <col min="12048" max="12288" width="9" style="141"/>
    <col min="12289" max="12289" width="7.33203125" style="141" customWidth="1"/>
    <col min="12290" max="12290" width="18.77734375" style="141" customWidth="1"/>
    <col min="12291" max="12291" width="12.77734375" style="141" customWidth="1"/>
    <col min="12292" max="12292" width="23.109375" style="141" customWidth="1"/>
    <col min="12293" max="12293" width="17.6640625" style="141" customWidth="1"/>
    <col min="12294" max="12295" width="11.88671875" style="141" customWidth="1"/>
    <col min="12296" max="12296" width="12.77734375" style="141" bestFit="1" customWidth="1"/>
    <col min="12297" max="12297" width="8.44140625" style="141" customWidth="1"/>
    <col min="12298" max="12298" width="17.77734375" style="141" bestFit="1" customWidth="1"/>
    <col min="12299" max="12299" width="14.33203125" style="141" customWidth="1"/>
    <col min="12300" max="12300" width="9" style="141"/>
    <col min="12301" max="12301" width="10.21875" style="141" customWidth="1"/>
    <col min="12302" max="12302" width="9" style="141"/>
    <col min="12303" max="12303" width="13.77734375" style="141" bestFit="1" customWidth="1"/>
    <col min="12304" max="12544" width="9" style="141"/>
    <col min="12545" max="12545" width="7.33203125" style="141" customWidth="1"/>
    <col min="12546" max="12546" width="18.77734375" style="141" customWidth="1"/>
    <col min="12547" max="12547" width="12.77734375" style="141" customWidth="1"/>
    <col min="12548" max="12548" width="23.109375" style="141" customWidth="1"/>
    <col min="12549" max="12549" width="17.6640625" style="141" customWidth="1"/>
    <col min="12550" max="12551" width="11.88671875" style="141" customWidth="1"/>
    <col min="12552" max="12552" width="12.77734375" style="141" bestFit="1" customWidth="1"/>
    <col min="12553" max="12553" width="8.44140625" style="141" customWidth="1"/>
    <col min="12554" max="12554" width="17.77734375" style="141" bestFit="1" customWidth="1"/>
    <col min="12555" max="12555" width="14.33203125" style="141" customWidth="1"/>
    <col min="12556" max="12556" width="9" style="141"/>
    <col min="12557" max="12557" width="10.21875" style="141" customWidth="1"/>
    <col min="12558" max="12558" width="9" style="141"/>
    <col min="12559" max="12559" width="13.77734375" style="141" bestFit="1" customWidth="1"/>
    <col min="12560" max="12800" width="9" style="141"/>
    <col min="12801" max="12801" width="7.33203125" style="141" customWidth="1"/>
    <col min="12802" max="12802" width="18.77734375" style="141" customWidth="1"/>
    <col min="12803" max="12803" width="12.77734375" style="141" customWidth="1"/>
    <col min="12804" max="12804" width="23.109375" style="141" customWidth="1"/>
    <col min="12805" max="12805" width="17.6640625" style="141" customWidth="1"/>
    <col min="12806" max="12807" width="11.88671875" style="141" customWidth="1"/>
    <col min="12808" max="12808" width="12.77734375" style="141" bestFit="1" customWidth="1"/>
    <col min="12809" max="12809" width="8.44140625" style="141" customWidth="1"/>
    <col min="12810" max="12810" width="17.77734375" style="141" bestFit="1" customWidth="1"/>
    <col min="12811" max="12811" width="14.33203125" style="141" customWidth="1"/>
    <col min="12812" max="12812" width="9" style="141"/>
    <col min="12813" max="12813" width="10.21875" style="141" customWidth="1"/>
    <col min="12814" max="12814" width="9" style="141"/>
    <col min="12815" max="12815" width="13.77734375" style="141" bestFit="1" customWidth="1"/>
    <col min="12816" max="13056" width="9" style="141"/>
    <col min="13057" max="13057" width="7.33203125" style="141" customWidth="1"/>
    <col min="13058" max="13058" width="18.77734375" style="141" customWidth="1"/>
    <col min="13059" max="13059" width="12.77734375" style="141" customWidth="1"/>
    <col min="13060" max="13060" width="23.109375" style="141" customWidth="1"/>
    <col min="13061" max="13061" width="17.6640625" style="141" customWidth="1"/>
    <col min="13062" max="13063" width="11.88671875" style="141" customWidth="1"/>
    <col min="13064" max="13064" width="12.77734375" style="141" bestFit="1" customWidth="1"/>
    <col min="13065" max="13065" width="8.44140625" style="141" customWidth="1"/>
    <col min="13066" max="13066" width="17.77734375" style="141" bestFit="1" customWidth="1"/>
    <col min="13067" max="13067" width="14.33203125" style="141" customWidth="1"/>
    <col min="13068" max="13068" width="9" style="141"/>
    <col min="13069" max="13069" width="10.21875" style="141" customWidth="1"/>
    <col min="13070" max="13070" width="9" style="141"/>
    <col min="13071" max="13071" width="13.77734375" style="141" bestFit="1" customWidth="1"/>
    <col min="13072" max="13312" width="9" style="141"/>
    <col min="13313" max="13313" width="7.33203125" style="141" customWidth="1"/>
    <col min="13314" max="13314" width="18.77734375" style="141" customWidth="1"/>
    <col min="13315" max="13315" width="12.77734375" style="141" customWidth="1"/>
    <col min="13316" max="13316" width="23.109375" style="141" customWidth="1"/>
    <col min="13317" max="13317" width="17.6640625" style="141" customWidth="1"/>
    <col min="13318" max="13319" width="11.88671875" style="141" customWidth="1"/>
    <col min="13320" max="13320" width="12.77734375" style="141" bestFit="1" customWidth="1"/>
    <col min="13321" max="13321" width="8.44140625" style="141" customWidth="1"/>
    <col min="13322" max="13322" width="17.77734375" style="141" bestFit="1" customWidth="1"/>
    <col min="13323" max="13323" width="14.33203125" style="141" customWidth="1"/>
    <col min="13324" max="13324" width="9" style="141"/>
    <col min="13325" max="13325" width="10.21875" style="141" customWidth="1"/>
    <col min="13326" max="13326" width="9" style="141"/>
    <col min="13327" max="13327" width="13.77734375" style="141" bestFit="1" customWidth="1"/>
    <col min="13328" max="13568" width="9" style="141"/>
    <col min="13569" max="13569" width="7.33203125" style="141" customWidth="1"/>
    <col min="13570" max="13570" width="18.77734375" style="141" customWidth="1"/>
    <col min="13571" max="13571" width="12.77734375" style="141" customWidth="1"/>
    <col min="13572" max="13572" width="23.109375" style="141" customWidth="1"/>
    <col min="13573" max="13573" width="17.6640625" style="141" customWidth="1"/>
    <col min="13574" max="13575" width="11.88671875" style="141" customWidth="1"/>
    <col min="13576" max="13576" width="12.77734375" style="141" bestFit="1" customWidth="1"/>
    <col min="13577" max="13577" width="8.44140625" style="141" customWidth="1"/>
    <col min="13578" max="13578" width="17.77734375" style="141" bestFit="1" customWidth="1"/>
    <col min="13579" max="13579" width="14.33203125" style="141" customWidth="1"/>
    <col min="13580" max="13580" width="9" style="141"/>
    <col min="13581" max="13581" width="10.21875" style="141" customWidth="1"/>
    <col min="13582" max="13582" width="9" style="141"/>
    <col min="13583" max="13583" width="13.77734375" style="141" bestFit="1" customWidth="1"/>
    <col min="13584" max="13824" width="9" style="141"/>
    <col min="13825" max="13825" width="7.33203125" style="141" customWidth="1"/>
    <col min="13826" max="13826" width="18.77734375" style="141" customWidth="1"/>
    <col min="13827" max="13827" width="12.77734375" style="141" customWidth="1"/>
    <col min="13828" max="13828" width="23.109375" style="141" customWidth="1"/>
    <col min="13829" max="13829" width="17.6640625" style="141" customWidth="1"/>
    <col min="13830" max="13831" width="11.88671875" style="141" customWidth="1"/>
    <col min="13832" max="13832" width="12.77734375" style="141" bestFit="1" customWidth="1"/>
    <col min="13833" max="13833" width="8.44140625" style="141" customWidth="1"/>
    <col min="13834" max="13834" width="17.77734375" style="141" bestFit="1" customWidth="1"/>
    <col min="13835" max="13835" width="14.33203125" style="141" customWidth="1"/>
    <col min="13836" max="13836" width="9" style="141"/>
    <col min="13837" max="13837" width="10.21875" style="141" customWidth="1"/>
    <col min="13838" max="13838" width="9" style="141"/>
    <col min="13839" max="13839" width="13.77734375" style="141" bestFit="1" customWidth="1"/>
    <col min="13840" max="14080" width="9" style="141"/>
    <col min="14081" max="14081" width="7.33203125" style="141" customWidth="1"/>
    <col min="14082" max="14082" width="18.77734375" style="141" customWidth="1"/>
    <col min="14083" max="14083" width="12.77734375" style="141" customWidth="1"/>
    <col min="14084" max="14084" width="23.109375" style="141" customWidth="1"/>
    <col min="14085" max="14085" width="17.6640625" style="141" customWidth="1"/>
    <col min="14086" max="14087" width="11.88671875" style="141" customWidth="1"/>
    <col min="14088" max="14088" width="12.77734375" style="141" bestFit="1" customWidth="1"/>
    <col min="14089" max="14089" width="8.44140625" style="141" customWidth="1"/>
    <col min="14090" max="14090" width="17.77734375" style="141" bestFit="1" customWidth="1"/>
    <col min="14091" max="14091" width="14.33203125" style="141" customWidth="1"/>
    <col min="14092" max="14092" width="9" style="141"/>
    <col min="14093" max="14093" width="10.21875" style="141" customWidth="1"/>
    <col min="14094" max="14094" width="9" style="141"/>
    <col min="14095" max="14095" width="13.77734375" style="141" bestFit="1" customWidth="1"/>
    <col min="14096" max="14336" width="9" style="141"/>
    <col min="14337" max="14337" width="7.33203125" style="141" customWidth="1"/>
    <col min="14338" max="14338" width="18.77734375" style="141" customWidth="1"/>
    <col min="14339" max="14339" width="12.77734375" style="141" customWidth="1"/>
    <col min="14340" max="14340" width="23.109375" style="141" customWidth="1"/>
    <col min="14341" max="14341" width="17.6640625" style="141" customWidth="1"/>
    <col min="14342" max="14343" width="11.88671875" style="141" customWidth="1"/>
    <col min="14344" max="14344" width="12.77734375" style="141" bestFit="1" customWidth="1"/>
    <col min="14345" max="14345" width="8.44140625" style="141" customWidth="1"/>
    <col min="14346" max="14346" width="17.77734375" style="141" bestFit="1" customWidth="1"/>
    <col min="14347" max="14347" width="14.33203125" style="141" customWidth="1"/>
    <col min="14348" max="14348" width="9" style="141"/>
    <col min="14349" max="14349" width="10.21875" style="141" customWidth="1"/>
    <col min="14350" max="14350" width="9" style="141"/>
    <col min="14351" max="14351" width="13.77734375" style="141" bestFit="1" customWidth="1"/>
    <col min="14352" max="14592" width="9" style="141"/>
    <col min="14593" max="14593" width="7.33203125" style="141" customWidth="1"/>
    <col min="14594" max="14594" width="18.77734375" style="141" customWidth="1"/>
    <col min="14595" max="14595" width="12.77734375" style="141" customWidth="1"/>
    <col min="14596" max="14596" width="23.109375" style="141" customWidth="1"/>
    <col min="14597" max="14597" width="17.6640625" style="141" customWidth="1"/>
    <col min="14598" max="14599" width="11.88671875" style="141" customWidth="1"/>
    <col min="14600" max="14600" width="12.77734375" style="141" bestFit="1" customWidth="1"/>
    <col min="14601" max="14601" width="8.44140625" style="141" customWidth="1"/>
    <col min="14602" max="14602" width="17.77734375" style="141" bestFit="1" customWidth="1"/>
    <col min="14603" max="14603" width="14.33203125" style="141" customWidth="1"/>
    <col min="14604" max="14604" width="9" style="141"/>
    <col min="14605" max="14605" width="10.21875" style="141" customWidth="1"/>
    <col min="14606" max="14606" width="9" style="141"/>
    <col min="14607" max="14607" width="13.77734375" style="141" bestFit="1" customWidth="1"/>
    <col min="14608" max="14848" width="9" style="141"/>
    <col min="14849" max="14849" width="7.33203125" style="141" customWidth="1"/>
    <col min="14850" max="14850" width="18.77734375" style="141" customWidth="1"/>
    <col min="14851" max="14851" width="12.77734375" style="141" customWidth="1"/>
    <col min="14852" max="14852" width="23.109375" style="141" customWidth="1"/>
    <col min="14853" max="14853" width="17.6640625" style="141" customWidth="1"/>
    <col min="14854" max="14855" width="11.88671875" style="141" customWidth="1"/>
    <col min="14856" max="14856" width="12.77734375" style="141" bestFit="1" customWidth="1"/>
    <col min="14857" max="14857" width="8.44140625" style="141" customWidth="1"/>
    <col min="14858" max="14858" width="17.77734375" style="141" bestFit="1" customWidth="1"/>
    <col min="14859" max="14859" width="14.33203125" style="141" customWidth="1"/>
    <col min="14860" max="14860" width="9" style="141"/>
    <col min="14861" max="14861" width="10.21875" style="141" customWidth="1"/>
    <col min="14862" max="14862" width="9" style="141"/>
    <col min="14863" max="14863" width="13.77734375" style="141" bestFit="1" customWidth="1"/>
    <col min="14864" max="15104" width="9" style="141"/>
    <col min="15105" max="15105" width="7.33203125" style="141" customWidth="1"/>
    <col min="15106" max="15106" width="18.77734375" style="141" customWidth="1"/>
    <col min="15107" max="15107" width="12.77734375" style="141" customWidth="1"/>
    <col min="15108" max="15108" width="23.109375" style="141" customWidth="1"/>
    <col min="15109" max="15109" width="17.6640625" style="141" customWidth="1"/>
    <col min="15110" max="15111" width="11.88671875" style="141" customWidth="1"/>
    <col min="15112" max="15112" width="12.77734375" style="141" bestFit="1" customWidth="1"/>
    <col min="15113" max="15113" width="8.44140625" style="141" customWidth="1"/>
    <col min="15114" max="15114" width="17.77734375" style="141" bestFit="1" customWidth="1"/>
    <col min="15115" max="15115" width="14.33203125" style="141" customWidth="1"/>
    <col min="15116" max="15116" width="9" style="141"/>
    <col min="15117" max="15117" width="10.21875" style="141" customWidth="1"/>
    <col min="15118" max="15118" width="9" style="141"/>
    <col min="15119" max="15119" width="13.77734375" style="141" bestFit="1" customWidth="1"/>
    <col min="15120" max="15360" width="9" style="141"/>
    <col min="15361" max="15361" width="7.33203125" style="141" customWidth="1"/>
    <col min="15362" max="15362" width="18.77734375" style="141" customWidth="1"/>
    <col min="15363" max="15363" width="12.77734375" style="141" customWidth="1"/>
    <col min="15364" max="15364" width="23.109375" style="141" customWidth="1"/>
    <col min="15365" max="15365" width="17.6640625" style="141" customWidth="1"/>
    <col min="15366" max="15367" width="11.88671875" style="141" customWidth="1"/>
    <col min="15368" max="15368" width="12.77734375" style="141" bestFit="1" customWidth="1"/>
    <col min="15369" max="15369" width="8.44140625" style="141" customWidth="1"/>
    <col min="15370" max="15370" width="17.77734375" style="141" bestFit="1" customWidth="1"/>
    <col min="15371" max="15371" width="14.33203125" style="141" customWidth="1"/>
    <col min="15372" max="15372" width="9" style="141"/>
    <col min="15373" max="15373" width="10.21875" style="141" customWidth="1"/>
    <col min="15374" max="15374" width="9" style="141"/>
    <col min="15375" max="15375" width="13.77734375" style="141" bestFit="1" customWidth="1"/>
    <col min="15376" max="15616" width="9" style="141"/>
    <col min="15617" max="15617" width="7.33203125" style="141" customWidth="1"/>
    <col min="15618" max="15618" width="18.77734375" style="141" customWidth="1"/>
    <col min="15619" max="15619" width="12.77734375" style="141" customWidth="1"/>
    <col min="15620" max="15620" width="23.109375" style="141" customWidth="1"/>
    <col min="15621" max="15621" width="17.6640625" style="141" customWidth="1"/>
    <col min="15622" max="15623" width="11.88671875" style="141" customWidth="1"/>
    <col min="15624" max="15624" width="12.77734375" style="141" bestFit="1" customWidth="1"/>
    <col min="15625" max="15625" width="8.44140625" style="141" customWidth="1"/>
    <col min="15626" max="15626" width="17.77734375" style="141" bestFit="1" customWidth="1"/>
    <col min="15627" max="15627" width="14.33203125" style="141" customWidth="1"/>
    <col min="15628" max="15628" width="9" style="141"/>
    <col min="15629" max="15629" width="10.21875" style="141" customWidth="1"/>
    <col min="15630" max="15630" width="9" style="141"/>
    <col min="15631" max="15631" width="13.77734375" style="141" bestFit="1" customWidth="1"/>
    <col min="15632" max="15872" width="9" style="141"/>
    <col min="15873" max="15873" width="7.33203125" style="141" customWidth="1"/>
    <col min="15874" max="15874" width="18.77734375" style="141" customWidth="1"/>
    <col min="15875" max="15875" width="12.77734375" style="141" customWidth="1"/>
    <col min="15876" max="15876" width="23.109375" style="141" customWidth="1"/>
    <col min="15877" max="15877" width="17.6640625" style="141" customWidth="1"/>
    <col min="15878" max="15879" width="11.88671875" style="141" customWidth="1"/>
    <col min="15880" max="15880" width="12.77734375" style="141" bestFit="1" customWidth="1"/>
    <col min="15881" max="15881" width="8.44140625" style="141" customWidth="1"/>
    <col min="15882" max="15882" width="17.77734375" style="141" bestFit="1" customWidth="1"/>
    <col min="15883" max="15883" width="14.33203125" style="141" customWidth="1"/>
    <col min="15884" max="15884" width="9" style="141"/>
    <col min="15885" max="15885" width="10.21875" style="141" customWidth="1"/>
    <col min="15886" max="15886" width="9" style="141"/>
    <col min="15887" max="15887" width="13.77734375" style="141" bestFit="1" customWidth="1"/>
    <col min="15888" max="16128" width="9" style="141"/>
    <col min="16129" max="16129" width="7.33203125" style="141" customWidth="1"/>
    <col min="16130" max="16130" width="18.77734375" style="141" customWidth="1"/>
    <col min="16131" max="16131" width="12.77734375" style="141" customWidth="1"/>
    <col min="16132" max="16132" width="23.109375" style="141" customWidth="1"/>
    <col min="16133" max="16133" width="17.6640625" style="141" customWidth="1"/>
    <col min="16134" max="16135" width="11.88671875" style="141" customWidth="1"/>
    <col min="16136" max="16136" width="12.77734375" style="141" bestFit="1" customWidth="1"/>
    <col min="16137" max="16137" width="8.44140625" style="141" customWidth="1"/>
    <col min="16138" max="16138" width="17.77734375" style="141" bestFit="1" customWidth="1"/>
    <col min="16139" max="16139" width="14.33203125" style="141" customWidth="1"/>
    <col min="16140" max="16140" width="9" style="141"/>
    <col min="16141" max="16141" width="10.21875" style="141" customWidth="1"/>
    <col min="16142" max="16142" width="9" style="141"/>
    <col min="16143" max="16143" width="13.77734375" style="141" bestFit="1" customWidth="1"/>
    <col min="16144" max="16384" width="9" style="141"/>
  </cols>
  <sheetData>
    <row r="1" spans="1:16" s="125" customFormat="1" ht="24.9" customHeight="1" thickBot="1">
      <c r="A1" s="207" t="s">
        <v>136</v>
      </c>
      <c r="B1" s="207"/>
      <c r="C1" s="208" t="s">
        <v>137</v>
      </c>
      <c r="D1" s="208"/>
      <c r="H1" s="126"/>
      <c r="I1" s="126"/>
      <c r="J1" s="126"/>
      <c r="K1" s="126"/>
    </row>
    <row r="2" spans="1:16" s="130" customFormat="1" ht="24.9" customHeight="1" thickTop="1">
      <c r="A2" s="162" t="s">
        <v>138</v>
      </c>
      <c r="B2" s="144" t="s">
        <v>139</v>
      </c>
      <c r="C2" s="144" t="s">
        <v>140</v>
      </c>
      <c r="D2" s="127" t="s">
        <v>141</v>
      </c>
      <c r="E2" s="128"/>
      <c r="F2" s="128"/>
      <c r="G2" s="129" t="s">
        <v>142</v>
      </c>
      <c r="H2" s="129" t="s">
        <v>143</v>
      </c>
      <c r="K2" s="131" t="s">
        <v>144</v>
      </c>
      <c r="M2" s="132"/>
      <c r="N2" s="133"/>
      <c r="O2" s="132"/>
      <c r="P2" s="134"/>
    </row>
    <row r="3" spans="1:16" s="125" customFormat="1" ht="30" customHeight="1">
      <c r="A3" s="163">
        <v>601</v>
      </c>
      <c r="B3" s="164">
        <v>82.59</v>
      </c>
      <c r="C3" s="145">
        <v>32</v>
      </c>
      <c r="D3" s="209" t="s">
        <v>175</v>
      </c>
      <c r="E3" s="132" t="s">
        <v>145</v>
      </c>
      <c r="F3" s="132" t="s">
        <v>146</v>
      </c>
      <c r="G3" s="132" t="s">
        <v>147</v>
      </c>
      <c r="H3" s="132" t="s">
        <v>148</v>
      </c>
      <c r="I3" s="136">
        <v>0.01</v>
      </c>
      <c r="J3" s="132" t="s">
        <v>149</v>
      </c>
      <c r="K3" s="125">
        <v>5200</v>
      </c>
      <c r="M3" s="132"/>
      <c r="N3" s="133"/>
      <c r="O3" s="132"/>
      <c r="P3" s="134"/>
    </row>
    <row r="4" spans="1:16" s="125" customFormat="1" ht="30" customHeight="1">
      <c r="A4" s="163">
        <v>602</v>
      </c>
      <c r="B4" s="164">
        <v>9.01</v>
      </c>
      <c r="C4" s="145">
        <v>29</v>
      </c>
      <c r="D4" s="210"/>
      <c r="E4" s="132" t="s">
        <v>150</v>
      </c>
      <c r="F4" s="132" t="s">
        <v>151</v>
      </c>
      <c r="G4" s="132" t="s">
        <v>152</v>
      </c>
      <c r="H4" s="132" t="s">
        <v>153</v>
      </c>
      <c r="I4" s="136">
        <v>0.01</v>
      </c>
      <c r="J4" s="132" t="s">
        <v>154</v>
      </c>
      <c r="K4" s="125">
        <v>5200</v>
      </c>
      <c r="M4" s="137"/>
      <c r="N4" s="133"/>
      <c r="O4" s="132"/>
      <c r="P4" s="134"/>
    </row>
    <row r="5" spans="1:16" s="125" customFormat="1" ht="30" customHeight="1">
      <c r="A5" s="163">
        <v>603</v>
      </c>
      <c r="B5" s="164">
        <v>35.520000000000003</v>
      </c>
      <c r="C5" s="145">
        <v>32</v>
      </c>
      <c r="D5" s="210"/>
      <c r="E5" s="137" t="s">
        <v>155</v>
      </c>
      <c r="F5" s="132" t="s">
        <v>146</v>
      </c>
      <c r="G5" s="132" t="s">
        <v>156</v>
      </c>
      <c r="H5" s="132" t="s">
        <v>157</v>
      </c>
      <c r="I5" s="136">
        <v>0.01</v>
      </c>
      <c r="J5" s="132" t="s">
        <v>158</v>
      </c>
      <c r="K5" s="125">
        <v>6650</v>
      </c>
      <c r="M5" s="132"/>
      <c r="N5" s="133"/>
      <c r="O5" s="132"/>
      <c r="P5" s="134"/>
    </row>
    <row r="6" spans="1:16" s="125" customFormat="1" ht="30" customHeight="1">
      <c r="A6" s="163">
        <v>604</v>
      </c>
      <c r="B6" s="164">
        <v>98.66</v>
      </c>
      <c r="C6" s="145">
        <v>30</v>
      </c>
      <c r="D6" s="210"/>
      <c r="E6" s="132" t="s">
        <v>159</v>
      </c>
      <c r="F6" s="132" t="s">
        <v>160</v>
      </c>
      <c r="G6" s="132" t="s">
        <v>161</v>
      </c>
      <c r="H6" s="132" t="s">
        <v>157</v>
      </c>
      <c r="I6" s="136">
        <v>0.01</v>
      </c>
      <c r="J6" s="132" t="s">
        <v>162</v>
      </c>
      <c r="K6" s="125">
        <v>5150</v>
      </c>
      <c r="M6" s="132"/>
      <c r="N6" s="133"/>
      <c r="O6" s="132"/>
      <c r="P6" s="134"/>
    </row>
    <row r="7" spans="1:16" s="125" customFormat="1" ht="30" customHeight="1">
      <c r="A7" s="163">
        <v>605</v>
      </c>
      <c r="B7" s="164">
        <v>2348</v>
      </c>
      <c r="C7" s="145">
        <v>30</v>
      </c>
      <c r="D7" s="210"/>
      <c r="E7" s="132" t="s">
        <v>163</v>
      </c>
      <c r="F7" s="132" t="s">
        <v>160</v>
      </c>
      <c r="G7" s="132" t="s">
        <v>164</v>
      </c>
      <c r="H7" s="132" t="s">
        <v>157</v>
      </c>
      <c r="I7" s="136">
        <v>0.01</v>
      </c>
      <c r="J7" s="132" t="s">
        <v>165</v>
      </c>
      <c r="K7" s="125">
        <v>12200</v>
      </c>
      <c r="M7" s="138"/>
      <c r="P7" s="126"/>
    </row>
    <row r="8" spans="1:16" s="125" customFormat="1" ht="30" customHeight="1">
      <c r="A8" s="163">
        <v>606</v>
      </c>
      <c r="B8" s="164">
        <v>3003</v>
      </c>
      <c r="C8" s="145">
        <v>31</v>
      </c>
      <c r="D8" s="210"/>
      <c r="E8" s="132"/>
      <c r="F8" s="132"/>
      <c r="G8" s="132"/>
      <c r="H8" s="134"/>
    </row>
    <row r="9" spans="1:16" s="125" customFormat="1" ht="30" customHeight="1">
      <c r="A9" s="163">
        <v>607</v>
      </c>
      <c r="B9" s="164">
        <v>3291</v>
      </c>
      <c r="C9" s="145">
        <v>28</v>
      </c>
      <c r="D9" s="210"/>
      <c r="E9" s="132"/>
      <c r="F9" s="132"/>
      <c r="G9" s="132"/>
      <c r="H9" s="134"/>
    </row>
    <row r="10" spans="1:16" s="125" customFormat="1" ht="30" customHeight="1">
      <c r="A10" s="163">
        <v>608</v>
      </c>
      <c r="B10" s="164">
        <v>3914</v>
      </c>
      <c r="C10" s="145">
        <v>30</v>
      </c>
      <c r="D10" s="210"/>
      <c r="E10" s="132"/>
      <c r="F10" s="133"/>
      <c r="G10" s="132"/>
      <c r="H10" s="134"/>
    </row>
    <row r="11" spans="1:16" s="125" customFormat="1" ht="30" customHeight="1">
      <c r="A11" s="163">
        <v>611</v>
      </c>
      <c r="B11" s="164">
        <v>3529</v>
      </c>
      <c r="C11" s="145">
        <v>29</v>
      </c>
      <c r="D11" s="210"/>
      <c r="E11" s="132"/>
      <c r="F11" s="133"/>
      <c r="G11" s="132"/>
      <c r="H11" s="134"/>
    </row>
    <row r="12" spans="1:16" s="125" customFormat="1" ht="30" customHeight="1">
      <c r="A12" s="163">
        <v>612</v>
      </c>
      <c r="B12" s="164">
        <v>1611</v>
      </c>
      <c r="C12" s="145">
        <v>29</v>
      </c>
      <c r="D12" s="210"/>
      <c r="E12" s="137"/>
      <c r="F12" s="133"/>
      <c r="G12" s="132"/>
      <c r="H12" s="134"/>
    </row>
    <row r="13" spans="1:16" s="125" customFormat="1" ht="30" customHeight="1">
      <c r="A13" s="163">
        <v>613</v>
      </c>
      <c r="B13" s="164">
        <v>2343</v>
      </c>
      <c r="C13" s="145">
        <v>27</v>
      </c>
      <c r="D13" s="210"/>
      <c r="E13" s="212"/>
      <c r="F13" s="213"/>
      <c r="G13" s="217"/>
      <c r="H13" s="214"/>
      <c r="K13" s="215"/>
    </row>
    <row r="14" spans="1:16" s="125" customFormat="1" ht="30" customHeight="1">
      <c r="A14" s="163">
        <v>617</v>
      </c>
      <c r="B14" s="164">
        <v>1839</v>
      </c>
      <c r="C14" s="145">
        <v>30</v>
      </c>
      <c r="D14" s="210"/>
      <c r="E14" s="212"/>
      <c r="F14" s="213"/>
      <c r="G14" s="217"/>
      <c r="H14" s="214"/>
      <c r="K14" s="215"/>
    </row>
    <row r="15" spans="1:16" s="125" customFormat="1" ht="30" customHeight="1">
      <c r="A15" s="163">
        <v>618</v>
      </c>
      <c r="B15" s="164">
        <v>4321</v>
      </c>
      <c r="C15" s="145">
        <v>29</v>
      </c>
      <c r="D15" s="210"/>
      <c r="E15" s="212"/>
      <c r="F15" s="213"/>
      <c r="G15" s="217"/>
      <c r="H15" s="214"/>
      <c r="I15" s="126"/>
      <c r="J15" s="126"/>
      <c r="K15" s="139"/>
    </row>
    <row r="16" spans="1:16" s="125" customFormat="1" ht="22.2" customHeight="1" thickBot="1">
      <c r="A16" s="165"/>
      <c r="B16" s="166"/>
      <c r="C16" s="146"/>
      <c r="D16" s="211"/>
      <c r="H16" s="126"/>
      <c r="I16" s="126"/>
      <c r="J16" s="126"/>
      <c r="K16" s="126"/>
    </row>
    <row r="17" spans="1:19" s="125" customFormat="1" ht="22.2" customHeight="1" thickTop="1">
      <c r="A17" s="167"/>
      <c r="B17" s="168"/>
      <c r="C17" s="147"/>
      <c r="D17" s="140"/>
      <c r="H17" s="126"/>
      <c r="I17" s="126"/>
      <c r="J17" s="126"/>
      <c r="K17" s="126"/>
    </row>
    <row r="18" spans="1:19" ht="21" customHeight="1" thickBot="1">
      <c r="A18" s="216" t="s">
        <v>166</v>
      </c>
      <c r="B18" s="216"/>
      <c r="C18" s="208" t="s">
        <v>137</v>
      </c>
      <c r="D18" s="208"/>
    </row>
    <row r="19" spans="1:19" ht="24.9" customHeight="1" thickTop="1">
      <c r="A19" s="162" t="s">
        <v>138</v>
      </c>
      <c r="B19" s="144" t="s">
        <v>170</v>
      </c>
      <c r="C19" s="144" t="s">
        <v>167</v>
      </c>
      <c r="D19" s="143" t="s">
        <v>168</v>
      </c>
    </row>
    <row r="20" spans="1:19" ht="30" customHeight="1">
      <c r="A20" s="163">
        <v>601</v>
      </c>
      <c r="B20" s="164">
        <v>82.49</v>
      </c>
      <c r="C20" s="145">
        <v>31</v>
      </c>
      <c r="D20" s="209" t="s">
        <v>175</v>
      </c>
      <c r="G20" s="152"/>
      <c r="H20" s="153"/>
      <c r="I20" s="153"/>
      <c r="J20" s="153"/>
      <c r="K20" s="153"/>
      <c r="L20" s="152"/>
      <c r="M20" s="152"/>
      <c r="N20" s="152"/>
      <c r="O20" s="152"/>
      <c r="P20" s="152"/>
      <c r="Q20" s="152"/>
      <c r="R20" s="152"/>
      <c r="S20" s="152"/>
    </row>
    <row r="21" spans="1:19" ht="30" customHeight="1">
      <c r="A21" s="163">
        <v>602</v>
      </c>
      <c r="B21" s="164">
        <v>54.04</v>
      </c>
      <c r="C21" s="145">
        <v>33</v>
      </c>
      <c r="D21" s="210"/>
      <c r="G21" s="154"/>
      <c r="H21" s="154"/>
      <c r="I21" s="154"/>
      <c r="J21" s="154"/>
      <c r="K21" s="155"/>
      <c r="L21" s="155"/>
      <c r="M21" s="155"/>
      <c r="N21" s="155"/>
      <c r="O21" s="155"/>
      <c r="P21" s="155"/>
      <c r="Q21" s="155"/>
      <c r="R21" s="155"/>
      <c r="S21" s="155"/>
    </row>
    <row r="22" spans="1:19" ht="30" customHeight="1">
      <c r="A22" s="163">
        <v>603</v>
      </c>
      <c r="B22" s="164">
        <v>67.12</v>
      </c>
      <c r="C22" s="145">
        <v>32</v>
      </c>
      <c r="D22" s="210"/>
      <c r="G22" s="156"/>
      <c r="H22" s="156"/>
      <c r="I22" s="156"/>
      <c r="J22" s="156"/>
      <c r="K22" s="156"/>
      <c r="L22" s="156"/>
      <c r="M22" s="156"/>
      <c r="N22" s="156"/>
      <c r="O22" s="156"/>
      <c r="P22" s="156"/>
      <c r="Q22" s="156"/>
      <c r="R22" s="156"/>
      <c r="S22" s="156"/>
    </row>
    <row r="23" spans="1:19" ht="30" customHeight="1">
      <c r="A23" s="163">
        <v>604</v>
      </c>
      <c r="B23" s="164">
        <v>66.63</v>
      </c>
      <c r="C23" s="145">
        <v>26</v>
      </c>
      <c r="D23" s="210"/>
      <c r="G23" s="152"/>
      <c r="H23" s="153"/>
      <c r="I23" s="153"/>
      <c r="J23" s="153"/>
      <c r="K23" s="153"/>
      <c r="L23" s="152"/>
      <c r="M23" s="152"/>
      <c r="N23" s="152"/>
      <c r="O23" s="152"/>
      <c r="P23" s="152"/>
      <c r="Q23" s="152"/>
      <c r="R23" s="152"/>
      <c r="S23" s="152"/>
    </row>
    <row r="24" spans="1:19" ht="30" customHeight="1">
      <c r="A24" s="163">
        <v>605</v>
      </c>
      <c r="B24" s="164">
        <v>1449</v>
      </c>
      <c r="C24" s="145">
        <v>32</v>
      </c>
      <c r="D24" s="210"/>
    </row>
    <row r="25" spans="1:19" ht="30" customHeight="1">
      <c r="A25" s="163">
        <v>606</v>
      </c>
      <c r="B25" s="164">
        <v>1214</v>
      </c>
      <c r="C25" s="145">
        <v>31</v>
      </c>
      <c r="D25" s="210"/>
    </row>
    <row r="26" spans="1:19" ht="30" customHeight="1">
      <c r="A26" s="163">
        <v>607</v>
      </c>
      <c r="B26" s="164">
        <v>3234</v>
      </c>
      <c r="C26" s="145">
        <v>28</v>
      </c>
      <c r="D26" s="210"/>
    </row>
    <row r="27" spans="1:19" ht="30" customHeight="1">
      <c r="A27" s="163">
        <v>608</v>
      </c>
      <c r="B27" s="164">
        <v>5560</v>
      </c>
      <c r="C27" s="145">
        <v>30</v>
      </c>
      <c r="D27" s="210"/>
    </row>
    <row r="28" spans="1:19" ht="30" customHeight="1">
      <c r="A28" s="163">
        <v>611</v>
      </c>
      <c r="B28" s="164">
        <v>3291</v>
      </c>
      <c r="C28" s="145">
        <v>28</v>
      </c>
      <c r="D28" s="210"/>
    </row>
    <row r="29" spans="1:19" ht="30" customHeight="1">
      <c r="A29" s="163">
        <v>612</v>
      </c>
      <c r="B29" s="164">
        <v>1611</v>
      </c>
      <c r="C29" s="145">
        <v>30</v>
      </c>
      <c r="D29" s="210"/>
    </row>
    <row r="30" spans="1:19" ht="30" customHeight="1">
      <c r="A30" s="163">
        <v>613</v>
      </c>
      <c r="B30" s="164">
        <v>2457</v>
      </c>
      <c r="C30" s="145">
        <v>28</v>
      </c>
      <c r="D30" s="210"/>
    </row>
    <row r="31" spans="1:19" ht="30" customHeight="1">
      <c r="A31" s="163">
        <v>617</v>
      </c>
      <c r="B31" s="164">
        <v>3031</v>
      </c>
      <c r="C31" s="145">
        <v>29</v>
      </c>
      <c r="D31" s="210"/>
    </row>
    <row r="32" spans="1:19" ht="30" customHeight="1">
      <c r="A32" s="163">
        <v>618</v>
      </c>
      <c r="B32" s="164">
        <v>4323</v>
      </c>
      <c r="C32" s="145">
        <v>29</v>
      </c>
      <c r="D32" s="210"/>
    </row>
    <row r="33" spans="1:4" ht="24.9" customHeight="1" thickBot="1">
      <c r="A33" s="165"/>
      <c r="B33" s="166"/>
      <c r="C33" s="146"/>
      <c r="D33" s="211"/>
    </row>
    <row r="34" spans="1:4" ht="16.2" thickTop="1"/>
    <row r="87" spans="1:1" ht="28.8">
      <c r="A87" s="169" t="s">
        <v>169</v>
      </c>
    </row>
    <row r="88" spans="1:1" ht="25.5" customHeight="1"/>
  </sheetData>
  <mergeCells count="11">
    <mergeCell ref="H13:H15"/>
    <mergeCell ref="K13:K14"/>
    <mergeCell ref="A18:B18"/>
    <mergeCell ref="C18:D18"/>
    <mergeCell ref="D20:D33"/>
    <mergeCell ref="G13:G15"/>
    <mergeCell ref="A1:B1"/>
    <mergeCell ref="C1:D1"/>
    <mergeCell ref="D3:D16"/>
    <mergeCell ref="E13:E15"/>
    <mergeCell ref="F13:F15"/>
  </mergeCells>
  <phoneticPr fontId="2" type="noConversion"/>
  <conditionalFormatting sqref="G21">
    <cfRule type="expression" dxfId="2281" priority="26">
      <formula>ABS(G$7-G$10)&gt;=1000</formula>
    </cfRule>
  </conditionalFormatting>
  <conditionalFormatting sqref="H21">
    <cfRule type="expression" dxfId="2280" priority="25">
      <formula>ABS(H$7-H$10)&gt;=1000</formula>
    </cfRule>
  </conditionalFormatting>
  <conditionalFormatting sqref="I21">
    <cfRule type="expression" dxfId="2279" priority="24">
      <formula>ABS(I$7-I$10)&gt;=1000</formula>
    </cfRule>
  </conditionalFormatting>
  <conditionalFormatting sqref="J21">
    <cfRule type="expression" dxfId="2278" priority="23">
      <formula>ABS(J$7-J$10)&gt;=1000</formula>
    </cfRule>
  </conditionalFormatting>
  <conditionalFormatting sqref="K21">
    <cfRule type="expression" dxfId="2277" priority="22">
      <formula>ABS(K$7-K$10)&gt;=1000</formula>
    </cfRule>
  </conditionalFormatting>
  <conditionalFormatting sqref="M21">
    <cfRule type="expression" dxfId="2276" priority="21">
      <formula>ABS(M$7-M$10)&gt;=1000</formula>
    </cfRule>
  </conditionalFormatting>
  <conditionalFormatting sqref="N21">
    <cfRule type="expression" dxfId="2275" priority="20">
      <formula>ABS(N$7-N$10)&gt;=1000</formula>
    </cfRule>
  </conditionalFormatting>
  <conditionalFormatting sqref="O21">
    <cfRule type="expression" dxfId="2274" priority="19">
      <formula>ABS(O$7-O$10)&gt;=1000</formula>
    </cfRule>
  </conditionalFormatting>
  <conditionalFormatting sqref="P21">
    <cfRule type="expression" dxfId="2273" priority="18">
      <formula>ABS(P$7-P$10)&gt;=1000</formula>
    </cfRule>
  </conditionalFormatting>
  <conditionalFormatting sqref="Q21">
    <cfRule type="expression" dxfId="2272" priority="17">
      <formula>ABS(Q$7-Q$10)&gt;=1000</formula>
    </cfRule>
  </conditionalFormatting>
  <conditionalFormatting sqref="R21">
    <cfRule type="expression" dxfId="2271" priority="16">
      <formula>ABS(R$7-R$10)&gt;=1000</formula>
    </cfRule>
  </conditionalFormatting>
  <conditionalFormatting sqref="S21">
    <cfRule type="expression" dxfId="2270" priority="15">
      <formula>ABS(S$7-S$10)&gt;=1000</formula>
    </cfRule>
  </conditionalFormatting>
  <conditionalFormatting sqref="L21">
    <cfRule type="expression" dxfId="2269" priority="14">
      <formula>ABS(L$7-L$10)&gt;=1000</formula>
    </cfRule>
  </conditionalFormatting>
  <conditionalFormatting sqref="G22">
    <cfRule type="expression" dxfId="2268" priority="13">
      <formula>ABS(G$7-G$10)&gt;=1000</formula>
    </cfRule>
  </conditionalFormatting>
  <conditionalFormatting sqref="H22">
    <cfRule type="expression" dxfId="2267" priority="12">
      <formula>ABS(H$7-H$10)&gt;=1000</formula>
    </cfRule>
  </conditionalFormatting>
  <conditionalFormatting sqref="I22">
    <cfRule type="expression" dxfId="2266" priority="11">
      <formula>ABS(I$7-I$10)&gt;=1000</formula>
    </cfRule>
  </conditionalFormatting>
  <conditionalFormatting sqref="J22">
    <cfRule type="expression" dxfId="2265" priority="10">
      <formula>ABS(J$7-J$10)&gt;=1000</formula>
    </cfRule>
  </conditionalFormatting>
  <conditionalFormatting sqref="K22">
    <cfRule type="expression" dxfId="2264" priority="9">
      <formula>ABS(K$7-K$10)&gt;=1000</formula>
    </cfRule>
  </conditionalFormatting>
  <conditionalFormatting sqref="L22">
    <cfRule type="expression" dxfId="2263" priority="8">
      <formula>ABS(L$7-L$10)&gt;=1000</formula>
    </cfRule>
  </conditionalFormatting>
  <conditionalFormatting sqref="M22">
    <cfRule type="expression" dxfId="2262" priority="7">
      <formula>ABS(M$7-M$10)&gt;=1000</formula>
    </cfRule>
  </conditionalFormatting>
  <conditionalFormatting sqref="N22">
    <cfRule type="expression" dxfId="2261" priority="6">
      <formula>ABS(N$7-N$10)&gt;=1000</formula>
    </cfRule>
  </conditionalFormatting>
  <conditionalFormatting sqref="O22">
    <cfRule type="expression" dxfId="2260" priority="5">
      <formula>ABS(O$7-O$10)&gt;=1000</formula>
    </cfRule>
  </conditionalFormatting>
  <conditionalFormatting sqref="P22">
    <cfRule type="expression" dxfId="2259" priority="4">
      <formula>ABS(P$7-P$10)&gt;=1000</formula>
    </cfRule>
  </conditionalFormatting>
  <conditionalFormatting sqref="Q22">
    <cfRule type="expression" dxfId="2258" priority="3">
      <formula>ABS(Q$7-Q$10)&gt;=1000</formula>
    </cfRule>
  </conditionalFormatting>
  <conditionalFormatting sqref="R22">
    <cfRule type="expression" dxfId="2257" priority="2">
      <formula>ABS(R$7-R$10)&gt;=1000</formula>
    </cfRule>
  </conditionalFormatting>
  <conditionalFormatting sqref="S22">
    <cfRule type="expression" dxfId="2256" priority="1">
      <formula>ABS(S$7-S$10)&gt;=1000</formula>
    </cfRule>
  </conditionalFormatting>
  <dataValidations count="9">
    <dataValidation type="custom" errorStyle="warning" allowBlank="1" showInputMessage="1" showErrorMessage="1" error="***你在睡喔,醒醒好嗎" sqref="B16:B17 IX16:IX17 ST16:ST17 ACP16:ACP17 AML16:AML17 AWH16:AWH17 BGD16:BGD17 BPZ16:BPZ17 BZV16:BZV17 CJR16:CJR17 CTN16:CTN17 DDJ16:DDJ17 DNF16:DNF17 DXB16:DXB17 EGX16:EGX17 EQT16:EQT17 FAP16:FAP17 FKL16:FKL17 FUH16:FUH17 GED16:GED17 GNZ16:GNZ17 GXV16:GXV17 HHR16:HHR17 HRN16:HRN17 IBJ16:IBJ17 ILF16:ILF17 IVB16:IVB17 JEX16:JEX17 JOT16:JOT17 JYP16:JYP17 KIL16:KIL17 KSH16:KSH17 LCD16:LCD17 LLZ16:LLZ17 LVV16:LVV17 MFR16:MFR17 MPN16:MPN17 MZJ16:MZJ17 NJF16:NJF17 NTB16:NTB17 OCX16:OCX17 OMT16:OMT17 OWP16:OWP17 PGL16:PGL17 PQH16:PQH17 QAD16:QAD17 QJZ16:QJZ17 QTV16:QTV17 RDR16:RDR17 RNN16:RNN17 RXJ16:RXJ17 SHF16:SHF17 SRB16:SRB17 TAX16:TAX17 TKT16:TKT17 TUP16:TUP17 UEL16:UEL17 UOH16:UOH17 UYD16:UYD17 VHZ16:VHZ17 VRV16:VRV17 WBR16:WBR17 WLN16:WLN17 WVJ16:WVJ17 B65552:B65553 IX65552:IX65553 ST65552:ST65553 ACP65552:ACP65553 AML65552:AML65553 AWH65552:AWH65553 BGD65552:BGD65553 BPZ65552:BPZ65553 BZV65552:BZV65553 CJR65552:CJR65553 CTN65552:CTN65553 DDJ65552:DDJ65553 DNF65552:DNF65553 DXB65552:DXB65553 EGX65552:EGX65553 EQT65552:EQT65553 FAP65552:FAP65553 FKL65552:FKL65553 FUH65552:FUH65553 GED65552:GED65553 GNZ65552:GNZ65553 GXV65552:GXV65553 HHR65552:HHR65553 HRN65552:HRN65553 IBJ65552:IBJ65553 ILF65552:ILF65553 IVB65552:IVB65553 JEX65552:JEX65553 JOT65552:JOT65553 JYP65552:JYP65553 KIL65552:KIL65553 KSH65552:KSH65553 LCD65552:LCD65553 LLZ65552:LLZ65553 LVV65552:LVV65553 MFR65552:MFR65553 MPN65552:MPN65553 MZJ65552:MZJ65553 NJF65552:NJF65553 NTB65552:NTB65553 OCX65552:OCX65553 OMT65552:OMT65553 OWP65552:OWP65553 PGL65552:PGL65553 PQH65552:PQH65553 QAD65552:QAD65553 QJZ65552:QJZ65553 QTV65552:QTV65553 RDR65552:RDR65553 RNN65552:RNN65553 RXJ65552:RXJ65553 SHF65552:SHF65553 SRB65552:SRB65553 TAX65552:TAX65553 TKT65552:TKT65553 TUP65552:TUP65553 UEL65552:UEL65553 UOH65552:UOH65553 UYD65552:UYD65553 VHZ65552:VHZ65553 VRV65552:VRV65553 WBR65552:WBR65553 WLN65552:WLN65553 WVJ65552:WVJ65553 B131088:B131089 IX131088:IX131089 ST131088:ST131089 ACP131088:ACP131089 AML131088:AML131089 AWH131088:AWH131089 BGD131088:BGD131089 BPZ131088:BPZ131089 BZV131088:BZV131089 CJR131088:CJR131089 CTN131088:CTN131089 DDJ131088:DDJ131089 DNF131088:DNF131089 DXB131088:DXB131089 EGX131088:EGX131089 EQT131088:EQT131089 FAP131088:FAP131089 FKL131088:FKL131089 FUH131088:FUH131089 GED131088:GED131089 GNZ131088:GNZ131089 GXV131088:GXV131089 HHR131088:HHR131089 HRN131088:HRN131089 IBJ131088:IBJ131089 ILF131088:ILF131089 IVB131088:IVB131089 JEX131088:JEX131089 JOT131088:JOT131089 JYP131088:JYP131089 KIL131088:KIL131089 KSH131088:KSH131089 LCD131088:LCD131089 LLZ131088:LLZ131089 LVV131088:LVV131089 MFR131088:MFR131089 MPN131088:MPN131089 MZJ131088:MZJ131089 NJF131088:NJF131089 NTB131088:NTB131089 OCX131088:OCX131089 OMT131088:OMT131089 OWP131088:OWP131089 PGL131088:PGL131089 PQH131088:PQH131089 QAD131088:QAD131089 QJZ131088:QJZ131089 QTV131088:QTV131089 RDR131088:RDR131089 RNN131088:RNN131089 RXJ131088:RXJ131089 SHF131088:SHF131089 SRB131088:SRB131089 TAX131088:TAX131089 TKT131088:TKT131089 TUP131088:TUP131089 UEL131088:UEL131089 UOH131088:UOH131089 UYD131088:UYD131089 VHZ131088:VHZ131089 VRV131088:VRV131089 WBR131088:WBR131089 WLN131088:WLN131089 WVJ131088:WVJ131089 B196624:B196625 IX196624:IX196625 ST196624:ST196625 ACP196624:ACP196625 AML196624:AML196625 AWH196624:AWH196625 BGD196624:BGD196625 BPZ196624:BPZ196625 BZV196624:BZV196625 CJR196624:CJR196625 CTN196624:CTN196625 DDJ196624:DDJ196625 DNF196624:DNF196625 DXB196624:DXB196625 EGX196624:EGX196625 EQT196624:EQT196625 FAP196624:FAP196625 FKL196624:FKL196625 FUH196624:FUH196625 GED196624:GED196625 GNZ196624:GNZ196625 GXV196624:GXV196625 HHR196624:HHR196625 HRN196624:HRN196625 IBJ196624:IBJ196625 ILF196624:ILF196625 IVB196624:IVB196625 JEX196624:JEX196625 JOT196624:JOT196625 JYP196624:JYP196625 KIL196624:KIL196625 KSH196624:KSH196625 LCD196624:LCD196625 LLZ196624:LLZ196625 LVV196624:LVV196625 MFR196624:MFR196625 MPN196624:MPN196625 MZJ196624:MZJ196625 NJF196624:NJF196625 NTB196624:NTB196625 OCX196624:OCX196625 OMT196624:OMT196625 OWP196624:OWP196625 PGL196624:PGL196625 PQH196624:PQH196625 QAD196624:QAD196625 QJZ196624:QJZ196625 QTV196624:QTV196625 RDR196624:RDR196625 RNN196624:RNN196625 RXJ196624:RXJ196625 SHF196624:SHF196625 SRB196624:SRB196625 TAX196624:TAX196625 TKT196624:TKT196625 TUP196624:TUP196625 UEL196624:UEL196625 UOH196624:UOH196625 UYD196624:UYD196625 VHZ196624:VHZ196625 VRV196624:VRV196625 WBR196624:WBR196625 WLN196624:WLN196625 WVJ196624:WVJ196625 B262160:B262161 IX262160:IX262161 ST262160:ST262161 ACP262160:ACP262161 AML262160:AML262161 AWH262160:AWH262161 BGD262160:BGD262161 BPZ262160:BPZ262161 BZV262160:BZV262161 CJR262160:CJR262161 CTN262160:CTN262161 DDJ262160:DDJ262161 DNF262160:DNF262161 DXB262160:DXB262161 EGX262160:EGX262161 EQT262160:EQT262161 FAP262160:FAP262161 FKL262160:FKL262161 FUH262160:FUH262161 GED262160:GED262161 GNZ262160:GNZ262161 GXV262160:GXV262161 HHR262160:HHR262161 HRN262160:HRN262161 IBJ262160:IBJ262161 ILF262160:ILF262161 IVB262160:IVB262161 JEX262160:JEX262161 JOT262160:JOT262161 JYP262160:JYP262161 KIL262160:KIL262161 KSH262160:KSH262161 LCD262160:LCD262161 LLZ262160:LLZ262161 LVV262160:LVV262161 MFR262160:MFR262161 MPN262160:MPN262161 MZJ262160:MZJ262161 NJF262160:NJF262161 NTB262160:NTB262161 OCX262160:OCX262161 OMT262160:OMT262161 OWP262160:OWP262161 PGL262160:PGL262161 PQH262160:PQH262161 QAD262160:QAD262161 QJZ262160:QJZ262161 QTV262160:QTV262161 RDR262160:RDR262161 RNN262160:RNN262161 RXJ262160:RXJ262161 SHF262160:SHF262161 SRB262160:SRB262161 TAX262160:TAX262161 TKT262160:TKT262161 TUP262160:TUP262161 UEL262160:UEL262161 UOH262160:UOH262161 UYD262160:UYD262161 VHZ262160:VHZ262161 VRV262160:VRV262161 WBR262160:WBR262161 WLN262160:WLN262161 WVJ262160:WVJ262161 B327696:B327697 IX327696:IX327697 ST327696:ST327697 ACP327696:ACP327697 AML327696:AML327697 AWH327696:AWH327697 BGD327696:BGD327697 BPZ327696:BPZ327697 BZV327696:BZV327697 CJR327696:CJR327697 CTN327696:CTN327697 DDJ327696:DDJ327697 DNF327696:DNF327697 DXB327696:DXB327697 EGX327696:EGX327697 EQT327696:EQT327697 FAP327696:FAP327697 FKL327696:FKL327697 FUH327696:FUH327697 GED327696:GED327697 GNZ327696:GNZ327697 GXV327696:GXV327697 HHR327696:HHR327697 HRN327696:HRN327697 IBJ327696:IBJ327697 ILF327696:ILF327697 IVB327696:IVB327697 JEX327696:JEX327697 JOT327696:JOT327697 JYP327696:JYP327697 KIL327696:KIL327697 KSH327696:KSH327697 LCD327696:LCD327697 LLZ327696:LLZ327697 LVV327696:LVV327697 MFR327696:MFR327697 MPN327696:MPN327697 MZJ327696:MZJ327697 NJF327696:NJF327697 NTB327696:NTB327697 OCX327696:OCX327697 OMT327696:OMT327697 OWP327696:OWP327697 PGL327696:PGL327697 PQH327696:PQH327697 QAD327696:QAD327697 QJZ327696:QJZ327697 QTV327696:QTV327697 RDR327696:RDR327697 RNN327696:RNN327697 RXJ327696:RXJ327697 SHF327696:SHF327697 SRB327696:SRB327697 TAX327696:TAX327697 TKT327696:TKT327697 TUP327696:TUP327697 UEL327696:UEL327697 UOH327696:UOH327697 UYD327696:UYD327697 VHZ327696:VHZ327697 VRV327696:VRV327697 WBR327696:WBR327697 WLN327696:WLN327697 WVJ327696:WVJ327697 B393232:B393233 IX393232:IX393233 ST393232:ST393233 ACP393232:ACP393233 AML393232:AML393233 AWH393232:AWH393233 BGD393232:BGD393233 BPZ393232:BPZ393233 BZV393232:BZV393233 CJR393232:CJR393233 CTN393232:CTN393233 DDJ393232:DDJ393233 DNF393232:DNF393233 DXB393232:DXB393233 EGX393232:EGX393233 EQT393232:EQT393233 FAP393232:FAP393233 FKL393232:FKL393233 FUH393232:FUH393233 GED393232:GED393233 GNZ393232:GNZ393233 GXV393232:GXV393233 HHR393232:HHR393233 HRN393232:HRN393233 IBJ393232:IBJ393233 ILF393232:ILF393233 IVB393232:IVB393233 JEX393232:JEX393233 JOT393232:JOT393233 JYP393232:JYP393233 KIL393232:KIL393233 KSH393232:KSH393233 LCD393232:LCD393233 LLZ393232:LLZ393233 LVV393232:LVV393233 MFR393232:MFR393233 MPN393232:MPN393233 MZJ393232:MZJ393233 NJF393232:NJF393233 NTB393232:NTB393233 OCX393232:OCX393233 OMT393232:OMT393233 OWP393232:OWP393233 PGL393232:PGL393233 PQH393232:PQH393233 QAD393232:QAD393233 QJZ393232:QJZ393233 QTV393232:QTV393233 RDR393232:RDR393233 RNN393232:RNN393233 RXJ393232:RXJ393233 SHF393232:SHF393233 SRB393232:SRB393233 TAX393232:TAX393233 TKT393232:TKT393233 TUP393232:TUP393233 UEL393232:UEL393233 UOH393232:UOH393233 UYD393232:UYD393233 VHZ393232:VHZ393233 VRV393232:VRV393233 WBR393232:WBR393233 WLN393232:WLN393233 WVJ393232:WVJ393233 B458768:B458769 IX458768:IX458769 ST458768:ST458769 ACP458768:ACP458769 AML458768:AML458769 AWH458768:AWH458769 BGD458768:BGD458769 BPZ458768:BPZ458769 BZV458768:BZV458769 CJR458768:CJR458769 CTN458768:CTN458769 DDJ458768:DDJ458769 DNF458768:DNF458769 DXB458768:DXB458769 EGX458768:EGX458769 EQT458768:EQT458769 FAP458768:FAP458769 FKL458768:FKL458769 FUH458768:FUH458769 GED458768:GED458769 GNZ458768:GNZ458769 GXV458768:GXV458769 HHR458768:HHR458769 HRN458768:HRN458769 IBJ458768:IBJ458769 ILF458768:ILF458769 IVB458768:IVB458769 JEX458768:JEX458769 JOT458768:JOT458769 JYP458768:JYP458769 KIL458768:KIL458769 KSH458768:KSH458769 LCD458768:LCD458769 LLZ458768:LLZ458769 LVV458768:LVV458769 MFR458768:MFR458769 MPN458768:MPN458769 MZJ458768:MZJ458769 NJF458768:NJF458769 NTB458768:NTB458769 OCX458768:OCX458769 OMT458768:OMT458769 OWP458768:OWP458769 PGL458768:PGL458769 PQH458768:PQH458769 QAD458768:QAD458769 QJZ458768:QJZ458769 QTV458768:QTV458769 RDR458768:RDR458769 RNN458768:RNN458769 RXJ458768:RXJ458769 SHF458768:SHF458769 SRB458768:SRB458769 TAX458768:TAX458769 TKT458768:TKT458769 TUP458768:TUP458769 UEL458768:UEL458769 UOH458768:UOH458769 UYD458768:UYD458769 VHZ458768:VHZ458769 VRV458768:VRV458769 WBR458768:WBR458769 WLN458768:WLN458769 WVJ458768:WVJ458769 B524304:B524305 IX524304:IX524305 ST524304:ST524305 ACP524304:ACP524305 AML524304:AML524305 AWH524304:AWH524305 BGD524304:BGD524305 BPZ524304:BPZ524305 BZV524304:BZV524305 CJR524304:CJR524305 CTN524304:CTN524305 DDJ524304:DDJ524305 DNF524304:DNF524305 DXB524304:DXB524305 EGX524304:EGX524305 EQT524304:EQT524305 FAP524304:FAP524305 FKL524304:FKL524305 FUH524304:FUH524305 GED524304:GED524305 GNZ524304:GNZ524305 GXV524304:GXV524305 HHR524304:HHR524305 HRN524304:HRN524305 IBJ524304:IBJ524305 ILF524304:ILF524305 IVB524304:IVB524305 JEX524304:JEX524305 JOT524304:JOT524305 JYP524304:JYP524305 KIL524304:KIL524305 KSH524304:KSH524305 LCD524304:LCD524305 LLZ524304:LLZ524305 LVV524304:LVV524305 MFR524304:MFR524305 MPN524304:MPN524305 MZJ524304:MZJ524305 NJF524304:NJF524305 NTB524304:NTB524305 OCX524304:OCX524305 OMT524304:OMT524305 OWP524304:OWP524305 PGL524304:PGL524305 PQH524304:PQH524305 QAD524304:QAD524305 QJZ524304:QJZ524305 QTV524304:QTV524305 RDR524304:RDR524305 RNN524304:RNN524305 RXJ524304:RXJ524305 SHF524304:SHF524305 SRB524304:SRB524305 TAX524304:TAX524305 TKT524304:TKT524305 TUP524304:TUP524305 UEL524304:UEL524305 UOH524304:UOH524305 UYD524304:UYD524305 VHZ524304:VHZ524305 VRV524304:VRV524305 WBR524304:WBR524305 WLN524304:WLN524305 WVJ524304:WVJ524305 B589840:B589841 IX589840:IX589841 ST589840:ST589841 ACP589840:ACP589841 AML589840:AML589841 AWH589840:AWH589841 BGD589840:BGD589841 BPZ589840:BPZ589841 BZV589840:BZV589841 CJR589840:CJR589841 CTN589840:CTN589841 DDJ589840:DDJ589841 DNF589840:DNF589841 DXB589840:DXB589841 EGX589840:EGX589841 EQT589840:EQT589841 FAP589840:FAP589841 FKL589840:FKL589841 FUH589840:FUH589841 GED589840:GED589841 GNZ589840:GNZ589841 GXV589840:GXV589841 HHR589840:HHR589841 HRN589840:HRN589841 IBJ589840:IBJ589841 ILF589840:ILF589841 IVB589840:IVB589841 JEX589840:JEX589841 JOT589840:JOT589841 JYP589840:JYP589841 KIL589840:KIL589841 KSH589840:KSH589841 LCD589840:LCD589841 LLZ589840:LLZ589841 LVV589840:LVV589841 MFR589840:MFR589841 MPN589840:MPN589841 MZJ589840:MZJ589841 NJF589840:NJF589841 NTB589840:NTB589841 OCX589840:OCX589841 OMT589840:OMT589841 OWP589840:OWP589841 PGL589840:PGL589841 PQH589840:PQH589841 QAD589840:QAD589841 QJZ589840:QJZ589841 QTV589840:QTV589841 RDR589840:RDR589841 RNN589840:RNN589841 RXJ589840:RXJ589841 SHF589840:SHF589841 SRB589840:SRB589841 TAX589840:TAX589841 TKT589840:TKT589841 TUP589840:TUP589841 UEL589840:UEL589841 UOH589840:UOH589841 UYD589840:UYD589841 VHZ589840:VHZ589841 VRV589840:VRV589841 WBR589840:WBR589841 WLN589840:WLN589841 WVJ589840:WVJ589841 B655376:B655377 IX655376:IX655377 ST655376:ST655377 ACP655376:ACP655377 AML655376:AML655377 AWH655376:AWH655377 BGD655376:BGD655377 BPZ655376:BPZ655377 BZV655376:BZV655377 CJR655376:CJR655377 CTN655376:CTN655377 DDJ655376:DDJ655377 DNF655376:DNF655377 DXB655376:DXB655377 EGX655376:EGX655377 EQT655376:EQT655377 FAP655376:FAP655377 FKL655376:FKL655377 FUH655376:FUH655377 GED655376:GED655377 GNZ655376:GNZ655377 GXV655376:GXV655377 HHR655376:HHR655377 HRN655376:HRN655377 IBJ655376:IBJ655377 ILF655376:ILF655377 IVB655376:IVB655377 JEX655376:JEX655377 JOT655376:JOT655377 JYP655376:JYP655377 KIL655376:KIL655377 KSH655376:KSH655377 LCD655376:LCD655377 LLZ655376:LLZ655377 LVV655376:LVV655377 MFR655376:MFR655377 MPN655376:MPN655377 MZJ655376:MZJ655377 NJF655376:NJF655377 NTB655376:NTB655377 OCX655376:OCX655377 OMT655376:OMT655377 OWP655376:OWP655377 PGL655376:PGL655377 PQH655376:PQH655377 QAD655376:QAD655377 QJZ655376:QJZ655377 QTV655376:QTV655377 RDR655376:RDR655377 RNN655376:RNN655377 RXJ655376:RXJ655377 SHF655376:SHF655377 SRB655376:SRB655377 TAX655376:TAX655377 TKT655376:TKT655377 TUP655376:TUP655377 UEL655376:UEL655377 UOH655376:UOH655377 UYD655376:UYD655377 VHZ655376:VHZ655377 VRV655376:VRV655377 WBR655376:WBR655377 WLN655376:WLN655377 WVJ655376:WVJ655377 B720912:B720913 IX720912:IX720913 ST720912:ST720913 ACP720912:ACP720913 AML720912:AML720913 AWH720912:AWH720913 BGD720912:BGD720913 BPZ720912:BPZ720913 BZV720912:BZV720913 CJR720912:CJR720913 CTN720912:CTN720913 DDJ720912:DDJ720913 DNF720912:DNF720913 DXB720912:DXB720913 EGX720912:EGX720913 EQT720912:EQT720913 FAP720912:FAP720913 FKL720912:FKL720913 FUH720912:FUH720913 GED720912:GED720913 GNZ720912:GNZ720913 GXV720912:GXV720913 HHR720912:HHR720913 HRN720912:HRN720913 IBJ720912:IBJ720913 ILF720912:ILF720913 IVB720912:IVB720913 JEX720912:JEX720913 JOT720912:JOT720913 JYP720912:JYP720913 KIL720912:KIL720913 KSH720912:KSH720913 LCD720912:LCD720913 LLZ720912:LLZ720913 LVV720912:LVV720913 MFR720912:MFR720913 MPN720912:MPN720913 MZJ720912:MZJ720913 NJF720912:NJF720913 NTB720912:NTB720913 OCX720912:OCX720913 OMT720912:OMT720913 OWP720912:OWP720913 PGL720912:PGL720913 PQH720912:PQH720913 QAD720912:QAD720913 QJZ720912:QJZ720913 QTV720912:QTV720913 RDR720912:RDR720913 RNN720912:RNN720913 RXJ720912:RXJ720913 SHF720912:SHF720913 SRB720912:SRB720913 TAX720912:TAX720913 TKT720912:TKT720913 TUP720912:TUP720913 UEL720912:UEL720913 UOH720912:UOH720913 UYD720912:UYD720913 VHZ720912:VHZ720913 VRV720912:VRV720913 WBR720912:WBR720913 WLN720912:WLN720913 WVJ720912:WVJ720913 B786448:B786449 IX786448:IX786449 ST786448:ST786449 ACP786448:ACP786449 AML786448:AML786449 AWH786448:AWH786449 BGD786448:BGD786449 BPZ786448:BPZ786449 BZV786448:BZV786449 CJR786448:CJR786449 CTN786448:CTN786449 DDJ786448:DDJ786449 DNF786448:DNF786449 DXB786448:DXB786449 EGX786448:EGX786449 EQT786448:EQT786449 FAP786448:FAP786449 FKL786448:FKL786449 FUH786448:FUH786449 GED786448:GED786449 GNZ786448:GNZ786449 GXV786448:GXV786449 HHR786448:HHR786449 HRN786448:HRN786449 IBJ786448:IBJ786449 ILF786448:ILF786449 IVB786448:IVB786449 JEX786448:JEX786449 JOT786448:JOT786449 JYP786448:JYP786449 KIL786448:KIL786449 KSH786448:KSH786449 LCD786448:LCD786449 LLZ786448:LLZ786449 LVV786448:LVV786449 MFR786448:MFR786449 MPN786448:MPN786449 MZJ786448:MZJ786449 NJF786448:NJF786449 NTB786448:NTB786449 OCX786448:OCX786449 OMT786448:OMT786449 OWP786448:OWP786449 PGL786448:PGL786449 PQH786448:PQH786449 QAD786448:QAD786449 QJZ786448:QJZ786449 QTV786448:QTV786449 RDR786448:RDR786449 RNN786448:RNN786449 RXJ786448:RXJ786449 SHF786448:SHF786449 SRB786448:SRB786449 TAX786448:TAX786449 TKT786448:TKT786449 TUP786448:TUP786449 UEL786448:UEL786449 UOH786448:UOH786449 UYD786448:UYD786449 VHZ786448:VHZ786449 VRV786448:VRV786449 WBR786448:WBR786449 WLN786448:WLN786449 WVJ786448:WVJ786449 B851984:B851985 IX851984:IX851985 ST851984:ST851985 ACP851984:ACP851985 AML851984:AML851985 AWH851984:AWH851985 BGD851984:BGD851985 BPZ851984:BPZ851985 BZV851984:BZV851985 CJR851984:CJR851985 CTN851984:CTN851985 DDJ851984:DDJ851985 DNF851984:DNF851985 DXB851984:DXB851985 EGX851984:EGX851985 EQT851984:EQT851985 FAP851984:FAP851985 FKL851984:FKL851985 FUH851984:FUH851985 GED851984:GED851985 GNZ851984:GNZ851985 GXV851984:GXV851985 HHR851984:HHR851985 HRN851984:HRN851985 IBJ851984:IBJ851985 ILF851984:ILF851985 IVB851984:IVB851985 JEX851984:JEX851985 JOT851984:JOT851985 JYP851984:JYP851985 KIL851984:KIL851985 KSH851984:KSH851985 LCD851984:LCD851985 LLZ851984:LLZ851985 LVV851984:LVV851985 MFR851984:MFR851985 MPN851984:MPN851985 MZJ851984:MZJ851985 NJF851984:NJF851985 NTB851984:NTB851985 OCX851984:OCX851985 OMT851984:OMT851985 OWP851984:OWP851985 PGL851984:PGL851985 PQH851984:PQH851985 QAD851984:QAD851985 QJZ851984:QJZ851985 QTV851984:QTV851985 RDR851984:RDR851985 RNN851984:RNN851985 RXJ851984:RXJ851985 SHF851984:SHF851985 SRB851984:SRB851985 TAX851984:TAX851985 TKT851984:TKT851985 TUP851984:TUP851985 UEL851984:UEL851985 UOH851984:UOH851985 UYD851984:UYD851985 VHZ851984:VHZ851985 VRV851984:VRV851985 WBR851984:WBR851985 WLN851984:WLN851985 WVJ851984:WVJ851985 B917520:B917521 IX917520:IX917521 ST917520:ST917521 ACP917520:ACP917521 AML917520:AML917521 AWH917520:AWH917521 BGD917520:BGD917521 BPZ917520:BPZ917521 BZV917520:BZV917521 CJR917520:CJR917521 CTN917520:CTN917521 DDJ917520:DDJ917521 DNF917520:DNF917521 DXB917520:DXB917521 EGX917520:EGX917521 EQT917520:EQT917521 FAP917520:FAP917521 FKL917520:FKL917521 FUH917520:FUH917521 GED917520:GED917521 GNZ917520:GNZ917521 GXV917520:GXV917521 HHR917520:HHR917521 HRN917520:HRN917521 IBJ917520:IBJ917521 ILF917520:ILF917521 IVB917520:IVB917521 JEX917520:JEX917521 JOT917520:JOT917521 JYP917520:JYP917521 KIL917520:KIL917521 KSH917520:KSH917521 LCD917520:LCD917521 LLZ917520:LLZ917521 LVV917520:LVV917521 MFR917520:MFR917521 MPN917520:MPN917521 MZJ917520:MZJ917521 NJF917520:NJF917521 NTB917520:NTB917521 OCX917520:OCX917521 OMT917520:OMT917521 OWP917520:OWP917521 PGL917520:PGL917521 PQH917520:PQH917521 QAD917520:QAD917521 QJZ917520:QJZ917521 QTV917520:QTV917521 RDR917520:RDR917521 RNN917520:RNN917521 RXJ917520:RXJ917521 SHF917520:SHF917521 SRB917520:SRB917521 TAX917520:TAX917521 TKT917520:TKT917521 TUP917520:TUP917521 UEL917520:UEL917521 UOH917520:UOH917521 UYD917520:UYD917521 VHZ917520:VHZ917521 VRV917520:VRV917521 WBR917520:WBR917521 WLN917520:WLN917521 WVJ917520:WVJ917521 B983056:B983057 IX983056:IX983057 ST983056:ST983057 ACP983056:ACP983057 AML983056:AML983057 AWH983056:AWH983057 BGD983056:BGD983057 BPZ983056:BPZ983057 BZV983056:BZV983057 CJR983056:CJR983057 CTN983056:CTN983057 DDJ983056:DDJ983057 DNF983056:DNF983057 DXB983056:DXB983057 EGX983056:EGX983057 EQT983056:EQT983057 FAP983056:FAP983057 FKL983056:FKL983057 FUH983056:FUH983057 GED983056:GED983057 GNZ983056:GNZ983057 GXV983056:GXV983057 HHR983056:HHR983057 HRN983056:HRN983057 IBJ983056:IBJ983057 ILF983056:ILF983057 IVB983056:IVB983057 JEX983056:JEX983057 JOT983056:JOT983057 JYP983056:JYP983057 KIL983056:KIL983057 KSH983056:KSH983057 LCD983056:LCD983057 LLZ983056:LLZ983057 LVV983056:LVV983057 MFR983056:MFR983057 MPN983056:MPN983057 MZJ983056:MZJ983057 NJF983056:NJF983057 NTB983056:NTB983057 OCX983056:OCX983057 OMT983056:OMT983057 OWP983056:OWP983057 PGL983056:PGL983057 PQH983056:PQH983057 QAD983056:QAD983057 QJZ983056:QJZ983057 QTV983056:QTV983057 RDR983056:RDR983057 RNN983056:RNN983057 RXJ983056:RXJ983057 SHF983056:SHF983057 SRB983056:SRB983057 TAX983056:TAX983057 TKT983056:TKT983057 TUP983056:TUP983057 UEL983056:UEL983057 UOH983056:UOH983057 UYD983056:UYD983057 VHZ983056:VHZ983057 VRV983056:VRV983057 WBR983056:WBR983057 WLN983056:WLN983057 WVJ983056:WVJ983057 B33 IX33 ST33 ACP33 AML33 AWH33 BGD33 BPZ33 BZV33 CJR33 CTN33 DDJ33 DNF33 DXB33 EGX33 EQT33 FAP33 FKL33 FUH33 GED33 GNZ33 GXV33 HHR33 HRN33 IBJ33 ILF33 IVB33 JEX33 JOT33 JYP33 KIL33 KSH33 LCD33 LLZ33 LVV33 MFR33 MPN33 MZJ33 NJF33 NTB33 OCX33 OMT33 OWP33 PGL33 PQH33 QAD33 QJZ33 QTV33 RDR33 RNN33 RXJ33 SHF33 SRB33 TAX33 TKT33 TUP33 UEL33 UOH33 UYD33 VHZ33 VRV33 WBR33 WLN33 WVJ33 B65569 IX65569 ST65569 ACP65569 AML65569 AWH65569 BGD65569 BPZ65569 BZV65569 CJR65569 CTN65569 DDJ65569 DNF65569 DXB65569 EGX65569 EQT65569 FAP65569 FKL65569 FUH65569 GED65569 GNZ65569 GXV65569 HHR65569 HRN65569 IBJ65569 ILF65569 IVB65569 JEX65569 JOT65569 JYP65569 KIL65569 KSH65569 LCD65569 LLZ65569 LVV65569 MFR65569 MPN65569 MZJ65569 NJF65569 NTB65569 OCX65569 OMT65569 OWP65569 PGL65569 PQH65569 QAD65569 QJZ65569 QTV65569 RDR65569 RNN65569 RXJ65569 SHF65569 SRB65569 TAX65569 TKT65569 TUP65569 UEL65569 UOH65569 UYD65569 VHZ65569 VRV65569 WBR65569 WLN65569 WVJ65569 B131105 IX131105 ST131105 ACP131105 AML131105 AWH131105 BGD131105 BPZ131105 BZV131105 CJR131105 CTN131105 DDJ131105 DNF131105 DXB131105 EGX131105 EQT131105 FAP131105 FKL131105 FUH131105 GED131105 GNZ131105 GXV131105 HHR131105 HRN131105 IBJ131105 ILF131105 IVB131105 JEX131105 JOT131105 JYP131105 KIL131105 KSH131105 LCD131105 LLZ131105 LVV131105 MFR131105 MPN131105 MZJ131105 NJF131105 NTB131105 OCX131105 OMT131105 OWP131105 PGL131105 PQH131105 QAD131105 QJZ131105 QTV131105 RDR131105 RNN131105 RXJ131105 SHF131105 SRB131105 TAX131105 TKT131105 TUP131105 UEL131105 UOH131105 UYD131105 VHZ131105 VRV131105 WBR131105 WLN131105 WVJ131105 B196641 IX196641 ST196641 ACP196641 AML196641 AWH196641 BGD196641 BPZ196641 BZV196641 CJR196641 CTN196641 DDJ196641 DNF196641 DXB196641 EGX196641 EQT196641 FAP196641 FKL196641 FUH196641 GED196641 GNZ196641 GXV196641 HHR196641 HRN196641 IBJ196641 ILF196641 IVB196641 JEX196641 JOT196641 JYP196641 KIL196641 KSH196641 LCD196641 LLZ196641 LVV196641 MFR196641 MPN196641 MZJ196641 NJF196641 NTB196641 OCX196641 OMT196641 OWP196641 PGL196641 PQH196641 QAD196641 QJZ196641 QTV196641 RDR196641 RNN196641 RXJ196641 SHF196641 SRB196641 TAX196641 TKT196641 TUP196641 UEL196641 UOH196641 UYD196641 VHZ196641 VRV196641 WBR196641 WLN196641 WVJ196641 B262177 IX262177 ST262177 ACP262177 AML262177 AWH262177 BGD262177 BPZ262177 BZV262177 CJR262177 CTN262177 DDJ262177 DNF262177 DXB262177 EGX262177 EQT262177 FAP262177 FKL262177 FUH262177 GED262177 GNZ262177 GXV262177 HHR262177 HRN262177 IBJ262177 ILF262177 IVB262177 JEX262177 JOT262177 JYP262177 KIL262177 KSH262177 LCD262177 LLZ262177 LVV262177 MFR262177 MPN262177 MZJ262177 NJF262177 NTB262177 OCX262177 OMT262177 OWP262177 PGL262177 PQH262177 QAD262177 QJZ262177 QTV262177 RDR262177 RNN262177 RXJ262177 SHF262177 SRB262177 TAX262177 TKT262177 TUP262177 UEL262177 UOH262177 UYD262177 VHZ262177 VRV262177 WBR262177 WLN262177 WVJ262177 B327713 IX327713 ST327713 ACP327713 AML327713 AWH327713 BGD327713 BPZ327713 BZV327713 CJR327713 CTN327713 DDJ327713 DNF327713 DXB327713 EGX327713 EQT327713 FAP327713 FKL327713 FUH327713 GED327713 GNZ327713 GXV327713 HHR327713 HRN327713 IBJ327713 ILF327713 IVB327713 JEX327713 JOT327713 JYP327713 KIL327713 KSH327713 LCD327713 LLZ327713 LVV327713 MFR327713 MPN327713 MZJ327713 NJF327713 NTB327713 OCX327713 OMT327713 OWP327713 PGL327713 PQH327713 QAD327713 QJZ327713 QTV327713 RDR327713 RNN327713 RXJ327713 SHF327713 SRB327713 TAX327713 TKT327713 TUP327713 UEL327713 UOH327713 UYD327713 VHZ327713 VRV327713 WBR327713 WLN327713 WVJ327713 B393249 IX393249 ST393249 ACP393249 AML393249 AWH393249 BGD393249 BPZ393249 BZV393249 CJR393249 CTN393249 DDJ393249 DNF393249 DXB393249 EGX393249 EQT393249 FAP393249 FKL393249 FUH393249 GED393249 GNZ393249 GXV393249 HHR393249 HRN393249 IBJ393249 ILF393249 IVB393249 JEX393249 JOT393249 JYP393249 KIL393249 KSH393249 LCD393249 LLZ393249 LVV393249 MFR393249 MPN393249 MZJ393249 NJF393249 NTB393249 OCX393249 OMT393249 OWP393249 PGL393249 PQH393249 QAD393249 QJZ393249 QTV393249 RDR393249 RNN393249 RXJ393249 SHF393249 SRB393249 TAX393249 TKT393249 TUP393249 UEL393249 UOH393249 UYD393249 VHZ393249 VRV393249 WBR393249 WLN393249 WVJ393249 B458785 IX458785 ST458785 ACP458785 AML458785 AWH458785 BGD458785 BPZ458785 BZV458785 CJR458785 CTN458785 DDJ458785 DNF458785 DXB458785 EGX458785 EQT458785 FAP458785 FKL458785 FUH458785 GED458785 GNZ458785 GXV458785 HHR458785 HRN458785 IBJ458785 ILF458785 IVB458785 JEX458785 JOT458785 JYP458785 KIL458785 KSH458785 LCD458785 LLZ458785 LVV458785 MFR458785 MPN458785 MZJ458785 NJF458785 NTB458785 OCX458785 OMT458785 OWP458785 PGL458785 PQH458785 QAD458785 QJZ458785 QTV458785 RDR458785 RNN458785 RXJ458785 SHF458785 SRB458785 TAX458785 TKT458785 TUP458785 UEL458785 UOH458785 UYD458785 VHZ458785 VRV458785 WBR458785 WLN458785 WVJ458785 B524321 IX524321 ST524321 ACP524321 AML524321 AWH524321 BGD524321 BPZ524321 BZV524321 CJR524321 CTN524321 DDJ524321 DNF524321 DXB524321 EGX524321 EQT524321 FAP524321 FKL524321 FUH524321 GED524321 GNZ524321 GXV524321 HHR524321 HRN524321 IBJ524321 ILF524321 IVB524321 JEX524321 JOT524321 JYP524321 KIL524321 KSH524321 LCD524321 LLZ524321 LVV524321 MFR524321 MPN524321 MZJ524321 NJF524321 NTB524321 OCX524321 OMT524321 OWP524321 PGL524321 PQH524321 QAD524321 QJZ524321 QTV524321 RDR524321 RNN524321 RXJ524321 SHF524321 SRB524321 TAX524321 TKT524321 TUP524321 UEL524321 UOH524321 UYD524321 VHZ524321 VRV524321 WBR524321 WLN524321 WVJ524321 B589857 IX589857 ST589857 ACP589857 AML589857 AWH589857 BGD589857 BPZ589857 BZV589857 CJR589857 CTN589857 DDJ589857 DNF589857 DXB589857 EGX589857 EQT589857 FAP589857 FKL589857 FUH589857 GED589857 GNZ589857 GXV589857 HHR589857 HRN589857 IBJ589857 ILF589857 IVB589857 JEX589857 JOT589857 JYP589857 KIL589857 KSH589857 LCD589857 LLZ589857 LVV589857 MFR589857 MPN589857 MZJ589857 NJF589857 NTB589857 OCX589857 OMT589857 OWP589857 PGL589857 PQH589857 QAD589857 QJZ589857 QTV589857 RDR589857 RNN589857 RXJ589857 SHF589857 SRB589857 TAX589857 TKT589857 TUP589857 UEL589857 UOH589857 UYD589857 VHZ589857 VRV589857 WBR589857 WLN589857 WVJ589857 B655393 IX655393 ST655393 ACP655393 AML655393 AWH655393 BGD655393 BPZ655393 BZV655393 CJR655393 CTN655393 DDJ655393 DNF655393 DXB655393 EGX655393 EQT655393 FAP655393 FKL655393 FUH655393 GED655393 GNZ655393 GXV655393 HHR655393 HRN655393 IBJ655393 ILF655393 IVB655393 JEX655393 JOT655393 JYP655393 KIL655393 KSH655393 LCD655393 LLZ655393 LVV655393 MFR655393 MPN655393 MZJ655393 NJF655393 NTB655393 OCX655393 OMT655393 OWP655393 PGL655393 PQH655393 QAD655393 QJZ655393 QTV655393 RDR655393 RNN655393 RXJ655393 SHF655393 SRB655393 TAX655393 TKT655393 TUP655393 UEL655393 UOH655393 UYD655393 VHZ655393 VRV655393 WBR655393 WLN655393 WVJ655393 B720929 IX720929 ST720929 ACP720929 AML720929 AWH720929 BGD720929 BPZ720929 BZV720929 CJR720929 CTN720929 DDJ720929 DNF720929 DXB720929 EGX720929 EQT720929 FAP720929 FKL720929 FUH720929 GED720929 GNZ720929 GXV720929 HHR720929 HRN720929 IBJ720929 ILF720929 IVB720929 JEX720929 JOT720929 JYP720929 KIL720929 KSH720929 LCD720929 LLZ720929 LVV720929 MFR720929 MPN720929 MZJ720929 NJF720929 NTB720929 OCX720929 OMT720929 OWP720929 PGL720929 PQH720929 QAD720929 QJZ720929 QTV720929 RDR720929 RNN720929 RXJ720929 SHF720929 SRB720929 TAX720929 TKT720929 TUP720929 UEL720929 UOH720929 UYD720929 VHZ720929 VRV720929 WBR720929 WLN720929 WVJ720929 B786465 IX786465 ST786465 ACP786465 AML786465 AWH786465 BGD786465 BPZ786465 BZV786465 CJR786465 CTN786465 DDJ786465 DNF786465 DXB786465 EGX786465 EQT786465 FAP786465 FKL786465 FUH786465 GED786465 GNZ786465 GXV786465 HHR786465 HRN786465 IBJ786465 ILF786465 IVB786465 JEX786465 JOT786465 JYP786465 KIL786465 KSH786465 LCD786465 LLZ786465 LVV786465 MFR786465 MPN786465 MZJ786465 NJF786465 NTB786465 OCX786465 OMT786465 OWP786465 PGL786465 PQH786465 QAD786465 QJZ786465 QTV786465 RDR786465 RNN786465 RXJ786465 SHF786465 SRB786465 TAX786465 TKT786465 TUP786465 UEL786465 UOH786465 UYD786465 VHZ786465 VRV786465 WBR786465 WLN786465 WVJ786465 B852001 IX852001 ST852001 ACP852001 AML852001 AWH852001 BGD852001 BPZ852001 BZV852001 CJR852001 CTN852001 DDJ852001 DNF852001 DXB852001 EGX852001 EQT852001 FAP852001 FKL852001 FUH852001 GED852001 GNZ852001 GXV852001 HHR852001 HRN852001 IBJ852001 ILF852001 IVB852001 JEX852001 JOT852001 JYP852001 KIL852001 KSH852001 LCD852001 LLZ852001 LVV852001 MFR852001 MPN852001 MZJ852001 NJF852001 NTB852001 OCX852001 OMT852001 OWP852001 PGL852001 PQH852001 QAD852001 QJZ852001 QTV852001 RDR852001 RNN852001 RXJ852001 SHF852001 SRB852001 TAX852001 TKT852001 TUP852001 UEL852001 UOH852001 UYD852001 VHZ852001 VRV852001 WBR852001 WLN852001 WVJ852001 B917537 IX917537 ST917537 ACP917537 AML917537 AWH917537 BGD917537 BPZ917537 BZV917537 CJR917537 CTN917537 DDJ917537 DNF917537 DXB917537 EGX917537 EQT917537 FAP917537 FKL917537 FUH917537 GED917537 GNZ917537 GXV917537 HHR917537 HRN917537 IBJ917537 ILF917537 IVB917537 JEX917537 JOT917537 JYP917537 KIL917537 KSH917537 LCD917537 LLZ917537 LVV917537 MFR917537 MPN917537 MZJ917537 NJF917537 NTB917537 OCX917537 OMT917537 OWP917537 PGL917537 PQH917537 QAD917537 QJZ917537 QTV917537 RDR917537 RNN917537 RXJ917537 SHF917537 SRB917537 TAX917537 TKT917537 TUP917537 UEL917537 UOH917537 UYD917537 VHZ917537 VRV917537 WBR917537 WLN917537 WVJ917537 B983073 IX983073 ST983073 ACP983073 AML983073 AWH983073 BGD983073 BPZ983073 BZV983073 CJR983073 CTN983073 DDJ983073 DNF983073 DXB983073 EGX983073 EQT983073 FAP983073 FKL983073 FUH983073 GED983073 GNZ983073 GXV983073 HHR983073 HRN983073 IBJ983073 ILF983073 IVB983073 JEX983073 JOT983073 JYP983073 KIL983073 KSH983073 LCD983073 LLZ983073 LVV983073 MFR983073 MPN983073 MZJ983073 NJF983073 NTB983073 OCX983073 OMT983073 OWP983073 PGL983073 PQH983073 QAD983073 QJZ983073 QTV983073 RDR983073 RNN983073 RXJ983073 SHF983073 SRB983073 TAX983073 TKT983073 TUP983073 UEL983073 UOH983073 UYD983073 VHZ983073 VRV983073 WBR983073 WLN983073 WVJ983073">
      <formula1>B16&lt;=7400</formula1>
    </dataValidation>
    <dataValidation type="custom" errorStyle="warning" allowBlank="1" showInputMessage="1" showErrorMessage="1" error="***你在睡喔,醒醒好嗎" sqref="WLN983060:WLN983072 IX3:IX15 ST3:ST15 ACP3:ACP15 AML3:AML15 AWH3:AWH15 BGD3:BGD15 BPZ3:BPZ15 BZV3:BZV15 CJR3:CJR15 CTN3:CTN15 DDJ3:DDJ15 DNF3:DNF15 DXB3:DXB15 EGX3:EGX15 EQT3:EQT15 FAP3:FAP15 FKL3:FKL15 FUH3:FUH15 GED3:GED15 GNZ3:GNZ15 GXV3:GXV15 HHR3:HHR15 HRN3:HRN15 IBJ3:IBJ15 ILF3:ILF15 IVB3:IVB15 JEX3:JEX15 JOT3:JOT15 JYP3:JYP15 KIL3:KIL15 KSH3:KSH15 LCD3:LCD15 LLZ3:LLZ15 LVV3:LVV15 MFR3:MFR15 MPN3:MPN15 MZJ3:MZJ15 NJF3:NJF15 NTB3:NTB15 OCX3:OCX15 OMT3:OMT15 OWP3:OWP15 PGL3:PGL15 PQH3:PQH15 QAD3:QAD15 QJZ3:QJZ15 QTV3:QTV15 RDR3:RDR15 RNN3:RNN15 RXJ3:RXJ15 SHF3:SHF15 SRB3:SRB15 TAX3:TAX15 TKT3:TKT15 TUP3:TUP15 UEL3:UEL15 UOH3:UOH15 UYD3:UYD15 VHZ3:VHZ15 VRV3:VRV15 WBR3:WBR15 WLN3:WLN15 WVJ3:WVJ15 B65539:B65551 IX65539:IX65551 ST65539:ST65551 ACP65539:ACP65551 AML65539:AML65551 AWH65539:AWH65551 BGD65539:BGD65551 BPZ65539:BPZ65551 BZV65539:BZV65551 CJR65539:CJR65551 CTN65539:CTN65551 DDJ65539:DDJ65551 DNF65539:DNF65551 DXB65539:DXB65551 EGX65539:EGX65551 EQT65539:EQT65551 FAP65539:FAP65551 FKL65539:FKL65551 FUH65539:FUH65551 GED65539:GED65551 GNZ65539:GNZ65551 GXV65539:GXV65551 HHR65539:HHR65551 HRN65539:HRN65551 IBJ65539:IBJ65551 ILF65539:ILF65551 IVB65539:IVB65551 JEX65539:JEX65551 JOT65539:JOT65551 JYP65539:JYP65551 KIL65539:KIL65551 KSH65539:KSH65551 LCD65539:LCD65551 LLZ65539:LLZ65551 LVV65539:LVV65551 MFR65539:MFR65551 MPN65539:MPN65551 MZJ65539:MZJ65551 NJF65539:NJF65551 NTB65539:NTB65551 OCX65539:OCX65551 OMT65539:OMT65551 OWP65539:OWP65551 PGL65539:PGL65551 PQH65539:PQH65551 QAD65539:QAD65551 QJZ65539:QJZ65551 QTV65539:QTV65551 RDR65539:RDR65551 RNN65539:RNN65551 RXJ65539:RXJ65551 SHF65539:SHF65551 SRB65539:SRB65551 TAX65539:TAX65551 TKT65539:TKT65551 TUP65539:TUP65551 UEL65539:UEL65551 UOH65539:UOH65551 UYD65539:UYD65551 VHZ65539:VHZ65551 VRV65539:VRV65551 WBR65539:WBR65551 WLN65539:WLN65551 WVJ65539:WVJ65551 B131075:B131087 IX131075:IX131087 ST131075:ST131087 ACP131075:ACP131087 AML131075:AML131087 AWH131075:AWH131087 BGD131075:BGD131087 BPZ131075:BPZ131087 BZV131075:BZV131087 CJR131075:CJR131087 CTN131075:CTN131087 DDJ131075:DDJ131087 DNF131075:DNF131087 DXB131075:DXB131087 EGX131075:EGX131087 EQT131075:EQT131087 FAP131075:FAP131087 FKL131075:FKL131087 FUH131075:FUH131087 GED131075:GED131087 GNZ131075:GNZ131087 GXV131075:GXV131087 HHR131075:HHR131087 HRN131075:HRN131087 IBJ131075:IBJ131087 ILF131075:ILF131087 IVB131075:IVB131087 JEX131075:JEX131087 JOT131075:JOT131087 JYP131075:JYP131087 KIL131075:KIL131087 KSH131075:KSH131087 LCD131075:LCD131087 LLZ131075:LLZ131087 LVV131075:LVV131087 MFR131075:MFR131087 MPN131075:MPN131087 MZJ131075:MZJ131087 NJF131075:NJF131087 NTB131075:NTB131087 OCX131075:OCX131087 OMT131075:OMT131087 OWP131075:OWP131087 PGL131075:PGL131087 PQH131075:PQH131087 QAD131075:QAD131087 QJZ131075:QJZ131087 QTV131075:QTV131087 RDR131075:RDR131087 RNN131075:RNN131087 RXJ131075:RXJ131087 SHF131075:SHF131087 SRB131075:SRB131087 TAX131075:TAX131087 TKT131075:TKT131087 TUP131075:TUP131087 UEL131075:UEL131087 UOH131075:UOH131087 UYD131075:UYD131087 VHZ131075:VHZ131087 VRV131075:VRV131087 WBR131075:WBR131087 WLN131075:WLN131087 WVJ131075:WVJ131087 B196611:B196623 IX196611:IX196623 ST196611:ST196623 ACP196611:ACP196623 AML196611:AML196623 AWH196611:AWH196623 BGD196611:BGD196623 BPZ196611:BPZ196623 BZV196611:BZV196623 CJR196611:CJR196623 CTN196611:CTN196623 DDJ196611:DDJ196623 DNF196611:DNF196623 DXB196611:DXB196623 EGX196611:EGX196623 EQT196611:EQT196623 FAP196611:FAP196623 FKL196611:FKL196623 FUH196611:FUH196623 GED196611:GED196623 GNZ196611:GNZ196623 GXV196611:GXV196623 HHR196611:HHR196623 HRN196611:HRN196623 IBJ196611:IBJ196623 ILF196611:ILF196623 IVB196611:IVB196623 JEX196611:JEX196623 JOT196611:JOT196623 JYP196611:JYP196623 KIL196611:KIL196623 KSH196611:KSH196623 LCD196611:LCD196623 LLZ196611:LLZ196623 LVV196611:LVV196623 MFR196611:MFR196623 MPN196611:MPN196623 MZJ196611:MZJ196623 NJF196611:NJF196623 NTB196611:NTB196623 OCX196611:OCX196623 OMT196611:OMT196623 OWP196611:OWP196623 PGL196611:PGL196623 PQH196611:PQH196623 QAD196611:QAD196623 QJZ196611:QJZ196623 QTV196611:QTV196623 RDR196611:RDR196623 RNN196611:RNN196623 RXJ196611:RXJ196623 SHF196611:SHF196623 SRB196611:SRB196623 TAX196611:TAX196623 TKT196611:TKT196623 TUP196611:TUP196623 UEL196611:UEL196623 UOH196611:UOH196623 UYD196611:UYD196623 VHZ196611:VHZ196623 VRV196611:VRV196623 WBR196611:WBR196623 WLN196611:WLN196623 WVJ196611:WVJ196623 B262147:B262159 IX262147:IX262159 ST262147:ST262159 ACP262147:ACP262159 AML262147:AML262159 AWH262147:AWH262159 BGD262147:BGD262159 BPZ262147:BPZ262159 BZV262147:BZV262159 CJR262147:CJR262159 CTN262147:CTN262159 DDJ262147:DDJ262159 DNF262147:DNF262159 DXB262147:DXB262159 EGX262147:EGX262159 EQT262147:EQT262159 FAP262147:FAP262159 FKL262147:FKL262159 FUH262147:FUH262159 GED262147:GED262159 GNZ262147:GNZ262159 GXV262147:GXV262159 HHR262147:HHR262159 HRN262147:HRN262159 IBJ262147:IBJ262159 ILF262147:ILF262159 IVB262147:IVB262159 JEX262147:JEX262159 JOT262147:JOT262159 JYP262147:JYP262159 KIL262147:KIL262159 KSH262147:KSH262159 LCD262147:LCD262159 LLZ262147:LLZ262159 LVV262147:LVV262159 MFR262147:MFR262159 MPN262147:MPN262159 MZJ262147:MZJ262159 NJF262147:NJF262159 NTB262147:NTB262159 OCX262147:OCX262159 OMT262147:OMT262159 OWP262147:OWP262159 PGL262147:PGL262159 PQH262147:PQH262159 QAD262147:QAD262159 QJZ262147:QJZ262159 QTV262147:QTV262159 RDR262147:RDR262159 RNN262147:RNN262159 RXJ262147:RXJ262159 SHF262147:SHF262159 SRB262147:SRB262159 TAX262147:TAX262159 TKT262147:TKT262159 TUP262147:TUP262159 UEL262147:UEL262159 UOH262147:UOH262159 UYD262147:UYD262159 VHZ262147:VHZ262159 VRV262147:VRV262159 WBR262147:WBR262159 WLN262147:WLN262159 WVJ262147:WVJ262159 B327683:B327695 IX327683:IX327695 ST327683:ST327695 ACP327683:ACP327695 AML327683:AML327695 AWH327683:AWH327695 BGD327683:BGD327695 BPZ327683:BPZ327695 BZV327683:BZV327695 CJR327683:CJR327695 CTN327683:CTN327695 DDJ327683:DDJ327695 DNF327683:DNF327695 DXB327683:DXB327695 EGX327683:EGX327695 EQT327683:EQT327695 FAP327683:FAP327695 FKL327683:FKL327695 FUH327683:FUH327695 GED327683:GED327695 GNZ327683:GNZ327695 GXV327683:GXV327695 HHR327683:HHR327695 HRN327683:HRN327695 IBJ327683:IBJ327695 ILF327683:ILF327695 IVB327683:IVB327695 JEX327683:JEX327695 JOT327683:JOT327695 JYP327683:JYP327695 KIL327683:KIL327695 KSH327683:KSH327695 LCD327683:LCD327695 LLZ327683:LLZ327695 LVV327683:LVV327695 MFR327683:MFR327695 MPN327683:MPN327695 MZJ327683:MZJ327695 NJF327683:NJF327695 NTB327683:NTB327695 OCX327683:OCX327695 OMT327683:OMT327695 OWP327683:OWP327695 PGL327683:PGL327695 PQH327683:PQH327695 QAD327683:QAD327695 QJZ327683:QJZ327695 QTV327683:QTV327695 RDR327683:RDR327695 RNN327683:RNN327695 RXJ327683:RXJ327695 SHF327683:SHF327695 SRB327683:SRB327695 TAX327683:TAX327695 TKT327683:TKT327695 TUP327683:TUP327695 UEL327683:UEL327695 UOH327683:UOH327695 UYD327683:UYD327695 VHZ327683:VHZ327695 VRV327683:VRV327695 WBR327683:WBR327695 WLN327683:WLN327695 WVJ327683:WVJ327695 B393219:B393231 IX393219:IX393231 ST393219:ST393231 ACP393219:ACP393231 AML393219:AML393231 AWH393219:AWH393231 BGD393219:BGD393231 BPZ393219:BPZ393231 BZV393219:BZV393231 CJR393219:CJR393231 CTN393219:CTN393231 DDJ393219:DDJ393231 DNF393219:DNF393231 DXB393219:DXB393231 EGX393219:EGX393231 EQT393219:EQT393231 FAP393219:FAP393231 FKL393219:FKL393231 FUH393219:FUH393231 GED393219:GED393231 GNZ393219:GNZ393231 GXV393219:GXV393231 HHR393219:HHR393231 HRN393219:HRN393231 IBJ393219:IBJ393231 ILF393219:ILF393231 IVB393219:IVB393231 JEX393219:JEX393231 JOT393219:JOT393231 JYP393219:JYP393231 KIL393219:KIL393231 KSH393219:KSH393231 LCD393219:LCD393231 LLZ393219:LLZ393231 LVV393219:LVV393231 MFR393219:MFR393231 MPN393219:MPN393231 MZJ393219:MZJ393231 NJF393219:NJF393231 NTB393219:NTB393231 OCX393219:OCX393231 OMT393219:OMT393231 OWP393219:OWP393231 PGL393219:PGL393231 PQH393219:PQH393231 QAD393219:QAD393231 QJZ393219:QJZ393231 QTV393219:QTV393231 RDR393219:RDR393231 RNN393219:RNN393231 RXJ393219:RXJ393231 SHF393219:SHF393231 SRB393219:SRB393231 TAX393219:TAX393231 TKT393219:TKT393231 TUP393219:TUP393231 UEL393219:UEL393231 UOH393219:UOH393231 UYD393219:UYD393231 VHZ393219:VHZ393231 VRV393219:VRV393231 WBR393219:WBR393231 WLN393219:WLN393231 WVJ393219:WVJ393231 B458755:B458767 IX458755:IX458767 ST458755:ST458767 ACP458755:ACP458767 AML458755:AML458767 AWH458755:AWH458767 BGD458755:BGD458767 BPZ458755:BPZ458767 BZV458755:BZV458767 CJR458755:CJR458767 CTN458755:CTN458767 DDJ458755:DDJ458767 DNF458755:DNF458767 DXB458755:DXB458767 EGX458755:EGX458767 EQT458755:EQT458767 FAP458755:FAP458767 FKL458755:FKL458767 FUH458755:FUH458767 GED458755:GED458767 GNZ458755:GNZ458767 GXV458755:GXV458767 HHR458755:HHR458767 HRN458755:HRN458767 IBJ458755:IBJ458767 ILF458755:ILF458767 IVB458755:IVB458767 JEX458755:JEX458767 JOT458755:JOT458767 JYP458755:JYP458767 KIL458755:KIL458767 KSH458755:KSH458767 LCD458755:LCD458767 LLZ458755:LLZ458767 LVV458755:LVV458767 MFR458755:MFR458767 MPN458755:MPN458767 MZJ458755:MZJ458767 NJF458755:NJF458767 NTB458755:NTB458767 OCX458755:OCX458767 OMT458755:OMT458767 OWP458755:OWP458767 PGL458755:PGL458767 PQH458755:PQH458767 QAD458755:QAD458767 QJZ458755:QJZ458767 QTV458755:QTV458767 RDR458755:RDR458767 RNN458755:RNN458767 RXJ458755:RXJ458767 SHF458755:SHF458767 SRB458755:SRB458767 TAX458755:TAX458767 TKT458755:TKT458767 TUP458755:TUP458767 UEL458755:UEL458767 UOH458755:UOH458767 UYD458755:UYD458767 VHZ458755:VHZ458767 VRV458755:VRV458767 WBR458755:WBR458767 WLN458755:WLN458767 WVJ458755:WVJ458767 B524291:B524303 IX524291:IX524303 ST524291:ST524303 ACP524291:ACP524303 AML524291:AML524303 AWH524291:AWH524303 BGD524291:BGD524303 BPZ524291:BPZ524303 BZV524291:BZV524303 CJR524291:CJR524303 CTN524291:CTN524303 DDJ524291:DDJ524303 DNF524291:DNF524303 DXB524291:DXB524303 EGX524291:EGX524303 EQT524291:EQT524303 FAP524291:FAP524303 FKL524291:FKL524303 FUH524291:FUH524303 GED524291:GED524303 GNZ524291:GNZ524303 GXV524291:GXV524303 HHR524291:HHR524303 HRN524291:HRN524303 IBJ524291:IBJ524303 ILF524291:ILF524303 IVB524291:IVB524303 JEX524291:JEX524303 JOT524291:JOT524303 JYP524291:JYP524303 KIL524291:KIL524303 KSH524291:KSH524303 LCD524291:LCD524303 LLZ524291:LLZ524303 LVV524291:LVV524303 MFR524291:MFR524303 MPN524291:MPN524303 MZJ524291:MZJ524303 NJF524291:NJF524303 NTB524291:NTB524303 OCX524291:OCX524303 OMT524291:OMT524303 OWP524291:OWP524303 PGL524291:PGL524303 PQH524291:PQH524303 QAD524291:QAD524303 QJZ524291:QJZ524303 QTV524291:QTV524303 RDR524291:RDR524303 RNN524291:RNN524303 RXJ524291:RXJ524303 SHF524291:SHF524303 SRB524291:SRB524303 TAX524291:TAX524303 TKT524291:TKT524303 TUP524291:TUP524303 UEL524291:UEL524303 UOH524291:UOH524303 UYD524291:UYD524303 VHZ524291:VHZ524303 VRV524291:VRV524303 WBR524291:WBR524303 WLN524291:WLN524303 WVJ524291:WVJ524303 B589827:B589839 IX589827:IX589839 ST589827:ST589839 ACP589827:ACP589839 AML589827:AML589839 AWH589827:AWH589839 BGD589827:BGD589839 BPZ589827:BPZ589839 BZV589827:BZV589839 CJR589827:CJR589839 CTN589827:CTN589839 DDJ589827:DDJ589839 DNF589827:DNF589839 DXB589827:DXB589839 EGX589827:EGX589839 EQT589827:EQT589839 FAP589827:FAP589839 FKL589827:FKL589839 FUH589827:FUH589839 GED589827:GED589839 GNZ589827:GNZ589839 GXV589827:GXV589839 HHR589827:HHR589839 HRN589827:HRN589839 IBJ589827:IBJ589839 ILF589827:ILF589839 IVB589827:IVB589839 JEX589827:JEX589839 JOT589827:JOT589839 JYP589827:JYP589839 KIL589827:KIL589839 KSH589827:KSH589839 LCD589827:LCD589839 LLZ589827:LLZ589839 LVV589827:LVV589839 MFR589827:MFR589839 MPN589827:MPN589839 MZJ589827:MZJ589839 NJF589827:NJF589839 NTB589827:NTB589839 OCX589827:OCX589839 OMT589827:OMT589839 OWP589827:OWP589839 PGL589827:PGL589839 PQH589827:PQH589839 QAD589827:QAD589839 QJZ589827:QJZ589839 QTV589827:QTV589839 RDR589827:RDR589839 RNN589827:RNN589839 RXJ589827:RXJ589839 SHF589827:SHF589839 SRB589827:SRB589839 TAX589827:TAX589839 TKT589827:TKT589839 TUP589827:TUP589839 UEL589827:UEL589839 UOH589827:UOH589839 UYD589827:UYD589839 VHZ589827:VHZ589839 VRV589827:VRV589839 WBR589827:WBR589839 WLN589827:WLN589839 WVJ589827:WVJ589839 B655363:B655375 IX655363:IX655375 ST655363:ST655375 ACP655363:ACP655375 AML655363:AML655375 AWH655363:AWH655375 BGD655363:BGD655375 BPZ655363:BPZ655375 BZV655363:BZV655375 CJR655363:CJR655375 CTN655363:CTN655375 DDJ655363:DDJ655375 DNF655363:DNF655375 DXB655363:DXB655375 EGX655363:EGX655375 EQT655363:EQT655375 FAP655363:FAP655375 FKL655363:FKL655375 FUH655363:FUH655375 GED655363:GED655375 GNZ655363:GNZ655375 GXV655363:GXV655375 HHR655363:HHR655375 HRN655363:HRN655375 IBJ655363:IBJ655375 ILF655363:ILF655375 IVB655363:IVB655375 JEX655363:JEX655375 JOT655363:JOT655375 JYP655363:JYP655375 KIL655363:KIL655375 KSH655363:KSH655375 LCD655363:LCD655375 LLZ655363:LLZ655375 LVV655363:LVV655375 MFR655363:MFR655375 MPN655363:MPN655375 MZJ655363:MZJ655375 NJF655363:NJF655375 NTB655363:NTB655375 OCX655363:OCX655375 OMT655363:OMT655375 OWP655363:OWP655375 PGL655363:PGL655375 PQH655363:PQH655375 QAD655363:QAD655375 QJZ655363:QJZ655375 QTV655363:QTV655375 RDR655363:RDR655375 RNN655363:RNN655375 RXJ655363:RXJ655375 SHF655363:SHF655375 SRB655363:SRB655375 TAX655363:TAX655375 TKT655363:TKT655375 TUP655363:TUP655375 UEL655363:UEL655375 UOH655363:UOH655375 UYD655363:UYD655375 VHZ655363:VHZ655375 VRV655363:VRV655375 WBR655363:WBR655375 WLN655363:WLN655375 WVJ655363:WVJ655375 B720899:B720911 IX720899:IX720911 ST720899:ST720911 ACP720899:ACP720911 AML720899:AML720911 AWH720899:AWH720911 BGD720899:BGD720911 BPZ720899:BPZ720911 BZV720899:BZV720911 CJR720899:CJR720911 CTN720899:CTN720911 DDJ720899:DDJ720911 DNF720899:DNF720911 DXB720899:DXB720911 EGX720899:EGX720911 EQT720899:EQT720911 FAP720899:FAP720911 FKL720899:FKL720911 FUH720899:FUH720911 GED720899:GED720911 GNZ720899:GNZ720911 GXV720899:GXV720911 HHR720899:HHR720911 HRN720899:HRN720911 IBJ720899:IBJ720911 ILF720899:ILF720911 IVB720899:IVB720911 JEX720899:JEX720911 JOT720899:JOT720911 JYP720899:JYP720911 KIL720899:KIL720911 KSH720899:KSH720911 LCD720899:LCD720911 LLZ720899:LLZ720911 LVV720899:LVV720911 MFR720899:MFR720911 MPN720899:MPN720911 MZJ720899:MZJ720911 NJF720899:NJF720911 NTB720899:NTB720911 OCX720899:OCX720911 OMT720899:OMT720911 OWP720899:OWP720911 PGL720899:PGL720911 PQH720899:PQH720911 QAD720899:QAD720911 QJZ720899:QJZ720911 QTV720899:QTV720911 RDR720899:RDR720911 RNN720899:RNN720911 RXJ720899:RXJ720911 SHF720899:SHF720911 SRB720899:SRB720911 TAX720899:TAX720911 TKT720899:TKT720911 TUP720899:TUP720911 UEL720899:UEL720911 UOH720899:UOH720911 UYD720899:UYD720911 VHZ720899:VHZ720911 VRV720899:VRV720911 WBR720899:WBR720911 WLN720899:WLN720911 WVJ720899:WVJ720911 B786435:B786447 IX786435:IX786447 ST786435:ST786447 ACP786435:ACP786447 AML786435:AML786447 AWH786435:AWH786447 BGD786435:BGD786447 BPZ786435:BPZ786447 BZV786435:BZV786447 CJR786435:CJR786447 CTN786435:CTN786447 DDJ786435:DDJ786447 DNF786435:DNF786447 DXB786435:DXB786447 EGX786435:EGX786447 EQT786435:EQT786447 FAP786435:FAP786447 FKL786435:FKL786447 FUH786435:FUH786447 GED786435:GED786447 GNZ786435:GNZ786447 GXV786435:GXV786447 HHR786435:HHR786447 HRN786435:HRN786447 IBJ786435:IBJ786447 ILF786435:ILF786447 IVB786435:IVB786447 JEX786435:JEX786447 JOT786435:JOT786447 JYP786435:JYP786447 KIL786435:KIL786447 KSH786435:KSH786447 LCD786435:LCD786447 LLZ786435:LLZ786447 LVV786435:LVV786447 MFR786435:MFR786447 MPN786435:MPN786447 MZJ786435:MZJ786447 NJF786435:NJF786447 NTB786435:NTB786447 OCX786435:OCX786447 OMT786435:OMT786447 OWP786435:OWP786447 PGL786435:PGL786447 PQH786435:PQH786447 QAD786435:QAD786447 QJZ786435:QJZ786447 QTV786435:QTV786447 RDR786435:RDR786447 RNN786435:RNN786447 RXJ786435:RXJ786447 SHF786435:SHF786447 SRB786435:SRB786447 TAX786435:TAX786447 TKT786435:TKT786447 TUP786435:TUP786447 UEL786435:UEL786447 UOH786435:UOH786447 UYD786435:UYD786447 VHZ786435:VHZ786447 VRV786435:VRV786447 WBR786435:WBR786447 WLN786435:WLN786447 WVJ786435:WVJ786447 B851971:B851983 IX851971:IX851983 ST851971:ST851983 ACP851971:ACP851983 AML851971:AML851983 AWH851971:AWH851983 BGD851971:BGD851983 BPZ851971:BPZ851983 BZV851971:BZV851983 CJR851971:CJR851983 CTN851971:CTN851983 DDJ851971:DDJ851983 DNF851971:DNF851983 DXB851971:DXB851983 EGX851971:EGX851983 EQT851971:EQT851983 FAP851971:FAP851983 FKL851971:FKL851983 FUH851971:FUH851983 GED851971:GED851983 GNZ851971:GNZ851983 GXV851971:GXV851983 HHR851971:HHR851983 HRN851971:HRN851983 IBJ851971:IBJ851983 ILF851971:ILF851983 IVB851971:IVB851983 JEX851971:JEX851983 JOT851971:JOT851983 JYP851971:JYP851983 KIL851971:KIL851983 KSH851971:KSH851983 LCD851971:LCD851983 LLZ851971:LLZ851983 LVV851971:LVV851983 MFR851971:MFR851983 MPN851971:MPN851983 MZJ851971:MZJ851983 NJF851971:NJF851983 NTB851971:NTB851983 OCX851971:OCX851983 OMT851971:OMT851983 OWP851971:OWP851983 PGL851971:PGL851983 PQH851971:PQH851983 QAD851971:QAD851983 QJZ851971:QJZ851983 QTV851971:QTV851983 RDR851971:RDR851983 RNN851971:RNN851983 RXJ851971:RXJ851983 SHF851971:SHF851983 SRB851971:SRB851983 TAX851971:TAX851983 TKT851971:TKT851983 TUP851971:TUP851983 UEL851971:UEL851983 UOH851971:UOH851983 UYD851971:UYD851983 VHZ851971:VHZ851983 VRV851971:VRV851983 WBR851971:WBR851983 WLN851971:WLN851983 WVJ851971:WVJ851983 B917507:B917519 IX917507:IX917519 ST917507:ST917519 ACP917507:ACP917519 AML917507:AML917519 AWH917507:AWH917519 BGD917507:BGD917519 BPZ917507:BPZ917519 BZV917507:BZV917519 CJR917507:CJR917519 CTN917507:CTN917519 DDJ917507:DDJ917519 DNF917507:DNF917519 DXB917507:DXB917519 EGX917507:EGX917519 EQT917507:EQT917519 FAP917507:FAP917519 FKL917507:FKL917519 FUH917507:FUH917519 GED917507:GED917519 GNZ917507:GNZ917519 GXV917507:GXV917519 HHR917507:HHR917519 HRN917507:HRN917519 IBJ917507:IBJ917519 ILF917507:ILF917519 IVB917507:IVB917519 JEX917507:JEX917519 JOT917507:JOT917519 JYP917507:JYP917519 KIL917507:KIL917519 KSH917507:KSH917519 LCD917507:LCD917519 LLZ917507:LLZ917519 LVV917507:LVV917519 MFR917507:MFR917519 MPN917507:MPN917519 MZJ917507:MZJ917519 NJF917507:NJF917519 NTB917507:NTB917519 OCX917507:OCX917519 OMT917507:OMT917519 OWP917507:OWP917519 PGL917507:PGL917519 PQH917507:PQH917519 QAD917507:QAD917519 QJZ917507:QJZ917519 QTV917507:QTV917519 RDR917507:RDR917519 RNN917507:RNN917519 RXJ917507:RXJ917519 SHF917507:SHF917519 SRB917507:SRB917519 TAX917507:TAX917519 TKT917507:TKT917519 TUP917507:TUP917519 UEL917507:UEL917519 UOH917507:UOH917519 UYD917507:UYD917519 VHZ917507:VHZ917519 VRV917507:VRV917519 WBR917507:WBR917519 WLN917507:WLN917519 WVJ917507:WVJ917519 B983043:B983055 IX983043:IX983055 ST983043:ST983055 ACP983043:ACP983055 AML983043:AML983055 AWH983043:AWH983055 BGD983043:BGD983055 BPZ983043:BPZ983055 BZV983043:BZV983055 CJR983043:CJR983055 CTN983043:CTN983055 DDJ983043:DDJ983055 DNF983043:DNF983055 DXB983043:DXB983055 EGX983043:EGX983055 EQT983043:EQT983055 FAP983043:FAP983055 FKL983043:FKL983055 FUH983043:FUH983055 GED983043:GED983055 GNZ983043:GNZ983055 GXV983043:GXV983055 HHR983043:HHR983055 HRN983043:HRN983055 IBJ983043:IBJ983055 ILF983043:ILF983055 IVB983043:IVB983055 JEX983043:JEX983055 JOT983043:JOT983055 JYP983043:JYP983055 KIL983043:KIL983055 KSH983043:KSH983055 LCD983043:LCD983055 LLZ983043:LLZ983055 LVV983043:LVV983055 MFR983043:MFR983055 MPN983043:MPN983055 MZJ983043:MZJ983055 NJF983043:NJF983055 NTB983043:NTB983055 OCX983043:OCX983055 OMT983043:OMT983055 OWP983043:OWP983055 PGL983043:PGL983055 PQH983043:PQH983055 QAD983043:QAD983055 QJZ983043:QJZ983055 QTV983043:QTV983055 RDR983043:RDR983055 RNN983043:RNN983055 RXJ983043:RXJ983055 SHF983043:SHF983055 SRB983043:SRB983055 TAX983043:TAX983055 TKT983043:TKT983055 TUP983043:TUP983055 UEL983043:UEL983055 UOH983043:UOH983055 UYD983043:UYD983055 VHZ983043:VHZ983055 VRV983043:VRV983055 WBR983043:WBR983055 WLN983043:WLN983055 WVJ983043:WVJ983055 WVJ983060:WVJ983072 IX20:IX32 ST20:ST32 ACP20:ACP32 AML20:AML32 AWH20:AWH32 BGD20:BGD32 BPZ20:BPZ32 BZV20:BZV32 CJR20:CJR32 CTN20:CTN32 DDJ20:DDJ32 DNF20:DNF32 DXB20:DXB32 EGX20:EGX32 EQT20:EQT32 FAP20:FAP32 FKL20:FKL32 FUH20:FUH32 GED20:GED32 GNZ20:GNZ32 GXV20:GXV32 HHR20:HHR32 HRN20:HRN32 IBJ20:IBJ32 ILF20:ILF32 IVB20:IVB32 JEX20:JEX32 JOT20:JOT32 JYP20:JYP32 KIL20:KIL32 KSH20:KSH32 LCD20:LCD32 LLZ20:LLZ32 LVV20:LVV32 MFR20:MFR32 MPN20:MPN32 MZJ20:MZJ32 NJF20:NJF32 NTB20:NTB32 OCX20:OCX32 OMT20:OMT32 OWP20:OWP32 PGL20:PGL32 PQH20:PQH32 QAD20:QAD32 QJZ20:QJZ32 QTV20:QTV32 RDR20:RDR32 RNN20:RNN32 RXJ20:RXJ32 SHF20:SHF32 SRB20:SRB32 TAX20:TAX32 TKT20:TKT32 TUP20:TUP32 UEL20:UEL32 UOH20:UOH32 UYD20:UYD32 VHZ20:VHZ32 VRV20:VRV32 WBR20:WBR32 WLN20:WLN32 WVJ20:WVJ32 B65556:B65568 IX65556:IX65568 ST65556:ST65568 ACP65556:ACP65568 AML65556:AML65568 AWH65556:AWH65568 BGD65556:BGD65568 BPZ65556:BPZ65568 BZV65556:BZV65568 CJR65556:CJR65568 CTN65556:CTN65568 DDJ65556:DDJ65568 DNF65556:DNF65568 DXB65556:DXB65568 EGX65556:EGX65568 EQT65556:EQT65568 FAP65556:FAP65568 FKL65556:FKL65568 FUH65556:FUH65568 GED65556:GED65568 GNZ65556:GNZ65568 GXV65556:GXV65568 HHR65556:HHR65568 HRN65556:HRN65568 IBJ65556:IBJ65568 ILF65556:ILF65568 IVB65556:IVB65568 JEX65556:JEX65568 JOT65556:JOT65568 JYP65556:JYP65568 KIL65556:KIL65568 KSH65556:KSH65568 LCD65556:LCD65568 LLZ65556:LLZ65568 LVV65556:LVV65568 MFR65556:MFR65568 MPN65556:MPN65568 MZJ65556:MZJ65568 NJF65556:NJF65568 NTB65556:NTB65568 OCX65556:OCX65568 OMT65556:OMT65568 OWP65556:OWP65568 PGL65556:PGL65568 PQH65556:PQH65568 QAD65556:QAD65568 QJZ65556:QJZ65568 QTV65556:QTV65568 RDR65556:RDR65568 RNN65556:RNN65568 RXJ65556:RXJ65568 SHF65556:SHF65568 SRB65556:SRB65568 TAX65556:TAX65568 TKT65556:TKT65568 TUP65556:TUP65568 UEL65556:UEL65568 UOH65556:UOH65568 UYD65556:UYD65568 VHZ65556:VHZ65568 VRV65556:VRV65568 WBR65556:WBR65568 WLN65556:WLN65568 WVJ65556:WVJ65568 B131092:B131104 IX131092:IX131104 ST131092:ST131104 ACP131092:ACP131104 AML131092:AML131104 AWH131092:AWH131104 BGD131092:BGD131104 BPZ131092:BPZ131104 BZV131092:BZV131104 CJR131092:CJR131104 CTN131092:CTN131104 DDJ131092:DDJ131104 DNF131092:DNF131104 DXB131092:DXB131104 EGX131092:EGX131104 EQT131092:EQT131104 FAP131092:FAP131104 FKL131092:FKL131104 FUH131092:FUH131104 GED131092:GED131104 GNZ131092:GNZ131104 GXV131092:GXV131104 HHR131092:HHR131104 HRN131092:HRN131104 IBJ131092:IBJ131104 ILF131092:ILF131104 IVB131092:IVB131104 JEX131092:JEX131104 JOT131092:JOT131104 JYP131092:JYP131104 KIL131092:KIL131104 KSH131092:KSH131104 LCD131092:LCD131104 LLZ131092:LLZ131104 LVV131092:LVV131104 MFR131092:MFR131104 MPN131092:MPN131104 MZJ131092:MZJ131104 NJF131092:NJF131104 NTB131092:NTB131104 OCX131092:OCX131104 OMT131092:OMT131104 OWP131092:OWP131104 PGL131092:PGL131104 PQH131092:PQH131104 QAD131092:QAD131104 QJZ131092:QJZ131104 QTV131092:QTV131104 RDR131092:RDR131104 RNN131092:RNN131104 RXJ131092:RXJ131104 SHF131092:SHF131104 SRB131092:SRB131104 TAX131092:TAX131104 TKT131092:TKT131104 TUP131092:TUP131104 UEL131092:UEL131104 UOH131092:UOH131104 UYD131092:UYD131104 VHZ131092:VHZ131104 VRV131092:VRV131104 WBR131092:WBR131104 WLN131092:WLN131104 WVJ131092:WVJ131104 B196628:B196640 IX196628:IX196640 ST196628:ST196640 ACP196628:ACP196640 AML196628:AML196640 AWH196628:AWH196640 BGD196628:BGD196640 BPZ196628:BPZ196640 BZV196628:BZV196640 CJR196628:CJR196640 CTN196628:CTN196640 DDJ196628:DDJ196640 DNF196628:DNF196640 DXB196628:DXB196640 EGX196628:EGX196640 EQT196628:EQT196640 FAP196628:FAP196640 FKL196628:FKL196640 FUH196628:FUH196640 GED196628:GED196640 GNZ196628:GNZ196640 GXV196628:GXV196640 HHR196628:HHR196640 HRN196628:HRN196640 IBJ196628:IBJ196640 ILF196628:ILF196640 IVB196628:IVB196640 JEX196628:JEX196640 JOT196628:JOT196640 JYP196628:JYP196640 KIL196628:KIL196640 KSH196628:KSH196640 LCD196628:LCD196640 LLZ196628:LLZ196640 LVV196628:LVV196640 MFR196628:MFR196640 MPN196628:MPN196640 MZJ196628:MZJ196640 NJF196628:NJF196640 NTB196628:NTB196640 OCX196628:OCX196640 OMT196628:OMT196640 OWP196628:OWP196640 PGL196628:PGL196640 PQH196628:PQH196640 QAD196628:QAD196640 QJZ196628:QJZ196640 QTV196628:QTV196640 RDR196628:RDR196640 RNN196628:RNN196640 RXJ196628:RXJ196640 SHF196628:SHF196640 SRB196628:SRB196640 TAX196628:TAX196640 TKT196628:TKT196640 TUP196628:TUP196640 UEL196628:UEL196640 UOH196628:UOH196640 UYD196628:UYD196640 VHZ196628:VHZ196640 VRV196628:VRV196640 WBR196628:WBR196640 WLN196628:WLN196640 WVJ196628:WVJ196640 B262164:B262176 IX262164:IX262176 ST262164:ST262176 ACP262164:ACP262176 AML262164:AML262176 AWH262164:AWH262176 BGD262164:BGD262176 BPZ262164:BPZ262176 BZV262164:BZV262176 CJR262164:CJR262176 CTN262164:CTN262176 DDJ262164:DDJ262176 DNF262164:DNF262176 DXB262164:DXB262176 EGX262164:EGX262176 EQT262164:EQT262176 FAP262164:FAP262176 FKL262164:FKL262176 FUH262164:FUH262176 GED262164:GED262176 GNZ262164:GNZ262176 GXV262164:GXV262176 HHR262164:HHR262176 HRN262164:HRN262176 IBJ262164:IBJ262176 ILF262164:ILF262176 IVB262164:IVB262176 JEX262164:JEX262176 JOT262164:JOT262176 JYP262164:JYP262176 KIL262164:KIL262176 KSH262164:KSH262176 LCD262164:LCD262176 LLZ262164:LLZ262176 LVV262164:LVV262176 MFR262164:MFR262176 MPN262164:MPN262176 MZJ262164:MZJ262176 NJF262164:NJF262176 NTB262164:NTB262176 OCX262164:OCX262176 OMT262164:OMT262176 OWP262164:OWP262176 PGL262164:PGL262176 PQH262164:PQH262176 QAD262164:QAD262176 QJZ262164:QJZ262176 QTV262164:QTV262176 RDR262164:RDR262176 RNN262164:RNN262176 RXJ262164:RXJ262176 SHF262164:SHF262176 SRB262164:SRB262176 TAX262164:TAX262176 TKT262164:TKT262176 TUP262164:TUP262176 UEL262164:UEL262176 UOH262164:UOH262176 UYD262164:UYD262176 VHZ262164:VHZ262176 VRV262164:VRV262176 WBR262164:WBR262176 WLN262164:WLN262176 WVJ262164:WVJ262176 B327700:B327712 IX327700:IX327712 ST327700:ST327712 ACP327700:ACP327712 AML327700:AML327712 AWH327700:AWH327712 BGD327700:BGD327712 BPZ327700:BPZ327712 BZV327700:BZV327712 CJR327700:CJR327712 CTN327700:CTN327712 DDJ327700:DDJ327712 DNF327700:DNF327712 DXB327700:DXB327712 EGX327700:EGX327712 EQT327700:EQT327712 FAP327700:FAP327712 FKL327700:FKL327712 FUH327700:FUH327712 GED327700:GED327712 GNZ327700:GNZ327712 GXV327700:GXV327712 HHR327700:HHR327712 HRN327700:HRN327712 IBJ327700:IBJ327712 ILF327700:ILF327712 IVB327700:IVB327712 JEX327700:JEX327712 JOT327700:JOT327712 JYP327700:JYP327712 KIL327700:KIL327712 KSH327700:KSH327712 LCD327700:LCD327712 LLZ327700:LLZ327712 LVV327700:LVV327712 MFR327700:MFR327712 MPN327700:MPN327712 MZJ327700:MZJ327712 NJF327700:NJF327712 NTB327700:NTB327712 OCX327700:OCX327712 OMT327700:OMT327712 OWP327700:OWP327712 PGL327700:PGL327712 PQH327700:PQH327712 QAD327700:QAD327712 QJZ327700:QJZ327712 QTV327700:QTV327712 RDR327700:RDR327712 RNN327700:RNN327712 RXJ327700:RXJ327712 SHF327700:SHF327712 SRB327700:SRB327712 TAX327700:TAX327712 TKT327700:TKT327712 TUP327700:TUP327712 UEL327700:UEL327712 UOH327700:UOH327712 UYD327700:UYD327712 VHZ327700:VHZ327712 VRV327700:VRV327712 WBR327700:WBR327712 WLN327700:WLN327712 WVJ327700:WVJ327712 B393236:B393248 IX393236:IX393248 ST393236:ST393248 ACP393236:ACP393248 AML393236:AML393248 AWH393236:AWH393248 BGD393236:BGD393248 BPZ393236:BPZ393248 BZV393236:BZV393248 CJR393236:CJR393248 CTN393236:CTN393248 DDJ393236:DDJ393248 DNF393236:DNF393248 DXB393236:DXB393248 EGX393236:EGX393248 EQT393236:EQT393248 FAP393236:FAP393248 FKL393236:FKL393248 FUH393236:FUH393248 GED393236:GED393248 GNZ393236:GNZ393248 GXV393236:GXV393248 HHR393236:HHR393248 HRN393236:HRN393248 IBJ393236:IBJ393248 ILF393236:ILF393248 IVB393236:IVB393248 JEX393236:JEX393248 JOT393236:JOT393248 JYP393236:JYP393248 KIL393236:KIL393248 KSH393236:KSH393248 LCD393236:LCD393248 LLZ393236:LLZ393248 LVV393236:LVV393248 MFR393236:MFR393248 MPN393236:MPN393248 MZJ393236:MZJ393248 NJF393236:NJF393248 NTB393236:NTB393248 OCX393236:OCX393248 OMT393236:OMT393248 OWP393236:OWP393248 PGL393236:PGL393248 PQH393236:PQH393248 QAD393236:QAD393248 QJZ393236:QJZ393248 QTV393236:QTV393248 RDR393236:RDR393248 RNN393236:RNN393248 RXJ393236:RXJ393248 SHF393236:SHF393248 SRB393236:SRB393248 TAX393236:TAX393248 TKT393236:TKT393248 TUP393236:TUP393248 UEL393236:UEL393248 UOH393236:UOH393248 UYD393236:UYD393248 VHZ393236:VHZ393248 VRV393236:VRV393248 WBR393236:WBR393248 WLN393236:WLN393248 WVJ393236:WVJ393248 B458772:B458784 IX458772:IX458784 ST458772:ST458784 ACP458772:ACP458784 AML458772:AML458784 AWH458772:AWH458784 BGD458772:BGD458784 BPZ458772:BPZ458784 BZV458772:BZV458784 CJR458772:CJR458784 CTN458772:CTN458784 DDJ458772:DDJ458784 DNF458772:DNF458784 DXB458772:DXB458784 EGX458772:EGX458784 EQT458772:EQT458784 FAP458772:FAP458784 FKL458772:FKL458784 FUH458772:FUH458784 GED458772:GED458784 GNZ458772:GNZ458784 GXV458772:GXV458784 HHR458772:HHR458784 HRN458772:HRN458784 IBJ458772:IBJ458784 ILF458772:ILF458784 IVB458772:IVB458784 JEX458772:JEX458784 JOT458772:JOT458784 JYP458772:JYP458784 KIL458772:KIL458784 KSH458772:KSH458784 LCD458772:LCD458784 LLZ458772:LLZ458784 LVV458772:LVV458784 MFR458772:MFR458784 MPN458772:MPN458784 MZJ458772:MZJ458784 NJF458772:NJF458784 NTB458772:NTB458784 OCX458772:OCX458784 OMT458772:OMT458784 OWP458772:OWP458784 PGL458772:PGL458784 PQH458772:PQH458784 QAD458772:QAD458784 QJZ458772:QJZ458784 QTV458772:QTV458784 RDR458772:RDR458784 RNN458772:RNN458784 RXJ458772:RXJ458784 SHF458772:SHF458784 SRB458772:SRB458784 TAX458772:TAX458784 TKT458772:TKT458784 TUP458772:TUP458784 UEL458772:UEL458784 UOH458772:UOH458784 UYD458772:UYD458784 VHZ458772:VHZ458784 VRV458772:VRV458784 WBR458772:WBR458784 WLN458772:WLN458784 WVJ458772:WVJ458784 B524308:B524320 IX524308:IX524320 ST524308:ST524320 ACP524308:ACP524320 AML524308:AML524320 AWH524308:AWH524320 BGD524308:BGD524320 BPZ524308:BPZ524320 BZV524308:BZV524320 CJR524308:CJR524320 CTN524308:CTN524320 DDJ524308:DDJ524320 DNF524308:DNF524320 DXB524308:DXB524320 EGX524308:EGX524320 EQT524308:EQT524320 FAP524308:FAP524320 FKL524308:FKL524320 FUH524308:FUH524320 GED524308:GED524320 GNZ524308:GNZ524320 GXV524308:GXV524320 HHR524308:HHR524320 HRN524308:HRN524320 IBJ524308:IBJ524320 ILF524308:ILF524320 IVB524308:IVB524320 JEX524308:JEX524320 JOT524308:JOT524320 JYP524308:JYP524320 KIL524308:KIL524320 KSH524308:KSH524320 LCD524308:LCD524320 LLZ524308:LLZ524320 LVV524308:LVV524320 MFR524308:MFR524320 MPN524308:MPN524320 MZJ524308:MZJ524320 NJF524308:NJF524320 NTB524308:NTB524320 OCX524308:OCX524320 OMT524308:OMT524320 OWP524308:OWP524320 PGL524308:PGL524320 PQH524308:PQH524320 QAD524308:QAD524320 QJZ524308:QJZ524320 QTV524308:QTV524320 RDR524308:RDR524320 RNN524308:RNN524320 RXJ524308:RXJ524320 SHF524308:SHF524320 SRB524308:SRB524320 TAX524308:TAX524320 TKT524308:TKT524320 TUP524308:TUP524320 UEL524308:UEL524320 UOH524308:UOH524320 UYD524308:UYD524320 VHZ524308:VHZ524320 VRV524308:VRV524320 WBR524308:WBR524320 WLN524308:WLN524320 WVJ524308:WVJ524320 B589844:B589856 IX589844:IX589856 ST589844:ST589856 ACP589844:ACP589856 AML589844:AML589856 AWH589844:AWH589856 BGD589844:BGD589856 BPZ589844:BPZ589856 BZV589844:BZV589856 CJR589844:CJR589856 CTN589844:CTN589856 DDJ589844:DDJ589856 DNF589844:DNF589856 DXB589844:DXB589856 EGX589844:EGX589856 EQT589844:EQT589856 FAP589844:FAP589856 FKL589844:FKL589856 FUH589844:FUH589856 GED589844:GED589856 GNZ589844:GNZ589856 GXV589844:GXV589856 HHR589844:HHR589856 HRN589844:HRN589856 IBJ589844:IBJ589856 ILF589844:ILF589856 IVB589844:IVB589856 JEX589844:JEX589856 JOT589844:JOT589856 JYP589844:JYP589856 KIL589844:KIL589856 KSH589844:KSH589856 LCD589844:LCD589856 LLZ589844:LLZ589856 LVV589844:LVV589856 MFR589844:MFR589856 MPN589844:MPN589856 MZJ589844:MZJ589856 NJF589844:NJF589856 NTB589844:NTB589856 OCX589844:OCX589856 OMT589844:OMT589856 OWP589844:OWP589856 PGL589844:PGL589856 PQH589844:PQH589856 QAD589844:QAD589856 QJZ589844:QJZ589856 QTV589844:QTV589856 RDR589844:RDR589856 RNN589844:RNN589856 RXJ589844:RXJ589856 SHF589844:SHF589856 SRB589844:SRB589856 TAX589844:TAX589856 TKT589844:TKT589856 TUP589844:TUP589856 UEL589844:UEL589856 UOH589844:UOH589856 UYD589844:UYD589856 VHZ589844:VHZ589856 VRV589844:VRV589856 WBR589844:WBR589856 WLN589844:WLN589856 WVJ589844:WVJ589856 B655380:B655392 IX655380:IX655392 ST655380:ST655392 ACP655380:ACP655392 AML655380:AML655392 AWH655380:AWH655392 BGD655380:BGD655392 BPZ655380:BPZ655392 BZV655380:BZV655392 CJR655380:CJR655392 CTN655380:CTN655392 DDJ655380:DDJ655392 DNF655380:DNF655392 DXB655380:DXB655392 EGX655380:EGX655392 EQT655380:EQT655392 FAP655380:FAP655392 FKL655380:FKL655392 FUH655380:FUH655392 GED655380:GED655392 GNZ655380:GNZ655392 GXV655380:GXV655392 HHR655380:HHR655392 HRN655380:HRN655392 IBJ655380:IBJ655392 ILF655380:ILF655392 IVB655380:IVB655392 JEX655380:JEX655392 JOT655380:JOT655392 JYP655380:JYP655392 KIL655380:KIL655392 KSH655380:KSH655392 LCD655380:LCD655392 LLZ655380:LLZ655392 LVV655380:LVV655392 MFR655380:MFR655392 MPN655380:MPN655392 MZJ655380:MZJ655392 NJF655380:NJF655392 NTB655380:NTB655392 OCX655380:OCX655392 OMT655380:OMT655392 OWP655380:OWP655392 PGL655380:PGL655392 PQH655380:PQH655392 QAD655380:QAD655392 QJZ655380:QJZ655392 QTV655380:QTV655392 RDR655380:RDR655392 RNN655380:RNN655392 RXJ655380:RXJ655392 SHF655380:SHF655392 SRB655380:SRB655392 TAX655380:TAX655392 TKT655380:TKT655392 TUP655380:TUP655392 UEL655380:UEL655392 UOH655380:UOH655392 UYD655380:UYD655392 VHZ655380:VHZ655392 VRV655380:VRV655392 WBR655380:WBR655392 WLN655380:WLN655392 WVJ655380:WVJ655392 B720916:B720928 IX720916:IX720928 ST720916:ST720928 ACP720916:ACP720928 AML720916:AML720928 AWH720916:AWH720928 BGD720916:BGD720928 BPZ720916:BPZ720928 BZV720916:BZV720928 CJR720916:CJR720928 CTN720916:CTN720928 DDJ720916:DDJ720928 DNF720916:DNF720928 DXB720916:DXB720928 EGX720916:EGX720928 EQT720916:EQT720928 FAP720916:FAP720928 FKL720916:FKL720928 FUH720916:FUH720928 GED720916:GED720928 GNZ720916:GNZ720928 GXV720916:GXV720928 HHR720916:HHR720928 HRN720916:HRN720928 IBJ720916:IBJ720928 ILF720916:ILF720928 IVB720916:IVB720928 JEX720916:JEX720928 JOT720916:JOT720928 JYP720916:JYP720928 KIL720916:KIL720928 KSH720916:KSH720928 LCD720916:LCD720928 LLZ720916:LLZ720928 LVV720916:LVV720928 MFR720916:MFR720928 MPN720916:MPN720928 MZJ720916:MZJ720928 NJF720916:NJF720928 NTB720916:NTB720928 OCX720916:OCX720928 OMT720916:OMT720928 OWP720916:OWP720928 PGL720916:PGL720928 PQH720916:PQH720928 QAD720916:QAD720928 QJZ720916:QJZ720928 QTV720916:QTV720928 RDR720916:RDR720928 RNN720916:RNN720928 RXJ720916:RXJ720928 SHF720916:SHF720928 SRB720916:SRB720928 TAX720916:TAX720928 TKT720916:TKT720928 TUP720916:TUP720928 UEL720916:UEL720928 UOH720916:UOH720928 UYD720916:UYD720928 VHZ720916:VHZ720928 VRV720916:VRV720928 WBR720916:WBR720928 WLN720916:WLN720928 WVJ720916:WVJ720928 B786452:B786464 IX786452:IX786464 ST786452:ST786464 ACP786452:ACP786464 AML786452:AML786464 AWH786452:AWH786464 BGD786452:BGD786464 BPZ786452:BPZ786464 BZV786452:BZV786464 CJR786452:CJR786464 CTN786452:CTN786464 DDJ786452:DDJ786464 DNF786452:DNF786464 DXB786452:DXB786464 EGX786452:EGX786464 EQT786452:EQT786464 FAP786452:FAP786464 FKL786452:FKL786464 FUH786452:FUH786464 GED786452:GED786464 GNZ786452:GNZ786464 GXV786452:GXV786464 HHR786452:HHR786464 HRN786452:HRN786464 IBJ786452:IBJ786464 ILF786452:ILF786464 IVB786452:IVB786464 JEX786452:JEX786464 JOT786452:JOT786464 JYP786452:JYP786464 KIL786452:KIL786464 KSH786452:KSH786464 LCD786452:LCD786464 LLZ786452:LLZ786464 LVV786452:LVV786464 MFR786452:MFR786464 MPN786452:MPN786464 MZJ786452:MZJ786464 NJF786452:NJF786464 NTB786452:NTB786464 OCX786452:OCX786464 OMT786452:OMT786464 OWP786452:OWP786464 PGL786452:PGL786464 PQH786452:PQH786464 QAD786452:QAD786464 QJZ786452:QJZ786464 QTV786452:QTV786464 RDR786452:RDR786464 RNN786452:RNN786464 RXJ786452:RXJ786464 SHF786452:SHF786464 SRB786452:SRB786464 TAX786452:TAX786464 TKT786452:TKT786464 TUP786452:TUP786464 UEL786452:UEL786464 UOH786452:UOH786464 UYD786452:UYD786464 VHZ786452:VHZ786464 VRV786452:VRV786464 WBR786452:WBR786464 WLN786452:WLN786464 WVJ786452:WVJ786464 B851988:B852000 IX851988:IX852000 ST851988:ST852000 ACP851988:ACP852000 AML851988:AML852000 AWH851988:AWH852000 BGD851988:BGD852000 BPZ851988:BPZ852000 BZV851988:BZV852000 CJR851988:CJR852000 CTN851988:CTN852000 DDJ851988:DDJ852000 DNF851988:DNF852000 DXB851988:DXB852000 EGX851988:EGX852000 EQT851988:EQT852000 FAP851988:FAP852000 FKL851988:FKL852000 FUH851988:FUH852000 GED851988:GED852000 GNZ851988:GNZ852000 GXV851988:GXV852000 HHR851988:HHR852000 HRN851988:HRN852000 IBJ851988:IBJ852000 ILF851988:ILF852000 IVB851988:IVB852000 JEX851988:JEX852000 JOT851988:JOT852000 JYP851988:JYP852000 KIL851988:KIL852000 KSH851988:KSH852000 LCD851988:LCD852000 LLZ851988:LLZ852000 LVV851988:LVV852000 MFR851988:MFR852000 MPN851988:MPN852000 MZJ851988:MZJ852000 NJF851988:NJF852000 NTB851988:NTB852000 OCX851988:OCX852000 OMT851988:OMT852000 OWP851988:OWP852000 PGL851988:PGL852000 PQH851988:PQH852000 QAD851988:QAD852000 QJZ851988:QJZ852000 QTV851988:QTV852000 RDR851988:RDR852000 RNN851988:RNN852000 RXJ851988:RXJ852000 SHF851988:SHF852000 SRB851988:SRB852000 TAX851988:TAX852000 TKT851988:TKT852000 TUP851988:TUP852000 UEL851988:UEL852000 UOH851988:UOH852000 UYD851988:UYD852000 VHZ851988:VHZ852000 VRV851988:VRV852000 WBR851988:WBR852000 WLN851988:WLN852000 WVJ851988:WVJ852000 B917524:B917536 IX917524:IX917536 ST917524:ST917536 ACP917524:ACP917536 AML917524:AML917536 AWH917524:AWH917536 BGD917524:BGD917536 BPZ917524:BPZ917536 BZV917524:BZV917536 CJR917524:CJR917536 CTN917524:CTN917536 DDJ917524:DDJ917536 DNF917524:DNF917536 DXB917524:DXB917536 EGX917524:EGX917536 EQT917524:EQT917536 FAP917524:FAP917536 FKL917524:FKL917536 FUH917524:FUH917536 GED917524:GED917536 GNZ917524:GNZ917536 GXV917524:GXV917536 HHR917524:HHR917536 HRN917524:HRN917536 IBJ917524:IBJ917536 ILF917524:ILF917536 IVB917524:IVB917536 JEX917524:JEX917536 JOT917524:JOT917536 JYP917524:JYP917536 KIL917524:KIL917536 KSH917524:KSH917536 LCD917524:LCD917536 LLZ917524:LLZ917536 LVV917524:LVV917536 MFR917524:MFR917536 MPN917524:MPN917536 MZJ917524:MZJ917536 NJF917524:NJF917536 NTB917524:NTB917536 OCX917524:OCX917536 OMT917524:OMT917536 OWP917524:OWP917536 PGL917524:PGL917536 PQH917524:PQH917536 QAD917524:QAD917536 QJZ917524:QJZ917536 QTV917524:QTV917536 RDR917524:RDR917536 RNN917524:RNN917536 RXJ917524:RXJ917536 SHF917524:SHF917536 SRB917524:SRB917536 TAX917524:TAX917536 TKT917524:TKT917536 TUP917524:TUP917536 UEL917524:UEL917536 UOH917524:UOH917536 UYD917524:UYD917536 VHZ917524:VHZ917536 VRV917524:VRV917536 WBR917524:WBR917536 WLN917524:WLN917536 WVJ917524:WVJ917536 B983060:B983072 IX983060:IX983072 ST983060:ST983072 ACP983060:ACP983072 AML983060:AML983072 AWH983060:AWH983072 BGD983060:BGD983072 BPZ983060:BPZ983072 BZV983060:BZV983072 CJR983060:CJR983072 CTN983060:CTN983072 DDJ983060:DDJ983072 DNF983060:DNF983072 DXB983060:DXB983072 EGX983060:EGX983072 EQT983060:EQT983072 FAP983060:FAP983072 FKL983060:FKL983072 FUH983060:FUH983072 GED983060:GED983072 GNZ983060:GNZ983072 GXV983060:GXV983072 HHR983060:HHR983072 HRN983060:HRN983072 IBJ983060:IBJ983072 ILF983060:ILF983072 IVB983060:IVB983072 JEX983060:JEX983072 JOT983060:JOT983072 JYP983060:JYP983072 KIL983060:KIL983072 KSH983060:KSH983072 LCD983060:LCD983072 LLZ983060:LLZ983072 LVV983060:LVV983072 MFR983060:MFR983072 MPN983060:MPN983072 MZJ983060:MZJ983072 NJF983060:NJF983072 NTB983060:NTB983072 OCX983060:OCX983072 OMT983060:OMT983072 OWP983060:OWP983072 PGL983060:PGL983072 PQH983060:PQH983072 QAD983060:QAD983072 QJZ983060:QJZ983072 QTV983060:QTV983072 RDR983060:RDR983072 RNN983060:RNN983072 RXJ983060:RXJ983072 SHF983060:SHF983072 SRB983060:SRB983072 TAX983060:TAX983072 TKT983060:TKT983072 TUP983060:TUP983072 UEL983060:UEL983072 UOH983060:UOH983072 UYD983060:UYD983072 VHZ983060:VHZ983072 VRV983060:VRV983072 WBR983060:WBR983072">
      <formula1>B3&lt;=7000</formula1>
    </dataValidation>
    <dataValidation type="whole" errorStyle="warning" allowBlank="1" showInputMessage="1" showErrorMessage="1" error="溫度異常。請確認輸入是否正確。" sqref="C3:C15 C20:C32">
      <formula1>1</formula1>
      <formula2>50</formula2>
    </dataValidation>
    <dataValidation type="whole" errorStyle="warning" allowBlank="1" showInputMessage="1" showErrorMessage="1" error="液位異常。請確認輸入是否正確。" sqref="B24:B27 B7:B10">
      <formula1>0</formula1>
      <formula2>6500</formula2>
    </dataValidation>
    <dataValidation type="whole" errorStyle="warning" allowBlank="1" showInputMessage="1" showErrorMessage="1" error="液位異常。請確認輸入是否正確。" sqref="B11 B28">
      <formula1>0</formula1>
      <formula2>8000</formula2>
    </dataValidation>
    <dataValidation type="whole" errorStyle="warning" allowBlank="1" showInputMessage="1" showErrorMessage="1" error="液位異常。請確認輸入是否正確。" sqref="B12 B29">
      <formula1>0</formula1>
      <formula2>7500</formula2>
    </dataValidation>
    <dataValidation type="whole" errorStyle="warning" allowBlank="1" showInputMessage="1" showErrorMessage="1" error="液位異常。請確認輸入是否正確。" sqref="B13 B30">
      <formula1>0</formula1>
      <formula2>5500</formula2>
    </dataValidation>
    <dataValidation type="whole" errorStyle="warning" allowBlank="1" showInputMessage="1" showErrorMessage="1" error="液位異常。請確認輸入是否正確。" sqref="B14:B15 B31:B32">
      <formula1>0</formula1>
      <formula2>12500</formula2>
    </dataValidation>
    <dataValidation type="decimal" errorStyle="warning" allowBlank="1" showInputMessage="1" showErrorMessage="1" error="液位異常。請確認輸入是否正確。" sqref="B3:B6 B20:B23">
      <formula1>0</formula1>
      <formula2>110</formula2>
    </dataValidation>
  </dataValidations>
  <printOptions horizontalCentered="1" verticalCentered="1"/>
  <pageMargins left="0.70866141732283472" right="0.70866141732283472" top="0.74803149606299213" bottom="0.74803149606299213" header="0.31496062992125984" footer="0.31496062992125984"/>
  <pageSetup paperSize="9" scale="80" orientation="portrait" r:id="rId1"/>
  <drawing r:id="rId2"/>
  <legacyDrawing r:id="rId3"/>
  <controls>
    <mc:AlternateContent xmlns:mc="http://schemas.openxmlformats.org/markup-compatibility/2006">
      <mc:Choice Requires="x14">
        <control shapeId="2910211" r:id="rId4" name="CommandButton2">
          <controlPr autoLine="0" r:id="rId5">
            <anchor moveWithCells="1">
              <from>
                <xdr:col>4</xdr:col>
                <xdr:colOff>106680</xdr:colOff>
                <xdr:row>23</xdr:row>
                <xdr:rowOff>160020</xdr:rowOff>
              </from>
              <to>
                <xdr:col>6</xdr:col>
                <xdr:colOff>91440</xdr:colOff>
                <xdr:row>27</xdr:row>
                <xdr:rowOff>106680</xdr:rowOff>
              </to>
            </anchor>
          </controlPr>
        </control>
      </mc:Choice>
      <mc:Fallback>
        <control shapeId="2910211" r:id="rId4" name="CommandButton2"/>
      </mc:Fallback>
    </mc:AlternateContent>
    <mc:AlternateContent xmlns:mc="http://schemas.openxmlformats.org/markup-compatibility/2006">
      <mc:Choice Requires="x14">
        <control shapeId="2910209" r:id="rId6" name="CommandButton1">
          <controlPr autoLine="0" r:id="rId7">
            <anchor moveWithCells="1">
              <from>
                <xdr:col>4</xdr:col>
                <xdr:colOff>137160</xdr:colOff>
                <xdr:row>11</xdr:row>
                <xdr:rowOff>266700</xdr:rowOff>
              </from>
              <to>
                <xdr:col>6</xdr:col>
                <xdr:colOff>99060</xdr:colOff>
                <xdr:row>16</xdr:row>
                <xdr:rowOff>0</xdr:rowOff>
              </to>
            </anchor>
          </controlPr>
        </control>
      </mc:Choice>
      <mc:Fallback>
        <control shapeId="2910209" r:id="rId6" name="CommandButton1"/>
      </mc:Fallback>
    </mc:AlternateContent>
    <mc:AlternateContent xmlns:mc="http://schemas.openxmlformats.org/markup-compatibility/2006">
      <mc:Choice Requires="x14">
        <control shapeId="2910213" r:id="rId8" name="CommandButton3">
          <controlPr defaultSize="0" autoLine="0" r:id="rId9">
            <anchor moveWithCells="1">
              <from>
                <xdr:col>4</xdr:col>
                <xdr:colOff>838200</xdr:colOff>
                <xdr:row>17</xdr:row>
                <xdr:rowOff>0</xdr:rowOff>
              </from>
              <to>
                <xdr:col>6</xdr:col>
                <xdr:colOff>99060</xdr:colOff>
                <xdr:row>19</xdr:row>
                <xdr:rowOff>175260</xdr:rowOff>
              </to>
            </anchor>
          </controlPr>
        </control>
      </mc:Choice>
      <mc:Fallback>
        <control shapeId="2910213" r:id="rId8"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pageSetUpPr fitToPage="1"/>
  </sheetPr>
  <dimension ref="A1:S88"/>
  <sheetViews>
    <sheetView view="pageBreakPreview" zoomScaleNormal="100" zoomScaleSheetLayoutView="100" workbookViewId="0">
      <selection activeCell="G10" sqref="G10"/>
    </sheetView>
  </sheetViews>
  <sheetFormatPr defaultColWidth="9" defaultRowHeight="15.6"/>
  <cols>
    <col min="1" max="1" width="7.77734375" style="148" customWidth="1"/>
    <col min="2" max="2" width="18.77734375" style="148" customWidth="1"/>
    <col min="3" max="3" width="12.77734375" style="148" customWidth="1"/>
    <col min="4" max="4" width="23.77734375" style="141" customWidth="1"/>
    <col min="5" max="5" width="17.6640625" style="141" customWidth="1"/>
    <col min="6" max="7" width="11.88671875" style="141" customWidth="1"/>
    <col min="8" max="8" width="12.77734375" style="142" bestFit="1" customWidth="1"/>
    <col min="9" max="9" width="8.44140625" style="142" customWidth="1"/>
    <col min="10" max="10" width="17.77734375" style="142" bestFit="1" customWidth="1"/>
    <col min="11" max="11" width="14.33203125" style="142" customWidth="1"/>
    <col min="12" max="12" width="9" style="141"/>
    <col min="13" max="13" width="10.21875" style="141" customWidth="1"/>
    <col min="14" max="14" width="9" style="141"/>
    <col min="15" max="15" width="13.77734375" style="141" bestFit="1" customWidth="1"/>
    <col min="16" max="256" width="9" style="141"/>
    <col min="257" max="257" width="7.33203125" style="141" customWidth="1"/>
    <col min="258" max="258" width="18.77734375" style="141" customWidth="1"/>
    <col min="259" max="259" width="12.77734375" style="141" customWidth="1"/>
    <col min="260" max="260" width="23.109375" style="141" customWidth="1"/>
    <col min="261" max="261" width="17.6640625" style="141" customWidth="1"/>
    <col min="262" max="263" width="11.88671875" style="141" customWidth="1"/>
    <col min="264" max="264" width="12.77734375" style="141" bestFit="1" customWidth="1"/>
    <col min="265" max="265" width="8.44140625" style="141" customWidth="1"/>
    <col min="266" max="266" width="17.77734375" style="141" bestFit="1" customWidth="1"/>
    <col min="267" max="267" width="14.33203125" style="141" customWidth="1"/>
    <col min="268" max="268" width="9" style="141"/>
    <col min="269" max="269" width="10.21875" style="141" customWidth="1"/>
    <col min="270" max="270" width="9" style="141"/>
    <col min="271" max="271" width="13.77734375" style="141" bestFit="1" customWidth="1"/>
    <col min="272" max="512" width="9" style="141"/>
    <col min="513" max="513" width="7.33203125" style="141" customWidth="1"/>
    <col min="514" max="514" width="18.77734375" style="141" customWidth="1"/>
    <col min="515" max="515" width="12.77734375" style="141" customWidth="1"/>
    <col min="516" max="516" width="23.109375" style="141" customWidth="1"/>
    <col min="517" max="517" width="17.6640625" style="141" customWidth="1"/>
    <col min="518" max="519" width="11.88671875" style="141" customWidth="1"/>
    <col min="520" max="520" width="12.77734375" style="141" bestFit="1" customWidth="1"/>
    <col min="521" max="521" width="8.44140625" style="141" customWidth="1"/>
    <col min="522" max="522" width="17.77734375" style="141" bestFit="1" customWidth="1"/>
    <col min="523" max="523" width="14.33203125" style="141" customWidth="1"/>
    <col min="524" max="524" width="9" style="141"/>
    <col min="525" max="525" width="10.21875" style="141" customWidth="1"/>
    <col min="526" max="526" width="9" style="141"/>
    <col min="527" max="527" width="13.77734375" style="141" bestFit="1" customWidth="1"/>
    <col min="528" max="768" width="9" style="141"/>
    <col min="769" max="769" width="7.33203125" style="141" customWidth="1"/>
    <col min="770" max="770" width="18.77734375" style="141" customWidth="1"/>
    <col min="771" max="771" width="12.77734375" style="141" customWidth="1"/>
    <col min="772" max="772" width="23.109375" style="141" customWidth="1"/>
    <col min="773" max="773" width="17.6640625" style="141" customWidth="1"/>
    <col min="774" max="775" width="11.88671875" style="141" customWidth="1"/>
    <col min="776" max="776" width="12.77734375" style="141" bestFit="1" customWidth="1"/>
    <col min="777" max="777" width="8.44140625" style="141" customWidth="1"/>
    <col min="778" max="778" width="17.77734375" style="141" bestFit="1" customWidth="1"/>
    <col min="779" max="779" width="14.33203125" style="141" customWidth="1"/>
    <col min="780" max="780" width="9" style="141"/>
    <col min="781" max="781" width="10.21875" style="141" customWidth="1"/>
    <col min="782" max="782" width="9" style="141"/>
    <col min="783" max="783" width="13.77734375" style="141" bestFit="1" customWidth="1"/>
    <col min="784" max="1024" width="9" style="141"/>
    <col min="1025" max="1025" width="7.33203125" style="141" customWidth="1"/>
    <col min="1026" max="1026" width="18.77734375" style="141" customWidth="1"/>
    <col min="1027" max="1027" width="12.77734375" style="141" customWidth="1"/>
    <col min="1028" max="1028" width="23.109375" style="141" customWidth="1"/>
    <col min="1029" max="1029" width="17.6640625" style="141" customWidth="1"/>
    <col min="1030" max="1031" width="11.88671875" style="141" customWidth="1"/>
    <col min="1032" max="1032" width="12.77734375" style="141" bestFit="1" customWidth="1"/>
    <col min="1033" max="1033" width="8.44140625" style="141" customWidth="1"/>
    <col min="1034" max="1034" width="17.77734375" style="141" bestFit="1" customWidth="1"/>
    <col min="1035" max="1035" width="14.33203125" style="141" customWidth="1"/>
    <col min="1036" max="1036" width="9" style="141"/>
    <col min="1037" max="1037" width="10.21875" style="141" customWidth="1"/>
    <col min="1038" max="1038" width="9" style="141"/>
    <col min="1039" max="1039" width="13.77734375" style="141" bestFit="1" customWidth="1"/>
    <col min="1040" max="1280" width="9" style="141"/>
    <col min="1281" max="1281" width="7.33203125" style="141" customWidth="1"/>
    <col min="1282" max="1282" width="18.77734375" style="141" customWidth="1"/>
    <col min="1283" max="1283" width="12.77734375" style="141" customWidth="1"/>
    <col min="1284" max="1284" width="23.109375" style="141" customWidth="1"/>
    <col min="1285" max="1285" width="17.6640625" style="141" customWidth="1"/>
    <col min="1286" max="1287" width="11.88671875" style="141" customWidth="1"/>
    <col min="1288" max="1288" width="12.77734375" style="141" bestFit="1" customWidth="1"/>
    <col min="1289" max="1289" width="8.44140625" style="141" customWidth="1"/>
    <col min="1290" max="1290" width="17.77734375" style="141" bestFit="1" customWidth="1"/>
    <col min="1291" max="1291" width="14.33203125" style="141" customWidth="1"/>
    <col min="1292" max="1292" width="9" style="141"/>
    <col min="1293" max="1293" width="10.21875" style="141" customWidth="1"/>
    <col min="1294" max="1294" width="9" style="141"/>
    <col min="1295" max="1295" width="13.77734375" style="141" bestFit="1" customWidth="1"/>
    <col min="1296" max="1536" width="9" style="141"/>
    <col min="1537" max="1537" width="7.33203125" style="141" customWidth="1"/>
    <col min="1538" max="1538" width="18.77734375" style="141" customWidth="1"/>
    <col min="1539" max="1539" width="12.77734375" style="141" customWidth="1"/>
    <col min="1540" max="1540" width="23.109375" style="141" customWidth="1"/>
    <col min="1541" max="1541" width="17.6640625" style="141" customWidth="1"/>
    <col min="1542" max="1543" width="11.88671875" style="141" customWidth="1"/>
    <col min="1544" max="1544" width="12.77734375" style="141" bestFit="1" customWidth="1"/>
    <col min="1545" max="1545" width="8.44140625" style="141" customWidth="1"/>
    <col min="1546" max="1546" width="17.77734375" style="141" bestFit="1" customWidth="1"/>
    <col min="1547" max="1547" width="14.33203125" style="141" customWidth="1"/>
    <col min="1548" max="1548" width="9" style="141"/>
    <col min="1549" max="1549" width="10.21875" style="141" customWidth="1"/>
    <col min="1550" max="1550" width="9" style="141"/>
    <col min="1551" max="1551" width="13.77734375" style="141" bestFit="1" customWidth="1"/>
    <col min="1552" max="1792" width="9" style="141"/>
    <col min="1793" max="1793" width="7.33203125" style="141" customWidth="1"/>
    <col min="1794" max="1794" width="18.77734375" style="141" customWidth="1"/>
    <col min="1795" max="1795" width="12.77734375" style="141" customWidth="1"/>
    <col min="1796" max="1796" width="23.109375" style="141" customWidth="1"/>
    <col min="1797" max="1797" width="17.6640625" style="141" customWidth="1"/>
    <col min="1798" max="1799" width="11.88671875" style="141" customWidth="1"/>
    <col min="1800" max="1800" width="12.77734375" style="141" bestFit="1" customWidth="1"/>
    <col min="1801" max="1801" width="8.44140625" style="141" customWidth="1"/>
    <col min="1802" max="1802" width="17.77734375" style="141" bestFit="1" customWidth="1"/>
    <col min="1803" max="1803" width="14.33203125" style="141" customWidth="1"/>
    <col min="1804" max="1804" width="9" style="141"/>
    <col min="1805" max="1805" width="10.21875" style="141" customWidth="1"/>
    <col min="1806" max="1806" width="9" style="141"/>
    <col min="1807" max="1807" width="13.77734375" style="141" bestFit="1" customWidth="1"/>
    <col min="1808" max="2048" width="9" style="141"/>
    <col min="2049" max="2049" width="7.33203125" style="141" customWidth="1"/>
    <col min="2050" max="2050" width="18.77734375" style="141" customWidth="1"/>
    <col min="2051" max="2051" width="12.77734375" style="141" customWidth="1"/>
    <col min="2052" max="2052" width="23.109375" style="141" customWidth="1"/>
    <col min="2053" max="2053" width="17.6640625" style="141" customWidth="1"/>
    <col min="2054" max="2055" width="11.88671875" style="141" customWidth="1"/>
    <col min="2056" max="2056" width="12.77734375" style="141" bestFit="1" customWidth="1"/>
    <col min="2057" max="2057" width="8.44140625" style="141" customWidth="1"/>
    <col min="2058" max="2058" width="17.77734375" style="141" bestFit="1" customWidth="1"/>
    <col min="2059" max="2059" width="14.33203125" style="141" customWidth="1"/>
    <col min="2060" max="2060" width="9" style="141"/>
    <col min="2061" max="2061" width="10.21875" style="141" customWidth="1"/>
    <col min="2062" max="2062" width="9" style="141"/>
    <col min="2063" max="2063" width="13.77734375" style="141" bestFit="1" customWidth="1"/>
    <col min="2064" max="2304" width="9" style="141"/>
    <col min="2305" max="2305" width="7.33203125" style="141" customWidth="1"/>
    <col min="2306" max="2306" width="18.77734375" style="141" customWidth="1"/>
    <col min="2307" max="2307" width="12.77734375" style="141" customWidth="1"/>
    <col min="2308" max="2308" width="23.109375" style="141" customWidth="1"/>
    <col min="2309" max="2309" width="17.6640625" style="141" customWidth="1"/>
    <col min="2310" max="2311" width="11.88671875" style="141" customWidth="1"/>
    <col min="2312" max="2312" width="12.77734375" style="141" bestFit="1" customWidth="1"/>
    <col min="2313" max="2313" width="8.44140625" style="141" customWidth="1"/>
    <col min="2314" max="2314" width="17.77734375" style="141" bestFit="1" customWidth="1"/>
    <col min="2315" max="2315" width="14.33203125" style="141" customWidth="1"/>
    <col min="2316" max="2316" width="9" style="141"/>
    <col min="2317" max="2317" width="10.21875" style="141" customWidth="1"/>
    <col min="2318" max="2318" width="9" style="141"/>
    <col min="2319" max="2319" width="13.77734375" style="141" bestFit="1" customWidth="1"/>
    <col min="2320" max="2560" width="9" style="141"/>
    <col min="2561" max="2561" width="7.33203125" style="141" customWidth="1"/>
    <col min="2562" max="2562" width="18.77734375" style="141" customWidth="1"/>
    <col min="2563" max="2563" width="12.77734375" style="141" customWidth="1"/>
    <col min="2564" max="2564" width="23.109375" style="141" customWidth="1"/>
    <col min="2565" max="2565" width="17.6640625" style="141" customWidth="1"/>
    <col min="2566" max="2567" width="11.88671875" style="141" customWidth="1"/>
    <col min="2568" max="2568" width="12.77734375" style="141" bestFit="1" customWidth="1"/>
    <col min="2569" max="2569" width="8.44140625" style="141" customWidth="1"/>
    <col min="2570" max="2570" width="17.77734375" style="141" bestFit="1" customWidth="1"/>
    <col min="2571" max="2571" width="14.33203125" style="141" customWidth="1"/>
    <col min="2572" max="2572" width="9" style="141"/>
    <col min="2573" max="2573" width="10.21875" style="141" customWidth="1"/>
    <col min="2574" max="2574" width="9" style="141"/>
    <col min="2575" max="2575" width="13.77734375" style="141" bestFit="1" customWidth="1"/>
    <col min="2576" max="2816" width="9" style="141"/>
    <col min="2817" max="2817" width="7.33203125" style="141" customWidth="1"/>
    <col min="2818" max="2818" width="18.77734375" style="141" customWidth="1"/>
    <col min="2819" max="2819" width="12.77734375" style="141" customWidth="1"/>
    <col min="2820" max="2820" width="23.109375" style="141" customWidth="1"/>
    <col min="2821" max="2821" width="17.6640625" style="141" customWidth="1"/>
    <col min="2822" max="2823" width="11.88671875" style="141" customWidth="1"/>
    <col min="2824" max="2824" width="12.77734375" style="141" bestFit="1" customWidth="1"/>
    <col min="2825" max="2825" width="8.44140625" style="141" customWidth="1"/>
    <col min="2826" max="2826" width="17.77734375" style="141" bestFit="1" customWidth="1"/>
    <col min="2827" max="2827" width="14.33203125" style="141" customWidth="1"/>
    <col min="2828" max="2828" width="9" style="141"/>
    <col min="2829" max="2829" width="10.21875" style="141" customWidth="1"/>
    <col min="2830" max="2830" width="9" style="141"/>
    <col min="2831" max="2831" width="13.77734375" style="141" bestFit="1" customWidth="1"/>
    <col min="2832" max="3072" width="9" style="141"/>
    <col min="3073" max="3073" width="7.33203125" style="141" customWidth="1"/>
    <col min="3074" max="3074" width="18.77734375" style="141" customWidth="1"/>
    <col min="3075" max="3075" width="12.77734375" style="141" customWidth="1"/>
    <col min="3076" max="3076" width="23.109375" style="141" customWidth="1"/>
    <col min="3077" max="3077" width="17.6640625" style="141" customWidth="1"/>
    <col min="3078" max="3079" width="11.88671875" style="141" customWidth="1"/>
    <col min="3080" max="3080" width="12.77734375" style="141" bestFit="1" customWidth="1"/>
    <col min="3081" max="3081" width="8.44140625" style="141" customWidth="1"/>
    <col min="3082" max="3082" width="17.77734375" style="141" bestFit="1" customWidth="1"/>
    <col min="3083" max="3083" width="14.33203125" style="141" customWidth="1"/>
    <col min="3084" max="3084" width="9" style="141"/>
    <col min="3085" max="3085" width="10.21875" style="141" customWidth="1"/>
    <col min="3086" max="3086" width="9" style="141"/>
    <col min="3087" max="3087" width="13.77734375" style="141" bestFit="1" customWidth="1"/>
    <col min="3088" max="3328" width="9" style="141"/>
    <col min="3329" max="3329" width="7.33203125" style="141" customWidth="1"/>
    <col min="3330" max="3330" width="18.77734375" style="141" customWidth="1"/>
    <col min="3331" max="3331" width="12.77734375" style="141" customWidth="1"/>
    <col min="3332" max="3332" width="23.109375" style="141" customWidth="1"/>
    <col min="3333" max="3333" width="17.6640625" style="141" customWidth="1"/>
    <col min="3334" max="3335" width="11.88671875" style="141" customWidth="1"/>
    <col min="3336" max="3336" width="12.77734375" style="141" bestFit="1" customWidth="1"/>
    <col min="3337" max="3337" width="8.44140625" style="141" customWidth="1"/>
    <col min="3338" max="3338" width="17.77734375" style="141" bestFit="1" customWidth="1"/>
    <col min="3339" max="3339" width="14.33203125" style="141" customWidth="1"/>
    <col min="3340" max="3340" width="9" style="141"/>
    <col min="3341" max="3341" width="10.21875" style="141" customWidth="1"/>
    <col min="3342" max="3342" width="9" style="141"/>
    <col min="3343" max="3343" width="13.77734375" style="141" bestFit="1" customWidth="1"/>
    <col min="3344" max="3584" width="9" style="141"/>
    <col min="3585" max="3585" width="7.33203125" style="141" customWidth="1"/>
    <col min="3586" max="3586" width="18.77734375" style="141" customWidth="1"/>
    <col min="3587" max="3587" width="12.77734375" style="141" customWidth="1"/>
    <col min="3588" max="3588" width="23.109375" style="141" customWidth="1"/>
    <col min="3589" max="3589" width="17.6640625" style="141" customWidth="1"/>
    <col min="3590" max="3591" width="11.88671875" style="141" customWidth="1"/>
    <col min="3592" max="3592" width="12.77734375" style="141" bestFit="1" customWidth="1"/>
    <col min="3593" max="3593" width="8.44140625" style="141" customWidth="1"/>
    <col min="3594" max="3594" width="17.77734375" style="141" bestFit="1" customWidth="1"/>
    <col min="3595" max="3595" width="14.33203125" style="141" customWidth="1"/>
    <col min="3596" max="3596" width="9" style="141"/>
    <col min="3597" max="3597" width="10.21875" style="141" customWidth="1"/>
    <col min="3598" max="3598" width="9" style="141"/>
    <col min="3599" max="3599" width="13.77734375" style="141" bestFit="1" customWidth="1"/>
    <col min="3600" max="3840" width="9" style="141"/>
    <col min="3841" max="3841" width="7.33203125" style="141" customWidth="1"/>
    <col min="3842" max="3842" width="18.77734375" style="141" customWidth="1"/>
    <col min="3843" max="3843" width="12.77734375" style="141" customWidth="1"/>
    <col min="3844" max="3844" width="23.109375" style="141" customWidth="1"/>
    <col min="3845" max="3845" width="17.6640625" style="141" customWidth="1"/>
    <col min="3846" max="3847" width="11.88671875" style="141" customWidth="1"/>
    <col min="3848" max="3848" width="12.77734375" style="141" bestFit="1" customWidth="1"/>
    <col min="3849" max="3849" width="8.44140625" style="141" customWidth="1"/>
    <col min="3850" max="3850" width="17.77734375" style="141" bestFit="1" customWidth="1"/>
    <col min="3851" max="3851" width="14.33203125" style="141" customWidth="1"/>
    <col min="3852" max="3852" width="9" style="141"/>
    <col min="3853" max="3853" width="10.21875" style="141" customWidth="1"/>
    <col min="3854" max="3854" width="9" style="141"/>
    <col min="3855" max="3855" width="13.77734375" style="141" bestFit="1" customWidth="1"/>
    <col min="3856" max="4096" width="9" style="141"/>
    <col min="4097" max="4097" width="7.33203125" style="141" customWidth="1"/>
    <col min="4098" max="4098" width="18.77734375" style="141" customWidth="1"/>
    <col min="4099" max="4099" width="12.77734375" style="141" customWidth="1"/>
    <col min="4100" max="4100" width="23.109375" style="141" customWidth="1"/>
    <col min="4101" max="4101" width="17.6640625" style="141" customWidth="1"/>
    <col min="4102" max="4103" width="11.88671875" style="141" customWidth="1"/>
    <col min="4104" max="4104" width="12.77734375" style="141" bestFit="1" customWidth="1"/>
    <col min="4105" max="4105" width="8.44140625" style="141" customWidth="1"/>
    <col min="4106" max="4106" width="17.77734375" style="141" bestFit="1" customWidth="1"/>
    <col min="4107" max="4107" width="14.33203125" style="141" customWidth="1"/>
    <col min="4108" max="4108" width="9" style="141"/>
    <col min="4109" max="4109" width="10.21875" style="141" customWidth="1"/>
    <col min="4110" max="4110" width="9" style="141"/>
    <col min="4111" max="4111" width="13.77734375" style="141" bestFit="1" customWidth="1"/>
    <col min="4112" max="4352" width="9" style="141"/>
    <col min="4353" max="4353" width="7.33203125" style="141" customWidth="1"/>
    <col min="4354" max="4354" width="18.77734375" style="141" customWidth="1"/>
    <col min="4355" max="4355" width="12.77734375" style="141" customWidth="1"/>
    <col min="4356" max="4356" width="23.109375" style="141" customWidth="1"/>
    <col min="4357" max="4357" width="17.6640625" style="141" customWidth="1"/>
    <col min="4358" max="4359" width="11.88671875" style="141" customWidth="1"/>
    <col min="4360" max="4360" width="12.77734375" style="141" bestFit="1" customWidth="1"/>
    <col min="4361" max="4361" width="8.44140625" style="141" customWidth="1"/>
    <col min="4362" max="4362" width="17.77734375" style="141" bestFit="1" customWidth="1"/>
    <col min="4363" max="4363" width="14.33203125" style="141" customWidth="1"/>
    <col min="4364" max="4364" width="9" style="141"/>
    <col min="4365" max="4365" width="10.21875" style="141" customWidth="1"/>
    <col min="4366" max="4366" width="9" style="141"/>
    <col min="4367" max="4367" width="13.77734375" style="141" bestFit="1" customWidth="1"/>
    <col min="4368" max="4608" width="9" style="141"/>
    <col min="4609" max="4609" width="7.33203125" style="141" customWidth="1"/>
    <col min="4610" max="4610" width="18.77734375" style="141" customWidth="1"/>
    <col min="4611" max="4611" width="12.77734375" style="141" customWidth="1"/>
    <col min="4612" max="4612" width="23.109375" style="141" customWidth="1"/>
    <col min="4613" max="4613" width="17.6640625" style="141" customWidth="1"/>
    <col min="4614" max="4615" width="11.88671875" style="141" customWidth="1"/>
    <col min="4616" max="4616" width="12.77734375" style="141" bestFit="1" customWidth="1"/>
    <col min="4617" max="4617" width="8.44140625" style="141" customWidth="1"/>
    <col min="4618" max="4618" width="17.77734375" style="141" bestFit="1" customWidth="1"/>
    <col min="4619" max="4619" width="14.33203125" style="141" customWidth="1"/>
    <col min="4620" max="4620" width="9" style="141"/>
    <col min="4621" max="4621" width="10.21875" style="141" customWidth="1"/>
    <col min="4622" max="4622" width="9" style="141"/>
    <col min="4623" max="4623" width="13.77734375" style="141" bestFit="1" customWidth="1"/>
    <col min="4624" max="4864" width="9" style="141"/>
    <col min="4865" max="4865" width="7.33203125" style="141" customWidth="1"/>
    <col min="4866" max="4866" width="18.77734375" style="141" customWidth="1"/>
    <col min="4867" max="4867" width="12.77734375" style="141" customWidth="1"/>
    <col min="4868" max="4868" width="23.109375" style="141" customWidth="1"/>
    <col min="4869" max="4869" width="17.6640625" style="141" customWidth="1"/>
    <col min="4870" max="4871" width="11.88671875" style="141" customWidth="1"/>
    <col min="4872" max="4872" width="12.77734375" style="141" bestFit="1" customWidth="1"/>
    <col min="4873" max="4873" width="8.44140625" style="141" customWidth="1"/>
    <col min="4874" max="4874" width="17.77734375" style="141" bestFit="1" customWidth="1"/>
    <col min="4875" max="4875" width="14.33203125" style="141" customWidth="1"/>
    <col min="4876" max="4876" width="9" style="141"/>
    <col min="4877" max="4877" width="10.21875" style="141" customWidth="1"/>
    <col min="4878" max="4878" width="9" style="141"/>
    <col min="4879" max="4879" width="13.77734375" style="141" bestFit="1" customWidth="1"/>
    <col min="4880" max="5120" width="9" style="141"/>
    <col min="5121" max="5121" width="7.33203125" style="141" customWidth="1"/>
    <col min="5122" max="5122" width="18.77734375" style="141" customWidth="1"/>
    <col min="5123" max="5123" width="12.77734375" style="141" customWidth="1"/>
    <col min="5124" max="5124" width="23.109375" style="141" customWidth="1"/>
    <col min="5125" max="5125" width="17.6640625" style="141" customWidth="1"/>
    <col min="5126" max="5127" width="11.88671875" style="141" customWidth="1"/>
    <col min="5128" max="5128" width="12.77734375" style="141" bestFit="1" customWidth="1"/>
    <col min="5129" max="5129" width="8.44140625" style="141" customWidth="1"/>
    <col min="5130" max="5130" width="17.77734375" style="141" bestFit="1" customWidth="1"/>
    <col min="5131" max="5131" width="14.33203125" style="141" customWidth="1"/>
    <col min="5132" max="5132" width="9" style="141"/>
    <col min="5133" max="5133" width="10.21875" style="141" customWidth="1"/>
    <col min="5134" max="5134" width="9" style="141"/>
    <col min="5135" max="5135" width="13.77734375" style="141" bestFit="1" customWidth="1"/>
    <col min="5136" max="5376" width="9" style="141"/>
    <col min="5377" max="5377" width="7.33203125" style="141" customWidth="1"/>
    <col min="5378" max="5378" width="18.77734375" style="141" customWidth="1"/>
    <col min="5379" max="5379" width="12.77734375" style="141" customWidth="1"/>
    <col min="5380" max="5380" width="23.109375" style="141" customWidth="1"/>
    <col min="5381" max="5381" width="17.6640625" style="141" customWidth="1"/>
    <col min="5382" max="5383" width="11.88671875" style="141" customWidth="1"/>
    <col min="5384" max="5384" width="12.77734375" style="141" bestFit="1" customWidth="1"/>
    <col min="5385" max="5385" width="8.44140625" style="141" customWidth="1"/>
    <col min="5386" max="5386" width="17.77734375" style="141" bestFit="1" customWidth="1"/>
    <col min="5387" max="5387" width="14.33203125" style="141" customWidth="1"/>
    <col min="5388" max="5388" width="9" style="141"/>
    <col min="5389" max="5389" width="10.21875" style="141" customWidth="1"/>
    <col min="5390" max="5390" width="9" style="141"/>
    <col min="5391" max="5391" width="13.77734375" style="141" bestFit="1" customWidth="1"/>
    <col min="5392" max="5632" width="9" style="141"/>
    <col min="5633" max="5633" width="7.33203125" style="141" customWidth="1"/>
    <col min="5634" max="5634" width="18.77734375" style="141" customWidth="1"/>
    <col min="5635" max="5635" width="12.77734375" style="141" customWidth="1"/>
    <col min="5636" max="5636" width="23.109375" style="141" customWidth="1"/>
    <col min="5637" max="5637" width="17.6640625" style="141" customWidth="1"/>
    <col min="5638" max="5639" width="11.88671875" style="141" customWidth="1"/>
    <col min="5640" max="5640" width="12.77734375" style="141" bestFit="1" customWidth="1"/>
    <col min="5641" max="5641" width="8.44140625" style="141" customWidth="1"/>
    <col min="5642" max="5642" width="17.77734375" style="141" bestFit="1" customWidth="1"/>
    <col min="5643" max="5643" width="14.33203125" style="141" customWidth="1"/>
    <col min="5644" max="5644" width="9" style="141"/>
    <col min="5645" max="5645" width="10.21875" style="141" customWidth="1"/>
    <col min="5646" max="5646" width="9" style="141"/>
    <col min="5647" max="5647" width="13.77734375" style="141" bestFit="1" customWidth="1"/>
    <col min="5648" max="5888" width="9" style="141"/>
    <col min="5889" max="5889" width="7.33203125" style="141" customWidth="1"/>
    <col min="5890" max="5890" width="18.77734375" style="141" customWidth="1"/>
    <col min="5891" max="5891" width="12.77734375" style="141" customWidth="1"/>
    <col min="5892" max="5892" width="23.109375" style="141" customWidth="1"/>
    <col min="5893" max="5893" width="17.6640625" style="141" customWidth="1"/>
    <col min="5894" max="5895" width="11.88671875" style="141" customWidth="1"/>
    <col min="5896" max="5896" width="12.77734375" style="141" bestFit="1" customWidth="1"/>
    <col min="5897" max="5897" width="8.44140625" style="141" customWidth="1"/>
    <col min="5898" max="5898" width="17.77734375" style="141" bestFit="1" customWidth="1"/>
    <col min="5899" max="5899" width="14.33203125" style="141" customWidth="1"/>
    <col min="5900" max="5900" width="9" style="141"/>
    <col min="5901" max="5901" width="10.21875" style="141" customWidth="1"/>
    <col min="5902" max="5902" width="9" style="141"/>
    <col min="5903" max="5903" width="13.77734375" style="141" bestFit="1" customWidth="1"/>
    <col min="5904" max="6144" width="9" style="141"/>
    <col min="6145" max="6145" width="7.33203125" style="141" customWidth="1"/>
    <col min="6146" max="6146" width="18.77734375" style="141" customWidth="1"/>
    <col min="6147" max="6147" width="12.77734375" style="141" customWidth="1"/>
    <col min="6148" max="6148" width="23.109375" style="141" customWidth="1"/>
    <col min="6149" max="6149" width="17.6640625" style="141" customWidth="1"/>
    <col min="6150" max="6151" width="11.88671875" style="141" customWidth="1"/>
    <col min="6152" max="6152" width="12.77734375" style="141" bestFit="1" customWidth="1"/>
    <col min="6153" max="6153" width="8.44140625" style="141" customWidth="1"/>
    <col min="6154" max="6154" width="17.77734375" style="141" bestFit="1" customWidth="1"/>
    <col min="6155" max="6155" width="14.33203125" style="141" customWidth="1"/>
    <col min="6156" max="6156" width="9" style="141"/>
    <col min="6157" max="6157" width="10.21875" style="141" customWidth="1"/>
    <col min="6158" max="6158" width="9" style="141"/>
    <col min="6159" max="6159" width="13.77734375" style="141" bestFit="1" customWidth="1"/>
    <col min="6160" max="6400" width="9" style="141"/>
    <col min="6401" max="6401" width="7.33203125" style="141" customWidth="1"/>
    <col min="6402" max="6402" width="18.77734375" style="141" customWidth="1"/>
    <col min="6403" max="6403" width="12.77734375" style="141" customWidth="1"/>
    <col min="6404" max="6404" width="23.109375" style="141" customWidth="1"/>
    <col min="6405" max="6405" width="17.6640625" style="141" customWidth="1"/>
    <col min="6406" max="6407" width="11.88671875" style="141" customWidth="1"/>
    <col min="6408" max="6408" width="12.77734375" style="141" bestFit="1" customWidth="1"/>
    <col min="6409" max="6409" width="8.44140625" style="141" customWidth="1"/>
    <col min="6410" max="6410" width="17.77734375" style="141" bestFit="1" customWidth="1"/>
    <col min="6411" max="6411" width="14.33203125" style="141" customWidth="1"/>
    <col min="6412" max="6412" width="9" style="141"/>
    <col min="6413" max="6413" width="10.21875" style="141" customWidth="1"/>
    <col min="6414" max="6414" width="9" style="141"/>
    <col min="6415" max="6415" width="13.77734375" style="141" bestFit="1" customWidth="1"/>
    <col min="6416" max="6656" width="9" style="141"/>
    <col min="6657" max="6657" width="7.33203125" style="141" customWidth="1"/>
    <col min="6658" max="6658" width="18.77734375" style="141" customWidth="1"/>
    <col min="6659" max="6659" width="12.77734375" style="141" customWidth="1"/>
    <col min="6660" max="6660" width="23.109375" style="141" customWidth="1"/>
    <col min="6661" max="6661" width="17.6640625" style="141" customWidth="1"/>
    <col min="6662" max="6663" width="11.88671875" style="141" customWidth="1"/>
    <col min="6664" max="6664" width="12.77734375" style="141" bestFit="1" customWidth="1"/>
    <col min="6665" max="6665" width="8.44140625" style="141" customWidth="1"/>
    <col min="6666" max="6666" width="17.77734375" style="141" bestFit="1" customWidth="1"/>
    <col min="6667" max="6667" width="14.33203125" style="141" customWidth="1"/>
    <col min="6668" max="6668" width="9" style="141"/>
    <col min="6669" max="6669" width="10.21875" style="141" customWidth="1"/>
    <col min="6670" max="6670" width="9" style="141"/>
    <col min="6671" max="6671" width="13.77734375" style="141" bestFit="1" customWidth="1"/>
    <col min="6672" max="6912" width="9" style="141"/>
    <col min="6913" max="6913" width="7.33203125" style="141" customWidth="1"/>
    <col min="6914" max="6914" width="18.77734375" style="141" customWidth="1"/>
    <col min="6915" max="6915" width="12.77734375" style="141" customWidth="1"/>
    <col min="6916" max="6916" width="23.109375" style="141" customWidth="1"/>
    <col min="6917" max="6917" width="17.6640625" style="141" customWidth="1"/>
    <col min="6918" max="6919" width="11.88671875" style="141" customWidth="1"/>
    <col min="6920" max="6920" width="12.77734375" style="141" bestFit="1" customWidth="1"/>
    <col min="6921" max="6921" width="8.44140625" style="141" customWidth="1"/>
    <col min="6922" max="6922" width="17.77734375" style="141" bestFit="1" customWidth="1"/>
    <col min="6923" max="6923" width="14.33203125" style="141" customWidth="1"/>
    <col min="6924" max="6924" width="9" style="141"/>
    <col min="6925" max="6925" width="10.21875" style="141" customWidth="1"/>
    <col min="6926" max="6926" width="9" style="141"/>
    <col min="6927" max="6927" width="13.77734375" style="141" bestFit="1" customWidth="1"/>
    <col min="6928" max="7168" width="9" style="141"/>
    <col min="7169" max="7169" width="7.33203125" style="141" customWidth="1"/>
    <col min="7170" max="7170" width="18.77734375" style="141" customWidth="1"/>
    <col min="7171" max="7171" width="12.77734375" style="141" customWidth="1"/>
    <col min="7172" max="7172" width="23.109375" style="141" customWidth="1"/>
    <col min="7173" max="7173" width="17.6640625" style="141" customWidth="1"/>
    <col min="7174" max="7175" width="11.88671875" style="141" customWidth="1"/>
    <col min="7176" max="7176" width="12.77734375" style="141" bestFit="1" customWidth="1"/>
    <col min="7177" max="7177" width="8.44140625" style="141" customWidth="1"/>
    <col min="7178" max="7178" width="17.77734375" style="141" bestFit="1" customWidth="1"/>
    <col min="7179" max="7179" width="14.33203125" style="141" customWidth="1"/>
    <col min="7180" max="7180" width="9" style="141"/>
    <col min="7181" max="7181" width="10.21875" style="141" customWidth="1"/>
    <col min="7182" max="7182" width="9" style="141"/>
    <col min="7183" max="7183" width="13.77734375" style="141" bestFit="1" customWidth="1"/>
    <col min="7184" max="7424" width="9" style="141"/>
    <col min="7425" max="7425" width="7.33203125" style="141" customWidth="1"/>
    <col min="7426" max="7426" width="18.77734375" style="141" customWidth="1"/>
    <col min="7427" max="7427" width="12.77734375" style="141" customWidth="1"/>
    <col min="7428" max="7428" width="23.109375" style="141" customWidth="1"/>
    <col min="7429" max="7429" width="17.6640625" style="141" customWidth="1"/>
    <col min="7430" max="7431" width="11.88671875" style="141" customWidth="1"/>
    <col min="7432" max="7432" width="12.77734375" style="141" bestFit="1" customWidth="1"/>
    <col min="7433" max="7433" width="8.44140625" style="141" customWidth="1"/>
    <col min="7434" max="7434" width="17.77734375" style="141" bestFit="1" customWidth="1"/>
    <col min="7435" max="7435" width="14.33203125" style="141" customWidth="1"/>
    <col min="7436" max="7436" width="9" style="141"/>
    <col min="7437" max="7437" width="10.21875" style="141" customWidth="1"/>
    <col min="7438" max="7438" width="9" style="141"/>
    <col min="7439" max="7439" width="13.77734375" style="141" bestFit="1" customWidth="1"/>
    <col min="7440" max="7680" width="9" style="141"/>
    <col min="7681" max="7681" width="7.33203125" style="141" customWidth="1"/>
    <col min="7682" max="7682" width="18.77734375" style="141" customWidth="1"/>
    <col min="7683" max="7683" width="12.77734375" style="141" customWidth="1"/>
    <col min="7684" max="7684" width="23.109375" style="141" customWidth="1"/>
    <col min="7685" max="7685" width="17.6640625" style="141" customWidth="1"/>
    <col min="7686" max="7687" width="11.88671875" style="141" customWidth="1"/>
    <col min="7688" max="7688" width="12.77734375" style="141" bestFit="1" customWidth="1"/>
    <col min="7689" max="7689" width="8.44140625" style="141" customWidth="1"/>
    <col min="7690" max="7690" width="17.77734375" style="141" bestFit="1" customWidth="1"/>
    <col min="7691" max="7691" width="14.33203125" style="141" customWidth="1"/>
    <col min="7692" max="7692" width="9" style="141"/>
    <col min="7693" max="7693" width="10.21875" style="141" customWidth="1"/>
    <col min="7694" max="7694" width="9" style="141"/>
    <col min="7695" max="7695" width="13.77734375" style="141" bestFit="1" customWidth="1"/>
    <col min="7696" max="7936" width="9" style="141"/>
    <col min="7937" max="7937" width="7.33203125" style="141" customWidth="1"/>
    <col min="7938" max="7938" width="18.77734375" style="141" customWidth="1"/>
    <col min="7939" max="7939" width="12.77734375" style="141" customWidth="1"/>
    <col min="7940" max="7940" width="23.109375" style="141" customWidth="1"/>
    <col min="7941" max="7941" width="17.6640625" style="141" customWidth="1"/>
    <col min="7942" max="7943" width="11.88671875" style="141" customWidth="1"/>
    <col min="7944" max="7944" width="12.77734375" style="141" bestFit="1" customWidth="1"/>
    <col min="7945" max="7945" width="8.44140625" style="141" customWidth="1"/>
    <col min="7946" max="7946" width="17.77734375" style="141" bestFit="1" customWidth="1"/>
    <col min="7947" max="7947" width="14.33203125" style="141" customWidth="1"/>
    <col min="7948" max="7948" width="9" style="141"/>
    <col min="7949" max="7949" width="10.21875" style="141" customWidth="1"/>
    <col min="7950" max="7950" width="9" style="141"/>
    <col min="7951" max="7951" width="13.77734375" style="141" bestFit="1" customWidth="1"/>
    <col min="7952" max="8192" width="9" style="141"/>
    <col min="8193" max="8193" width="7.33203125" style="141" customWidth="1"/>
    <col min="8194" max="8194" width="18.77734375" style="141" customWidth="1"/>
    <col min="8195" max="8195" width="12.77734375" style="141" customWidth="1"/>
    <col min="8196" max="8196" width="23.109375" style="141" customWidth="1"/>
    <col min="8197" max="8197" width="17.6640625" style="141" customWidth="1"/>
    <col min="8198" max="8199" width="11.88671875" style="141" customWidth="1"/>
    <col min="8200" max="8200" width="12.77734375" style="141" bestFit="1" customWidth="1"/>
    <col min="8201" max="8201" width="8.44140625" style="141" customWidth="1"/>
    <col min="8202" max="8202" width="17.77734375" style="141" bestFit="1" customWidth="1"/>
    <col min="8203" max="8203" width="14.33203125" style="141" customWidth="1"/>
    <col min="8204" max="8204" width="9" style="141"/>
    <col min="8205" max="8205" width="10.21875" style="141" customWidth="1"/>
    <col min="8206" max="8206" width="9" style="141"/>
    <col min="8207" max="8207" width="13.77734375" style="141" bestFit="1" customWidth="1"/>
    <col min="8208" max="8448" width="9" style="141"/>
    <col min="8449" max="8449" width="7.33203125" style="141" customWidth="1"/>
    <col min="8450" max="8450" width="18.77734375" style="141" customWidth="1"/>
    <col min="8451" max="8451" width="12.77734375" style="141" customWidth="1"/>
    <col min="8452" max="8452" width="23.109375" style="141" customWidth="1"/>
    <col min="8453" max="8453" width="17.6640625" style="141" customWidth="1"/>
    <col min="8454" max="8455" width="11.88671875" style="141" customWidth="1"/>
    <col min="8456" max="8456" width="12.77734375" style="141" bestFit="1" customWidth="1"/>
    <col min="8457" max="8457" width="8.44140625" style="141" customWidth="1"/>
    <col min="8458" max="8458" width="17.77734375" style="141" bestFit="1" customWidth="1"/>
    <col min="8459" max="8459" width="14.33203125" style="141" customWidth="1"/>
    <col min="8460" max="8460" width="9" style="141"/>
    <col min="8461" max="8461" width="10.21875" style="141" customWidth="1"/>
    <col min="8462" max="8462" width="9" style="141"/>
    <col min="8463" max="8463" width="13.77734375" style="141" bestFit="1" customWidth="1"/>
    <col min="8464" max="8704" width="9" style="141"/>
    <col min="8705" max="8705" width="7.33203125" style="141" customWidth="1"/>
    <col min="8706" max="8706" width="18.77734375" style="141" customWidth="1"/>
    <col min="8707" max="8707" width="12.77734375" style="141" customWidth="1"/>
    <col min="8708" max="8708" width="23.109375" style="141" customWidth="1"/>
    <col min="8709" max="8709" width="17.6640625" style="141" customWidth="1"/>
    <col min="8710" max="8711" width="11.88671875" style="141" customWidth="1"/>
    <col min="8712" max="8712" width="12.77734375" style="141" bestFit="1" customWidth="1"/>
    <col min="8713" max="8713" width="8.44140625" style="141" customWidth="1"/>
    <col min="8714" max="8714" width="17.77734375" style="141" bestFit="1" customWidth="1"/>
    <col min="8715" max="8715" width="14.33203125" style="141" customWidth="1"/>
    <col min="8716" max="8716" width="9" style="141"/>
    <col min="8717" max="8717" width="10.21875" style="141" customWidth="1"/>
    <col min="8718" max="8718" width="9" style="141"/>
    <col min="8719" max="8719" width="13.77734375" style="141" bestFit="1" customWidth="1"/>
    <col min="8720" max="8960" width="9" style="141"/>
    <col min="8961" max="8961" width="7.33203125" style="141" customWidth="1"/>
    <col min="8962" max="8962" width="18.77734375" style="141" customWidth="1"/>
    <col min="8963" max="8963" width="12.77734375" style="141" customWidth="1"/>
    <col min="8964" max="8964" width="23.109375" style="141" customWidth="1"/>
    <col min="8965" max="8965" width="17.6640625" style="141" customWidth="1"/>
    <col min="8966" max="8967" width="11.88671875" style="141" customWidth="1"/>
    <col min="8968" max="8968" width="12.77734375" style="141" bestFit="1" customWidth="1"/>
    <col min="8969" max="8969" width="8.44140625" style="141" customWidth="1"/>
    <col min="8970" max="8970" width="17.77734375" style="141" bestFit="1" customWidth="1"/>
    <col min="8971" max="8971" width="14.33203125" style="141" customWidth="1"/>
    <col min="8972" max="8972" width="9" style="141"/>
    <col min="8973" max="8973" width="10.21875" style="141" customWidth="1"/>
    <col min="8974" max="8974" width="9" style="141"/>
    <col min="8975" max="8975" width="13.77734375" style="141" bestFit="1" customWidth="1"/>
    <col min="8976" max="9216" width="9" style="141"/>
    <col min="9217" max="9217" width="7.33203125" style="141" customWidth="1"/>
    <col min="9218" max="9218" width="18.77734375" style="141" customWidth="1"/>
    <col min="9219" max="9219" width="12.77734375" style="141" customWidth="1"/>
    <col min="9220" max="9220" width="23.109375" style="141" customWidth="1"/>
    <col min="9221" max="9221" width="17.6640625" style="141" customWidth="1"/>
    <col min="9222" max="9223" width="11.88671875" style="141" customWidth="1"/>
    <col min="9224" max="9224" width="12.77734375" style="141" bestFit="1" customWidth="1"/>
    <col min="9225" max="9225" width="8.44140625" style="141" customWidth="1"/>
    <col min="9226" max="9226" width="17.77734375" style="141" bestFit="1" customWidth="1"/>
    <col min="9227" max="9227" width="14.33203125" style="141" customWidth="1"/>
    <col min="9228" max="9228" width="9" style="141"/>
    <col min="9229" max="9229" width="10.21875" style="141" customWidth="1"/>
    <col min="9230" max="9230" width="9" style="141"/>
    <col min="9231" max="9231" width="13.77734375" style="141" bestFit="1" customWidth="1"/>
    <col min="9232" max="9472" width="9" style="141"/>
    <col min="9473" max="9473" width="7.33203125" style="141" customWidth="1"/>
    <col min="9474" max="9474" width="18.77734375" style="141" customWidth="1"/>
    <col min="9475" max="9475" width="12.77734375" style="141" customWidth="1"/>
    <col min="9476" max="9476" width="23.109375" style="141" customWidth="1"/>
    <col min="9477" max="9477" width="17.6640625" style="141" customWidth="1"/>
    <col min="9478" max="9479" width="11.88671875" style="141" customWidth="1"/>
    <col min="9480" max="9480" width="12.77734375" style="141" bestFit="1" customWidth="1"/>
    <col min="9481" max="9481" width="8.44140625" style="141" customWidth="1"/>
    <col min="9482" max="9482" width="17.77734375" style="141" bestFit="1" customWidth="1"/>
    <col min="9483" max="9483" width="14.33203125" style="141" customWidth="1"/>
    <col min="9484" max="9484" width="9" style="141"/>
    <col min="9485" max="9485" width="10.21875" style="141" customWidth="1"/>
    <col min="9486" max="9486" width="9" style="141"/>
    <col min="9487" max="9487" width="13.77734375" style="141" bestFit="1" customWidth="1"/>
    <col min="9488" max="9728" width="9" style="141"/>
    <col min="9729" max="9729" width="7.33203125" style="141" customWidth="1"/>
    <col min="9730" max="9730" width="18.77734375" style="141" customWidth="1"/>
    <col min="9731" max="9731" width="12.77734375" style="141" customWidth="1"/>
    <col min="9732" max="9732" width="23.109375" style="141" customWidth="1"/>
    <col min="9733" max="9733" width="17.6640625" style="141" customWidth="1"/>
    <col min="9734" max="9735" width="11.88671875" style="141" customWidth="1"/>
    <col min="9736" max="9736" width="12.77734375" style="141" bestFit="1" customWidth="1"/>
    <col min="9737" max="9737" width="8.44140625" style="141" customWidth="1"/>
    <col min="9738" max="9738" width="17.77734375" style="141" bestFit="1" customWidth="1"/>
    <col min="9739" max="9739" width="14.33203125" style="141" customWidth="1"/>
    <col min="9740" max="9740" width="9" style="141"/>
    <col min="9741" max="9741" width="10.21875" style="141" customWidth="1"/>
    <col min="9742" max="9742" width="9" style="141"/>
    <col min="9743" max="9743" width="13.77734375" style="141" bestFit="1" customWidth="1"/>
    <col min="9744" max="9984" width="9" style="141"/>
    <col min="9985" max="9985" width="7.33203125" style="141" customWidth="1"/>
    <col min="9986" max="9986" width="18.77734375" style="141" customWidth="1"/>
    <col min="9987" max="9987" width="12.77734375" style="141" customWidth="1"/>
    <col min="9988" max="9988" width="23.109375" style="141" customWidth="1"/>
    <col min="9989" max="9989" width="17.6640625" style="141" customWidth="1"/>
    <col min="9990" max="9991" width="11.88671875" style="141" customWidth="1"/>
    <col min="9992" max="9992" width="12.77734375" style="141" bestFit="1" customWidth="1"/>
    <col min="9993" max="9993" width="8.44140625" style="141" customWidth="1"/>
    <col min="9994" max="9994" width="17.77734375" style="141" bestFit="1" customWidth="1"/>
    <col min="9995" max="9995" width="14.33203125" style="141" customWidth="1"/>
    <col min="9996" max="9996" width="9" style="141"/>
    <col min="9997" max="9997" width="10.21875" style="141" customWidth="1"/>
    <col min="9998" max="9998" width="9" style="141"/>
    <col min="9999" max="9999" width="13.77734375" style="141" bestFit="1" customWidth="1"/>
    <col min="10000" max="10240" width="9" style="141"/>
    <col min="10241" max="10241" width="7.33203125" style="141" customWidth="1"/>
    <col min="10242" max="10242" width="18.77734375" style="141" customWidth="1"/>
    <col min="10243" max="10243" width="12.77734375" style="141" customWidth="1"/>
    <col min="10244" max="10244" width="23.109375" style="141" customWidth="1"/>
    <col min="10245" max="10245" width="17.6640625" style="141" customWidth="1"/>
    <col min="10246" max="10247" width="11.88671875" style="141" customWidth="1"/>
    <col min="10248" max="10248" width="12.77734375" style="141" bestFit="1" customWidth="1"/>
    <col min="10249" max="10249" width="8.44140625" style="141" customWidth="1"/>
    <col min="10250" max="10250" width="17.77734375" style="141" bestFit="1" customWidth="1"/>
    <col min="10251" max="10251" width="14.33203125" style="141" customWidth="1"/>
    <col min="10252" max="10252" width="9" style="141"/>
    <col min="10253" max="10253" width="10.21875" style="141" customWidth="1"/>
    <col min="10254" max="10254" width="9" style="141"/>
    <col min="10255" max="10255" width="13.77734375" style="141" bestFit="1" customWidth="1"/>
    <col min="10256" max="10496" width="9" style="141"/>
    <col min="10497" max="10497" width="7.33203125" style="141" customWidth="1"/>
    <col min="10498" max="10498" width="18.77734375" style="141" customWidth="1"/>
    <col min="10499" max="10499" width="12.77734375" style="141" customWidth="1"/>
    <col min="10500" max="10500" width="23.109375" style="141" customWidth="1"/>
    <col min="10501" max="10501" width="17.6640625" style="141" customWidth="1"/>
    <col min="10502" max="10503" width="11.88671875" style="141" customWidth="1"/>
    <col min="10504" max="10504" width="12.77734375" style="141" bestFit="1" customWidth="1"/>
    <col min="10505" max="10505" width="8.44140625" style="141" customWidth="1"/>
    <col min="10506" max="10506" width="17.77734375" style="141" bestFit="1" customWidth="1"/>
    <col min="10507" max="10507" width="14.33203125" style="141" customWidth="1"/>
    <col min="10508" max="10508" width="9" style="141"/>
    <col min="10509" max="10509" width="10.21875" style="141" customWidth="1"/>
    <col min="10510" max="10510" width="9" style="141"/>
    <col min="10511" max="10511" width="13.77734375" style="141" bestFit="1" customWidth="1"/>
    <col min="10512" max="10752" width="9" style="141"/>
    <col min="10753" max="10753" width="7.33203125" style="141" customWidth="1"/>
    <col min="10754" max="10754" width="18.77734375" style="141" customWidth="1"/>
    <col min="10755" max="10755" width="12.77734375" style="141" customWidth="1"/>
    <col min="10756" max="10756" width="23.109375" style="141" customWidth="1"/>
    <col min="10757" max="10757" width="17.6640625" style="141" customWidth="1"/>
    <col min="10758" max="10759" width="11.88671875" style="141" customWidth="1"/>
    <col min="10760" max="10760" width="12.77734375" style="141" bestFit="1" customWidth="1"/>
    <col min="10761" max="10761" width="8.44140625" style="141" customWidth="1"/>
    <col min="10762" max="10762" width="17.77734375" style="141" bestFit="1" customWidth="1"/>
    <col min="10763" max="10763" width="14.33203125" style="141" customWidth="1"/>
    <col min="10764" max="10764" width="9" style="141"/>
    <col min="10765" max="10765" width="10.21875" style="141" customWidth="1"/>
    <col min="10766" max="10766" width="9" style="141"/>
    <col min="10767" max="10767" width="13.77734375" style="141" bestFit="1" customWidth="1"/>
    <col min="10768" max="11008" width="9" style="141"/>
    <col min="11009" max="11009" width="7.33203125" style="141" customWidth="1"/>
    <col min="11010" max="11010" width="18.77734375" style="141" customWidth="1"/>
    <col min="11011" max="11011" width="12.77734375" style="141" customWidth="1"/>
    <col min="11012" max="11012" width="23.109375" style="141" customWidth="1"/>
    <col min="11013" max="11013" width="17.6640625" style="141" customWidth="1"/>
    <col min="11014" max="11015" width="11.88671875" style="141" customWidth="1"/>
    <col min="11016" max="11016" width="12.77734375" style="141" bestFit="1" customWidth="1"/>
    <col min="11017" max="11017" width="8.44140625" style="141" customWidth="1"/>
    <col min="11018" max="11018" width="17.77734375" style="141" bestFit="1" customWidth="1"/>
    <col min="11019" max="11019" width="14.33203125" style="141" customWidth="1"/>
    <col min="11020" max="11020" width="9" style="141"/>
    <col min="11021" max="11021" width="10.21875" style="141" customWidth="1"/>
    <col min="11022" max="11022" width="9" style="141"/>
    <col min="11023" max="11023" width="13.77734375" style="141" bestFit="1" customWidth="1"/>
    <col min="11024" max="11264" width="9" style="141"/>
    <col min="11265" max="11265" width="7.33203125" style="141" customWidth="1"/>
    <col min="11266" max="11266" width="18.77734375" style="141" customWidth="1"/>
    <col min="11267" max="11267" width="12.77734375" style="141" customWidth="1"/>
    <col min="11268" max="11268" width="23.109375" style="141" customWidth="1"/>
    <col min="11269" max="11269" width="17.6640625" style="141" customWidth="1"/>
    <col min="11270" max="11271" width="11.88671875" style="141" customWidth="1"/>
    <col min="11272" max="11272" width="12.77734375" style="141" bestFit="1" customWidth="1"/>
    <col min="11273" max="11273" width="8.44140625" style="141" customWidth="1"/>
    <col min="11274" max="11274" width="17.77734375" style="141" bestFit="1" customWidth="1"/>
    <col min="11275" max="11275" width="14.33203125" style="141" customWidth="1"/>
    <col min="11276" max="11276" width="9" style="141"/>
    <col min="11277" max="11277" width="10.21875" style="141" customWidth="1"/>
    <col min="11278" max="11278" width="9" style="141"/>
    <col min="11279" max="11279" width="13.77734375" style="141" bestFit="1" customWidth="1"/>
    <col min="11280" max="11520" width="9" style="141"/>
    <col min="11521" max="11521" width="7.33203125" style="141" customWidth="1"/>
    <col min="11522" max="11522" width="18.77734375" style="141" customWidth="1"/>
    <col min="11523" max="11523" width="12.77734375" style="141" customWidth="1"/>
    <col min="11524" max="11524" width="23.109375" style="141" customWidth="1"/>
    <col min="11525" max="11525" width="17.6640625" style="141" customWidth="1"/>
    <col min="11526" max="11527" width="11.88671875" style="141" customWidth="1"/>
    <col min="11528" max="11528" width="12.77734375" style="141" bestFit="1" customWidth="1"/>
    <col min="11529" max="11529" width="8.44140625" style="141" customWidth="1"/>
    <col min="11530" max="11530" width="17.77734375" style="141" bestFit="1" customWidth="1"/>
    <col min="11531" max="11531" width="14.33203125" style="141" customWidth="1"/>
    <col min="11532" max="11532" width="9" style="141"/>
    <col min="11533" max="11533" width="10.21875" style="141" customWidth="1"/>
    <col min="11534" max="11534" width="9" style="141"/>
    <col min="11535" max="11535" width="13.77734375" style="141" bestFit="1" customWidth="1"/>
    <col min="11536" max="11776" width="9" style="141"/>
    <col min="11777" max="11777" width="7.33203125" style="141" customWidth="1"/>
    <col min="11778" max="11778" width="18.77734375" style="141" customWidth="1"/>
    <col min="11779" max="11779" width="12.77734375" style="141" customWidth="1"/>
    <col min="11780" max="11780" width="23.109375" style="141" customWidth="1"/>
    <col min="11781" max="11781" width="17.6640625" style="141" customWidth="1"/>
    <col min="11782" max="11783" width="11.88671875" style="141" customWidth="1"/>
    <col min="11784" max="11784" width="12.77734375" style="141" bestFit="1" customWidth="1"/>
    <col min="11785" max="11785" width="8.44140625" style="141" customWidth="1"/>
    <col min="11786" max="11786" width="17.77734375" style="141" bestFit="1" customWidth="1"/>
    <col min="11787" max="11787" width="14.33203125" style="141" customWidth="1"/>
    <col min="11788" max="11788" width="9" style="141"/>
    <col min="11789" max="11789" width="10.21875" style="141" customWidth="1"/>
    <col min="11790" max="11790" width="9" style="141"/>
    <col min="11791" max="11791" width="13.77734375" style="141" bestFit="1" customWidth="1"/>
    <col min="11792" max="12032" width="9" style="141"/>
    <col min="12033" max="12033" width="7.33203125" style="141" customWidth="1"/>
    <col min="12034" max="12034" width="18.77734375" style="141" customWidth="1"/>
    <col min="12035" max="12035" width="12.77734375" style="141" customWidth="1"/>
    <col min="12036" max="12036" width="23.109375" style="141" customWidth="1"/>
    <col min="12037" max="12037" width="17.6640625" style="141" customWidth="1"/>
    <col min="12038" max="12039" width="11.88671875" style="141" customWidth="1"/>
    <col min="12040" max="12040" width="12.77734375" style="141" bestFit="1" customWidth="1"/>
    <col min="12041" max="12041" width="8.44140625" style="141" customWidth="1"/>
    <col min="12042" max="12042" width="17.77734375" style="141" bestFit="1" customWidth="1"/>
    <col min="12043" max="12043" width="14.33203125" style="141" customWidth="1"/>
    <col min="12044" max="12044" width="9" style="141"/>
    <col min="12045" max="12045" width="10.21875" style="141" customWidth="1"/>
    <col min="12046" max="12046" width="9" style="141"/>
    <col min="12047" max="12047" width="13.77734375" style="141" bestFit="1" customWidth="1"/>
    <col min="12048" max="12288" width="9" style="141"/>
    <col min="12289" max="12289" width="7.33203125" style="141" customWidth="1"/>
    <col min="12290" max="12290" width="18.77734375" style="141" customWidth="1"/>
    <col min="12291" max="12291" width="12.77734375" style="141" customWidth="1"/>
    <col min="12292" max="12292" width="23.109375" style="141" customWidth="1"/>
    <col min="12293" max="12293" width="17.6640625" style="141" customWidth="1"/>
    <col min="12294" max="12295" width="11.88671875" style="141" customWidth="1"/>
    <col min="12296" max="12296" width="12.77734375" style="141" bestFit="1" customWidth="1"/>
    <col min="12297" max="12297" width="8.44140625" style="141" customWidth="1"/>
    <col min="12298" max="12298" width="17.77734375" style="141" bestFit="1" customWidth="1"/>
    <col min="12299" max="12299" width="14.33203125" style="141" customWidth="1"/>
    <col min="12300" max="12300" width="9" style="141"/>
    <col min="12301" max="12301" width="10.21875" style="141" customWidth="1"/>
    <col min="12302" max="12302" width="9" style="141"/>
    <col min="12303" max="12303" width="13.77734375" style="141" bestFit="1" customWidth="1"/>
    <col min="12304" max="12544" width="9" style="141"/>
    <col min="12545" max="12545" width="7.33203125" style="141" customWidth="1"/>
    <col min="12546" max="12546" width="18.77734375" style="141" customWidth="1"/>
    <col min="12547" max="12547" width="12.77734375" style="141" customWidth="1"/>
    <col min="12548" max="12548" width="23.109375" style="141" customWidth="1"/>
    <col min="12549" max="12549" width="17.6640625" style="141" customWidth="1"/>
    <col min="12550" max="12551" width="11.88671875" style="141" customWidth="1"/>
    <col min="12552" max="12552" width="12.77734375" style="141" bestFit="1" customWidth="1"/>
    <col min="12553" max="12553" width="8.44140625" style="141" customWidth="1"/>
    <col min="12554" max="12554" width="17.77734375" style="141" bestFit="1" customWidth="1"/>
    <col min="12555" max="12555" width="14.33203125" style="141" customWidth="1"/>
    <col min="12556" max="12556" width="9" style="141"/>
    <col min="12557" max="12557" width="10.21875" style="141" customWidth="1"/>
    <col min="12558" max="12558" width="9" style="141"/>
    <col min="12559" max="12559" width="13.77734375" style="141" bestFit="1" customWidth="1"/>
    <col min="12560" max="12800" width="9" style="141"/>
    <col min="12801" max="12801" width="7.33203125" style="141" customWidth="1"/>
    <col min="12802" max="12802" width="18.77734375" style="141" customWidth="1"/>
    <col min="12803" max="12803" width="12.77734375" style="141" customWidth="1"/>
    <col min="12804" max="12804" width="23.109375" style="141" customWidth="1"/>
    <col min="12805" max="12805" width="17.6640625" style="141" customWidth="1"/>
    <col min="12806" max="12807" width="11.88671875" style="141" customWidth="1"/>
    <col min="12808" max="12808" width="12.77734375" style="141" bestFit="1" customWidth="1"/>
    <col min="12809" max="12809" width="8.44140625" style="141" customWidth="1"/>
    <col min="12810" max="12810" width="17.77734375" style="141" bestFit="1" customWidth="1"/>
    <col min="12811" max="12811" width="14.33203125" style="141" customWidth="1"/>
    <col min="12812" max="12812" width="9" style="141"/>
    <col min="12813" max="12813" width="10.21875" style="141" customWidth="1"/>
    <col min="12814" max="12814" width="9" style="141"/>
    <col min="12815" max="12815" width="13.77734375" style="141" bestFit="1" customWidth="1"/>
    <col min="12816" max="13056" width="9" style="141"/>
    <col min="13057" max="13057" width="7.33203125" style="141" customWidth="1"/>
    <col min="13058" max="13058" width="18.77734375" style="141" customWidth="1"/>
    <col min="13059" max="13059" width="12.77734375" style="141" customWidth="1"/>
    <col min="13060" max="13060" width="23.109375" style="141" customWidth="1"/>
    <col min="13061" max="13061" width="17.6640625" style="141" customWidth="1"/>
    <col min="13062" max="13063" width="11.88671875" style="141" customWidth="1"/>
    <col min="13064" max="13064" width="12.77734375" style="141" bestFit="1" customWidth="1"/>
    <col min="13065" max="13065" width="8.44140625" style="141" customWidth="1"/>
    <col min="13066" max="13066" width="17.77734375" style="141" bestFit="1" customWidth="1"/>
    <col min="13067" max="13067" width="14.33203125" style="141" customWidth="1"/>
    <col min="13068" max="13068" width="9" style="141"/>
    <col min="13069" max="13069" width="10.21875" style="141" customWidth="1"/>
    <col min="13070" max="13070" width="9" style="141"/>
    <col min="13071" max="13071" width="13.77734375" style="141" bestFit="1" customWidth="1"/>
    <col min="13072" max="13312" width="9" style="141"/>
    <col min="13313" max="13313" width="7.33203125" style="141" customWidth="1"/>
    <col min="13314" max="13314" width="18.77734375" style="141" customWidth="1"/>
    <col min="13315" max="13315" width="12.77734375" style="141" customWidth="1"/>
    <col min="13316" max="13316" width="23.109375" style="141" customWidth="1"/>
    <col min="13317" max="13317" width="17.6640625" style="141" customWidth="1"/>
    <col min="13318" max="13319" width="11.88671875" style="141" customWidth="1"/>
    <col min="13320" max="13320" width="12.77734375" style="141" bestFit="1" customWidth="1"/>
    <col min="13321" max="13321" width="8.44140625" style="141" customWidth="1"/>
    <col min="13322" max="13322" width="17.77734375" style="141" bestFit="1" customWidth="1"/>
    <col min="13323" max="13323" width="14.33203125" style="141" customWidth="1"/>
    <col min="13324" max="13324" width="9" style="141"/>
    <col min="13325" max="13325" width="10.21875" style="141" customWidth="1"/>
    <col min="13326" max="13326" width="9" style="141"/>
    <col min="13327" max="13327" width="13.77734375" style="141" bestFit="1" customWidth="1"/>
    <col min="13328" max="13568" width="9" style="141"/>
    <col min="13569" max="13569" width="7.33203125" style="141" customWidth="1"/>
    <col min="13570" max="13570" width="18.77734375" style="141" customWidth="1"/>
    <col min="13571" max="13571" width="12.77734375" style="141" customWidth="1"/>
    <col min="13572" max="13572" width="23.109375" style="141" customWidth="1"/>
    <col min="13573" max="13573" width="17.6640625" style="141" customWidth="1"/>
    <col min="13574" max="13575" width="11.88671875" style="141" customWidth="1"/>
    <col min="13576" max="13576" width="12.77734375" style="141" bestFit="1" customWidth="1"/>
    <col min="13577" max="13577" width="8.44140625" style="141" customWidth="1"/>
    <col min="13578" max="13578" width="17.77734375" style="141" bestFit="1" customWidth="1"/>
    <col min="13579" max="13579" width="14.33203125" style="141" customWidth="1"/>
    <col min="13580" max="13580" width="9" style="141"/>
    <col min="13581" max="13581" width="10.21875" style="141" customWidth="1"/>
    <col min="13582" max="13582" width="9" style="141"/>
    <col min="13583" max="13583" width="13.77734375" style="141" bestFit="1" customWidth="1"/>
    <col min="13584" max="13824" width="9" style="141"/>
    <col min="13825" max="13825" width="7.33203125" style="141" customWidth="1"/>
    <col min="13826" max="13826" width="18.77734375" style="141" customWidth="1"/>
    <col min="13827" max="13827" width="12.77734375" style="141" customWidth="1"/>
    <col min="13828" max="13828" width="23.109375" style="141" customWidth="1"/>
    <col min="13829" max="13829" width="17.6640625" style="141" customWidth="1"/>
    <col min="13830" max="13831" width="11.88671875" style="141" customWidth="1"/>
    <col min="13832" max="13832" width="12.77734375" style="141" bestFit="1" customWidth="1"/>
    <col min="13833" max="13833" width="8.44140625" style="141" customWidth="1"/>
    <col min="13834" max="13834" width="17.77734375" style="141" bestFit="1" customWidth="1"/>
    <col min="13835" max="13835" width="14.33203125" style="141" customWidth="1"/>
    <col min="13836" max="13836" width="9" style="141"/>
    <col min="13837" max="13837" width="10.21875" style="141" customWidth="1"/>
    <col min="13838" max="13838" width="9" style="141"/>
    <col min="13839" max="13839" width="13.77734375" style="141" bestFit="1" customWidth="1"/>
    <col min="13840" max="14080" width="9" style="141"/>
    <col min="14081" max="14081" width="7.33203125" style="141" customWidth="1"/>
    <col min="14082" max="14082" width="18.77734375" style="141" customWidth="1"/>
    <col min="14083" max="14083" width="12.77734375" style="141" customWidth="1"/>
    <col min="14084" max="14084" width="23.109375" style="141" customWidth="1"/>
    <col min="14085" max="14085" width="17.6640625" style="141" customWidth="1"/>
    <col min="14086" max="14087" width="11.88671875" style="141" customWidth="1"/>
    <col min="14088" max="14088" width="12.77734375" style="141" bestFit="1" customWidth="1"/>
    <col min="14089" max="14089" width="8.44140625" style="141" customWidth="1"/>
    <col min="14090" max="14090" width="17.77734375" style="141" bestFit="1" customWidth="1"/>
    <col min="14091" max="14091" width="14.33203125" style="141" customWidth="1"/>
    <col min="14092" max="14092" width="9" style="141"/>
    <col min="14093" max="14093" width="10.21875" style="141" customWidth="1"/>
    <col min="14094" max="14094" width="9" style="141"/>
    <col min="14095" max="14095" width="13.77734375" style="141" bestFit="1" customWidth="1"/>
    <col min="14096" max="14336" width="9" style="141"/>
    <col min="14337" max="14337" width="7.33203125" style="141" customWidth="1"/>
    <col min="14338" max="14338" width="18.77734375" style="141" customWidth="1"/>
    <col min="14339" max="14339" width="12.77734375" style="141" customWidth="1"/>
    <col min="14340" max="14340" width="23.109375" style="141" customWidth="1"/>
    <col min="14341" max="14341" width="17.6640625" style="141" customWidth="1"/>
    <col min="14342" max="14343" width="11.88671875" style="141" customWidth="1"/>
    <col min="14344" max="14344" width="12.77734375" style="141" bestFit="1" customWidth="1"/>
    <col min="14345" max="14345" width="8.44140625" style="141" customWidth="1"/>
    <col min="14346" max="14346" width="17.77734375" style="141" bestFit="1" customWidth="1"/>
    <col min="14347" max="14347" width="14.33203125" style="141" customWidth="1"/>
    <col min="14348" max="14348" width="9" style="141"/>
    <col min="14349" max="14349" width="10.21875" style="141" customWidth="1"/>
    <col min="14350" max="14350" width="9" style="141"/>
    <col min="14351" max="14351" width="13.77734375" style="141" bestFit="1" customWidth="1"/>
    <col min="14352" max="14592" width="9" style="141"/>
    <col min="14593" max="14593" width="7.33203125" style="141" customWidth="1"/>
    <col min="14594" max="14594" width="18.77734375" style="141" customWidth="1"/>
    <col min="14595" max="14595" width="12.77734375" style="141" customWidth="1"/>
    <col min="14596" max="14596" width="23.109375" style="141" customWidth="1"/>
    <col min="14597" max="14597" width="17.6640625" style="141" customWidth="1"/>
    <col min="14598" max="14599" width="11.88671875" style="141" customWidth="1"/>
    <col min="14600" max="14600" width="12.77734375" style="141" bestFit="1" customWidth="1"/>
    <col min="14601" max="14601" width="8.44140625" style="141" customWidth="1"/>
    <col min="14602" max="14602" width="17.77734375" style="141" bestFit="1" customWidth="1"/>
    <col min="14603" max="14603" width="14.33203125" style="141" customWidth="1"/>
    <col min="14604" max="14604" width="9" style="141"/>
    <col min="14605" max="14605" width="10.21875" style="141" customWidth="1"/>
    <col min="14606" max="14606" width="9" style="141"/>
    <col min="14607" max="14607" width="13.77734375" style="141" bestFit="1" customWidth="1"/>
    <col min="14608" max="14848" width="9" style="141"/>
    <col min="14849" max="14849" width="7.33203125" style="141" customWidth="1"/>
    <col min="14850" max="14850" width="18.77734375" style="141" customWidth="1"/>
    <col min="14851" max="14851" width="12.77734375" style="141" customWidth="1"/>
    <col min="14852" max="14852" width="23.109375" style="141" customWidth="1"/>
    <col min="14853" max="14853" width="17.6640625" style="141" customWidth="1"/>
    <col min="14854" max="14855" width="11.88671875" style="141" customWidth="1"/>
    <col min="14856" max="14856" width="12.77734375" style="141" bestFit="1" customWidth="1"/>
    <col min="14857" max="14857" width="8.44140625" style="141" customWidth="1"/>
    <col min="14858" max="14858" width="17.77734375" style="141" bestFit="1" customWidth="1"/>
    <col min="14859" max="14859" width="14.33203125" style="141" customWidth="1"/>
    <col min="14860" max="14860" width="9" style="141"/>
    <col min="14861" max="14861" width="10.21875" style="141" customWidth="1"/>
    <col min="14862" max="14862" width="9" style="141"/>
    <col min="14863" max="14863" width="13.77734375" style="141" bestFit="1" customWidth="1"/>
    <col min="14864" max="15104" width="9" style="141"/>
    <col min="15105" max="15105" width="7.33203125" style="141" customWidth="1"/>
    <col min="15106" max="15106" width="18.77734375" style="141" customWidth="1"/>
    <col min="15107" max="15107" width="12.77734375" style="141" customWidth="1"/>
    <col min="15108" max="15108" width="23.109375" style="141" customWidth="1"/>
    <col min="15109" max="15109" width="17.6640625" style="141" customWidth="1"/>
    <col min="15110" max="15111" width="11.88671875" style="141" customWidth="1"/>
    <col min="15112" max="15112" width="12.77734375" style="141" bestFit="1" customWidth="1"/>
    <col min="15113" max="15113" width="8.44140625" style="141" customWidth="1"/>
    <col min="15114" max="15114" width="17.77734375" style="141" bestFit="1" customWidth="1"/>
    <col min="15115" max="15115" width="14.33203125" style="141" customWidth="1"/>
    <col min="15116" max="15116" width="9" style="141"/>
    <col min="15117" max="15117" width="10.21875" style="141" customWidth="1"/>
    <col min="15118" max="15118" width="9" style="141"/>
    <col min="15119" max="15119" width="13.77734375" style="141" bestFit="1" customWidth="1"/>
    <col min="15120" max="15360" width="9" style="141"/>
    <col min="15361" max="15361" width="7.33203125" style="141" customWidth="1"/>
    <col min="15362" max="15362" width="18.77734375" style="141" customWidth="1"/>
    <col min="15363" max="15363" width="12.77734375" style="141" customWidth="1"/>
    <col min="15364" max="15364" width="23.109375" style="141" customWidth="1"/>
    <col min="15365" max="15365" width="17.6640625" style="141" customWidth="1"/>
    <col min="15366" max="15367" width="11.88671875" style="141" customWidth="1"/>
    <col min="15368" max="15368" width="12.77734375" style="141" bestFit="1" customWidth="1"/>
    <col min="15369" max="15369" width="8.44140625" style="141" customWidth="1"/>
    <col min="15370" max="15370" width="17.77734375" style="141" bestFit="1" customWidth="1"/>
    <col min="15371" max="15371" width="14.33203125" style="141" customWidth="1"/>
    <col min="15372" max="15372" width="9" style="141"/>
    <col min="15373" max="15373" width="10.21875" style="141" customWidth="1"/>
    <col min="15374" max="15374" width="9" style="141"/>
    <col min="15375" max="15375" width="13.77734375" style="141" bestFit="1" customWidth="1"/>
    <col min="15376" max="15616" width="9" style="141"/>
    <col min="15617" max="15617" width="7.33203125" style="141" customWidth="1"/>
    <col min="15618" max="15618" width="18.77734375" style="141" customWidth="1"/>
    <col min="15619" max="15619" width="12.77734375" style="141" customWidth="1"/>
    <col min="15620" max="15620" width="23.109375" style="141" customWidth="1"/>
    <col min="15621" max="15621" width="17.6640625" style="141" customWidth="1"/>
    <col min="15622" max="15623" width="11.88671875" style="141" customWidth="1"/>
    <col min="15624" max="15624" width="12.77734375" style="141" bestFit="1" customWidth="1"/>
    <col min="15625" max="15625" width="8.44140625" style="141" customWidth="1"/>
    <col min="15626" max="15626" width="17.77734375" style="141" bestFit="1" customWidth="1"/>
    <col min="15627" max="15627" width="14.33203125" style="141" customWidth="1"/>
    <col min="15628" max="15628" width="9" style="141"/>
    <col min="15629" max="15629" width="10.21875" style="141" customWidth="1"/>
    <col min="15630" max="15630" width="9" style="141"/>
    <col min="15631" max="15631" width="13.77734375" style="141" bestFit="1" customWidth="1"/>
    <col min="15632" max="15872" width="9" style="141"/>
    <col min="15873" max="15873" width="7.33203125" style="141" customWidth="1"/>
    <col min="15874" max="15874" width="18.77734375" style="141" customWidth="1"/>
    <col min="15875" max="15875" width="12.77734375" style="141" customWidth="1"/>
    <col min="15876" max="15876" width="23.109375" style="141" customWidth="1"/>
    <col min="15877" max="15877" width="17.6640625" style="141" customWidth="1"/>
    <col min="15878" max="15879" width="11.88671875" style="141" customWidth="1"/>
    <col min="15880" max="15880" width="12.77734375" style="141" bestFit="1" customWidth="1"/>
    <col min="15881" max="15881" width="8.44140625" style="141" customWidth="1"/>
    <col min="15882" max="15882" width="17.77734375" style="141" bestFit="1" customWidth="1"/>
    <col min="15883" max="15883" width="14.33203125" style="141" customWidth="1"/>
    <col min="15884" max="15884" width="9" style="141"/>
    <col min="15885" max="15885" width="10.21875" style="141" customWidth="1"/>
    <col min="15886" max="15886" width="9" style="141"/>
    <col min="15887" max="15887" width="13.77734375" style="141" bestFit="1" customWidth="1"/>
    <col min="15888" max="16128" width="9" style="141"/>
    <col min="16129" max="16129" width="7.33203125" style="141" customWidth="1"/>
    <col min="16130" max="16130" width="18.77734375" style="141" customWidth="1"/>
    <col min="16131" max="16131" width="12.77734375" style="141" customWidth="1"/>
    <col min="16132" max="16132" width="23.109375" style="141" customWidth="1"/>
    <col min="16133" max="16133" width="17.6640625" style="141" customWidth="1"/>
    <col min="16134" max="16135" width="11.88671875" style="141" customWidth="1"/>
    <col min="16136" max="16136" width="12.77734375" style="141" bestFit="1" customWidth="1"/>
    <col min="16137" max="16137" width="8.44140625" style="141" customWidth="1"/>
    <col min="16138" max="16138" width="17.77734375" style="141" bestFit="1" customWidth="1"/>
    <col min="16139" max="16139" width="14.33203125" style="141" customWidth="1"/>
    <col min="16140" max="16140" width="9" style="141"/>
    <col min="16141" max="16141" width="10.21875" style="141" customWidth="1"/>
    <col min="16142" max="16142" width="9" style="141"/>
    <col min="16143" max="16143" width="13.77734375" style="141" bestFit="1" customWidth="1"/>
    <col min="16144" max="16384" width="9" style="141"/>
  </cols>
  <sheetData>
    <row r="1" spans="1:16" s="125" customFormat="1" ht="24.9" customHeight="1" thickBot="1">
      <c r="A1" s="207" t="s">
        <v>136</v>
      </c>
      <c r="B1" s="207"/>
      <c r="C1" s="208" t="s">
        <v>137</v>
      </c>
      <c r="D1" s="208"/>
      <c r="H1" s="126"/>
      <c r="I1" s="126"/>
      <c r="J1" s="126"/>
      <c r="K1" s="126"/>
    </row>
    <row r="2" spans="1:16" s="130" customFormat="1" ht="24.9" customHeight="1" thickTop="1">
      <c r="A2" s="162" t="s">
        <v>138</v>
      </c>
      <c r="B2" s="144" t="s">
        <v>139</v>
      </c>
      <c r="C2" s="144" t="s">
        <v>140</v>
      </c>
      <c r="D2" s="127" t="s">
        <v>141</v>
      </c>
      <c r="E2" s="128"/>
      <c r="F2" s="128"/>
      <c r="G2" s="129" t="s">
        <v>142</v>
      </c>
      <c r="H2" s="129" t="s">
        <v>143</v>
      </c>
      <c r="K2" s="131" t="s">
        <v>144</v>
      </c>
      <c r="M2" s="161"/>
      <c r="N2" s="159"/>
      <c r="O2" s="161"/>
      <c r="P2" s="134"/>
    </row>
    <row r="3" spans="1:16" s="125" customFormat="1" ht="30" customHeight="1">
      <c r="A3" s="163">
        <v>601</v>
      </c>
      <c r="B3" s="135" t="s">
        <v>171</v>
      </c>
      <c r="C3" s="145"/>
      <c r="D3" s="209" t="s">
        <v>175</v>
      </c>
      <c r="E3" s="161" t="s">
        <v>145</v>
      </c>
      <c r="F3" s="161" t="s">
        <v>146</v>
      </c>
      <c r="G3" s="161" t="s">
        <v>147</v>
      </c>
      <c r="H3" s="161" t="s">
        <v>148</v>
      </c>
      <c r="I3" s="136">
        <v>0.01</v>
      </c>
      <c r="J3" s="161" t="s">
        <v>149</v>
      </c>
      <c r="K3" s="125">
        <v>5200</v>
      </c>
      <c r="L3" s="125">
        <v>5885</v>
      </c>
      <c r="N3" s="159"/>
      <c r="O3" s="161"/>
      <c r="P3" s="134"/>
    </row>
    <row r="4" spans="1:16" s="125" customFormat="1" ht="30" customHeight="1">
      <c r="A4" s="163">
        <v>602</v>
      </c>
      <c r="B4" s="135" t="s">
        <v>171</v>
      </c>
      <c r="C4" s="145"/>
      <c r="D4" s="210"/>
      <c r="E4" s="161" t="s">
        <v>150</v>
      </c>
      <c r="F4" s="161" t="s">
        <v>146</v>
      </c>
      <c r="G4" s="161" t="s">
        <v>152</v>
      </c>
      <c r="H4" s="161" t="s">
        <v>153</v>
      </c>
      <c r="I4" s="136">
        <v>0.01</v>
      </c>
      <c r="J4" s="161" t="s">
        <v>154</v>
      </c>
      <c r="K4" s="125">
        <v>5200</v>
      </c>
      <c r="L4" s="125">
        <v>6300</v>
      </c>
      <c r="N4" s="159"/>
      <c r="O4" s="161"/>
      <c r="P4" s="134"/>
    </row>
    <row r="5" spans="1:16" s="125" customFormat="1" ht="30" customHeight="1">
      <c r="A5" s="163">
        <v>603</v>
      </c>
      <c r="B5" s="135" t="s">
        <v>171</v>
      </c>
      <c r="C5" s="145"/>
      <c r="D5" s="210"/>
      <c r="E5" s="137" t="s">
        <v>155</v>
      </c>
      <c r="F5" s="161" t="s">
        <v>146</v>
      </c>
      <c r="G5" s="161" t="s">
        <v>156</v>
      </c>
      <c r="H5" s="161" t="s">
        <v>157</v>
      </c>
      <c r="I5" s="136">
        <v>0.01</v>
      </c>
      <c r="J5" s="161" t="s">
        <v>158</v>
      </c>
      <c r="K5" s="125">
        <v>6650</v>
      </c>
      <c r="L5" s="125">
        <v>6750</v>
      </c>
      <c r="M5" s="125">
        <v>7110</v>
      </c>
      <c r="N5" s="159"/>
      <c r="O5" s="161"/>
      <c r="P5" s="134"/>
    </row>
    <row r="6" spans="1:16" s="125" customFormat="1" ht="30" customHeight="1">
      <c r="A6" s="163">
        <v>604</v>
      </c>
      <c r="B6" s="135" t="s">
        <v>171</v>
      </c>
      <c r="C6" s="145"/>
      <c r="D6" s="210"/>
      <c r="E6" s="161" t="s">
        <v>159</v>
      </c>
      <c r="F6" s="161" t="s">
        <v>160</v>
      </c>
      <c r="G6" s="161" t="s">
        <v>161</v>
      </c>
      <c r="H6" s="161" t="s">
        <v>157</v>
      </c>
      <c r="I6" s="136">
        <v>0.01</v>
      </c>
      <c r="J6" s="161" t="s">
        <v>162</v>
      </c>
      <c r="K6" s="125">
        <v>5150</v>
      </c>
      <c r="L6" s="125">
        <v>5250</v>
      </c>
      <c r="N6" s="159"/>
      <c r="O6" s="161"/>
      <c r="P6" s="134"/>
    </row>
    <row r="7" spans="1:16" s="125" customFormat="1" ht="30" customHeight="1">
      <c r="A7" s="163">
        <v>605</v>
      </c>
      <c r="B7" s="164"/>
      <c r="C7" s="145"/>
      <c r="D7" s="210"/>
      <c r="E7" s="161" t="s">
        <v>163</v>
      </c>
      <c r="F7" s="161" t="s">
        <v>160</v>
      </c>
      <c r="G7" s="161" t="s">
        <v>164</v>
      </c>
      <c r="H7" s="161" t="s">
        <v>157</v>
      </c>
      <c r="I7" s="136">
        <v>0.01</v>
      </c>
      <c r="J7" s="161" t="s">
        <v>165</v>
      </c>
      <c r="K7" s="125">
        <v>12200</v>
      </c>
      <c r="L7" s="125">
        <v>12400</v>
      </c>
      <c r="P7" s="126"/>
    </row>
    <row r="8" spans="1:16" s="125" customFormat="1" ht="30" customHeight="1">
      <c r="A8" s="163">
        <v>606</v>
      </c>
      <c r="B8" s="164"/>
      <c r="C8" s="145"/>
      <c r="D8" s="210"/>
      <c r="E8" s="161"/>
      <c r="F8" s="161"/>
      <c r="G8" s="161"/>
      <c r="H8" s="134"/>
    </row>
    <row r="9" spans="1:16" s="125" customFormat="1" ht="30" customHeight="1">
      <c r="A9" s="163">
        <v>607</v>
      </c>
      <c r="B9" s="164"/>
      <c r="C9" s="145"/>
      <c r="D9" s="210"/>
      <c r="E9" s="161"/>
      <c r="F9" s="161"/>
      <c r="G9" s="161"/>
      <c r="H9" s="134"/>
    </row>
    <row r="10" spans="1:16" s="125" customFormat="1" ht="30" customHeight="1">
      <c r="A10" s="163">
        <v>608</v>
      </c>
      <c r="B10" s="164"/>
      <c r="C10" s="145"/>
      <c r="D10" s="210"/>
      <c r="E10" s="161"/>
      <c r="F10" s="159"/>
      <c r="G10" s="161"/>
      <c r="H10" s="134"/>
    </row>
    <row r="11" spans="1:16" s="125" customFormat="1" ht="30" customHeight="1">
      <c r="A11" s="163">
        <v>611</v>
      </c>
      <c r="B11" s="164"/>
      <c r="C11" s="145"/>
      <c r="D11" s="210"/>
      <c r="E11" s="161"/>
      <c r="F11" s="159"/>
      <c r="G11" s="161"/>
      <c r="H11" s="134"/>
    </row>
    <row r="12" spans="1:16" s="125" customFormat="1" ht="30" customHeight="1">
      <c r="A12" s="163">
        <v>612</v>
      </c>
      <c r="B12" s="164"/>
      <c r="C12" s="145"/>
      <c r="D12" s="210"/>
      <c r="E12" s="137"/>
      <c r="F12" s="159"/>
      <c r="G12" s="161"/>
      <c r="H12" s="134"/>
    </row>
    <row r="13" spans="1:16" s="125" customFormat="1" ht="30" customHeight="1">
      <c r="A13" s="163">
        <v>613</v>
      </c>
      <c r="B13" s="164"/>
      <c r="C13" s="145"/>
      <c r="D13" s="210"/>
      <c r="E13" s="212"/>
      <c r="F13" s="213"/>
      <c r="G13" s="217"/>
      <c r="H13" s="214"/>
      <c r="K13" s="215"/>
    </row>
    <row r="14" spans="1:16" s="125" customFormat="1" ht="30" customHeight="1">
      <c r="A14" s="163">
        <v>617</v>
      </c>
      <c r="B14" s="164"/>
      <c r="C14" s="145"/>
      <c r="D14" s="210"/>
      <c r="E14" s="212"/>
      <c r="F14" s="213"/>
      <c r="G14" s="217"/>
      <c r="H14" s="214"/>
      <c r="K14" s="215"/>
    </row>
    <row r="15" spans="1:16" s="125" customFormat="1" ht="30" customHeight="1">
      <c r="A15" s="163">
        <v>618</v>
      </c>
      <c r="B15" s="164"/>
      <c r="C15" s="145"/>
      <c r="D15" s="210"/>
      <c r="E15" s="212"/>
      <c r="F15" s="213"/>
      <c r="G15" s="217"/>
      <c r="H15" s="214"/>
      <c r="I15" s="126"/>
      <c r="J15" s="126"/>
      <c r="K15" s="160"/>
    </row>
    <row r="16" spans="1:16" s="125" customFormat="1" ht="22.2" customHeight="1" thickBot="1">
      <c r="A16" s="165"/>
      <c r="B16" s="166"/>
      <c r="C16" s="146"/>
      <c r="D16" s="211"/>
      <c r="H16" s="126"/>
      <c r="I16" s="126"/>
      <c r="J16" s="126"/>
      <c r="K16" s="126"/>
    </row>
    <row r="17" spans="1:19" s="125" customFormat="1" ht="22.2" customHeight="1" thickTop="1">
      <c r="A17" s="167"/>
      <c r="B17" s="168"/>
      <c r="C17" s="147"/>
      <c r="D17" s="140"/>
      <c r="H17" s="126"/>
      <c r="I17" s="126"/>
      <c r="J17" s="126"/>
      <c r="K17" s="126"/>
    </row>
    <row r="18" spans="1:19" ht="21" customHeight="1" thickBot="1">
      <c r="A18" s="216" t="s">
        <v>166</v>
      </c>
      <c r="B18" s="216"/>
      <c r="C18" s="208" t="s">
        <v>137</v>
      </c>
      <c r="D18" s="208"/>
    </row>
    <row r="19" spans="1:19" ht="24.9" customHeight="1" thickTop="1">
      <c r="A19" s="162" t="s">
        <v>138</v>
      </c>
      <c r="B19" s="144" t="s">
        <v>170</v>
      </c>
      <c r="C19" s="144" t="s">
        <v>167</v>
      </c>
      <c r="D19" s="143" t="s">
        <v>168</v>
      </c>
    </row>
    <row r="20" spans="1:19" ht="30" customHeight="1">
      <c r="A20" s="163">
        <v>601</v>
      </c>
      <c r="B20" s="135" t="s">
        <v>171</v>
      </c>
      <c r="C20" s="145"/>
      <c r="D20" s="209" t="s">
        <v>175</v>
      </c>
      <c r="G20" s="152"/>
      <c r="H20" s="153"/>
      <c r="I20" s="153"/>
      <c r="J20" s="153"/>
      <c r="K20" s="153"/>
      <c r="L20" s="152"/>
      <c r="M20" s="152"/>
      <c r="N20" s="152"/>
      <c r="O20" s="152"/>
      <c r="P20" s="152"/>
      <c r="Q20" s="152"/>
      <c r="R20" s="152"/>
      <c r="S20" s="152"/>
    </row>
    <row r="21" spans="1:19" ht="30" customHeight="1">
      <c r="A21" s="163">
        <v>602</v>
      </c>
      <c r="B21" s="135" t="s">
        <v>171</v>
      </c>
      <c r="C21" s="145"/>
      <c r="D21" s="210"/>
      <c r="G21" s="154"/>
      <c r="H21" s="154"/>
      <c r="I21" s="154"/>
      <c r="J21" s="154"/>
      <c r="K21" s="155"/>
      <c r="L21" s="155"/>
      <c r="M21" s="155"/>
      <c r="N21" s="155"/>
      <c r="O21" s="155"/>
      <c r="P21" s="155"/>
      <c r="Q21" s="155"/>
      <c r="R21" s="155"/>
      <c r="S21" s="155"/>
    </row>
    <row r="22" spans="1:19" ht="30" customHeight="1">
      <c r="A22" s="163">
        <v>603</v>
      </c>
      <c r="B22" s="135" t="s">
        <v>171</v>
      </c>
      <c r="C22" s="145"/>
      <c r="D22" s="210"/>
      <c r="G22" s="156"/>
      <c r="H22" s="156"/>
      <c r="I22" s="156"/>
      <c r="J22" s="156"/>
      <c r="K22" s="156"/>
      <c r="L22" s="156"/>
      <c r="M22" s="156"/>
      <c r="N22" s="156"/>
      <c r="O22" s="156"/>
      <c r="P22" s="156"/>
      <c r="Q22" s="156"/>
      <c r="R22" s="156"/>
      <c r="S22" s="156"/>
    </row>
    <row r="23" spans="1:19" ht="30" customHeight="1">
      <c r="A23" s="163">
        <v>604</v>
      </c>
      <c r="B23" s="135" t="s">
        <v>171</v>
      </c>
      <c r="C23" s="145"/>
      <c r="D23" s="210"/>
      <c r="G23" s="152"/>
      <c r="H23" s="153"/>
      <c r="I23" s="153"/>
      <c r="J23" s="153"/>
      <c r="K23" s="153"/>
      <c r="L23" s="152"/>
      <c r="M23" s="152"/>
      <c r="N23" s="152"/>
      <c r="O23" s="152"/>
      <c r="P23" s="152"/>
      <c r="Q23" s="152"/>
      <c r="R23" s="152"/>
      <c r="S23" s="152"/>
    </row>
    <row r="24" spans="1:19" ht="30" customHeight="1">
      <c r="A24" s="163">
        <v>605</v>
      </c>
      <c r="B24" s="164"/>
      <c r="C24" s="145"/>
      <c r="D24" s="210"/>
    </row>
    <row r="25" spans="1:19" ht="30" customHeight="1">
      <c r="A25" s="163">
        <v>606</v>
      </c>
      <c r="B25" s="164"/>
      <c r="C25" s="145"/>
      <c r="D25" s="210"/>
    </row>
    <row r="26" spans="1:19" ht="30" customHeight="1">
      <c r="A26" s="163">
        <v>607</v>
      </c>
      <c r="B26" s="164"/>
      <c r="C26" s="145"/>
      <c r="D26" s="210"/>
    </row>
    <row r="27" spans="1:19" ht="30" customHeight="1">
      <c r="A27" s="163">
        <v>608</v>
      </c>
      <c r="B27" s="164"/>
      <c r="C27" s="145"/>
      <c r="D27" s="210"/>
    </row>
    <row r="28" spans="1:19" ht="30" customHeight="1">
      <c r="A28" s="163">
        <v>611</v>
      </c>
      <c r="B28" s="164"/>
      <c r="C28" s="145"/>
      <c r="D28" s="210"/>
    </row>
    <row r="29" spans="1:19" ht="30" customHeight="1">
      <c r="A29" s="163">
        <v>612</v>
      </c>
      <c r="B29" s="164"/>
      <c r="C29" s="145"/>
      <c r="D29" s="210"/>
    </row>
    <row r="30" spans="1:19" ht="30" customHeight="1">
      <c r="A30" s="163">
        <v>613</v>
      </c>
      <c r="B30" s="164"/>
      <c r="C30" s="145"/>
      <c r="D30" s="210"/>
    </row>
    <row r="31" spans="1:19" ht="30" customHeight="1">
      <c r="A31" s="163">
        <v>617</v>
      </c>
      <c r="B31" s="164"/>
      <c r="C31" s="145"/>
      <c r="D31" s="210"/>
    </row>
    <row r="32" spans="1:19" ht="30" customHeight="1">
      <c r="A32" s="163">
        <v>618</v>
      </c>
      <c r="B32" s="164"/>
      <c r="C32" s="145"/>
      <c r="D32" s="210"/>
    </row>
    <row r="33" spans="1:4" ht="24.9" customHeight="1" thickBot="1">
      <c r="A33" s="165"/>
      <c r="B33" s="166"/>
      <c r="C33" s="146"/>
      <c r="D33" s="211"/>
    </row>
    <row r="34" spans="1:4" ht="16.2" thickTop="1"/>
    <row r="87" spans="1:1" ht="28.8">
      <c r="A87" s="169" t="s">
        <v>169</v>
      </c>
    </row>
    <row r="88" spans="1:1" ht="25.5" customHeight="1"/>
  </sheetData>
  <mergeCells count="11">
    <mergeCell ref="A1:B1"/>
    <mergeCell ref="C1:D1"/>
    <mergeCell ref="D3:D16"/>
    <mergeCell ref="E13:E15"/>
    <mergeCell ref="F13:F15"/>
    <mergeCell ref="H13:H15"/>
    <mergeCell ref="K13:K14"/>
    <mergeCell ref="A18:B18"/>
    <mergeCell ref="C18:D18"/>
    <mergeCell ref="D20:D33"/>
    <mergeCell ref="G13:G15"/>
  </mergeCells>
  <phoneticPr fontId="2" type="noConversion"/>
  <conditionalFormatting sqref="G21">
    <cfRule type="expression" dxfId="2255" priority="26">
      <formula>ABS(G$7-G$10)&gt;=1000</formula>
    </cfRule>
  </conditionalFormatting>
  <conditionalFormatting sqref="H21">
    <cfRule type="expression" dxfId="2254" priority="25">
      <formula>ABS(H$7-H$10)&gt;=1000</formula>
    </cfRule>
  </conditionalFormatting>
  <conditionalFormatting sqref="I21">
    <cfRule type="expression" dxfId="2253" priority="24">
      <formula>ABS(I$7-I$10)&gt;=1000</formula>
    </cfRule>
  </conditionalFormatting>
  <conditionalFormatting sqref="J21">
    <cfRule type="expression" dxfId="2252" priority="23">
      <formula>ABS(J$7-J$10)&gt;=1000</formula>
    </cfRule>
  </conditionalFormatting>
  <conditionalFormatting sqref="K21">
    <cfRule type="expression" dxfId="2251" priority="22">
      <formula>ABS(K$7-K$10)&gt;=1000</formula>
    </cfRule>
  </conditionalFormatting>
  <conditionalFormatting sqref="M21">
    <cfRule type="expression" dxfId="2250" priority="21">
      <formula>ABS(M$7-M$10)&gt;=1000</formula>
    </cfRule>
  </conditionalFormatting>
  <conditionalFormatting sqref="N21">
    <cfRule type="expression" dxfId="2249" priority="20">
      <formula>ABS(N$7-N$10)&gt;=1000</formula>
    </cfRule>
  </conditionalFormatting>
  <conditionalFormatting sqref="O21">
    <cfRule type="expression" dxfId="2248" priority="19">
      <formula>ABS(O$7-O$10)&gt;=1000</formula>
    </cfRule>
  </conditionalFormatting>
  <conditionalFormatting sqref="P21">
    <cfRule type="expression" dxfId="2247" priority="18">
      <formula>ABS(P$7-P$10)&gt;=1000</formula>
    </cfRule>
  </conditionalFormatting>
  <conditionalFormatting sqref="Q21">
    <cfRule type="expression" dxfId="2246" priority="17">
      <formula>ABS(Q$7-Q$10)&gt;=1000</formula>
    </cfRule>
  </conditionalFormatting>
  <conditionalFormatting sqref="R21">
    <cfRule type="expression" dxfId="2245" priority="16">
      <formula>ABS(R$7-R$10)&gt;=1000</formula>
    </cfRule>
  </conditionalFormatting>
  <conditionalFormatting sqref="S21">
    <cfRule type="expression" dxfId="2244" priority="15">
      <formula>ABS(S$7-S$10)&gt;=1000</formula>
    </cfRule>
  </conditionalFormatting>
  <conditionalFormatting sqref="L21">
    <cfRule type="expression" dxfId="2243" priority="14">
      <formula>ABS(L$7-L$10)&gt;=1000</formula>
    </cfRule>
  </conditionalFormatting>
  <conditionalFormatting sqref="G22">
    <cfRule type="expression" dxfId="2242" priority="13">
      <formula>ABS(G$7-G$10)&gt;=1000</formula>
    </cfRule>
  </conditionalFormatting>
  <conditionalFormatting sqref="H22">
    <cfRule type="expression" dxfId="2241" priority="12">
      <formula>ABS(H$7-H$10)&gt;=1000</formula>
    </cfRule>
  </conditionalFormatting>
  <conditionalFormatting sqref="I22">
    <cfRule type="expression" dxfId="2240" priority="11">
      <formula>ABS(I$7-I$10)&gt;=1000</formula>
    </cfRule>
  </conditionalFormatting>
  <conditionalFormatting sqref="J22">
    <cfRule type="expression" dxfId="2239" priority="10">
      <formula>ABS(J$7-J$10)&gt;=1000</formula>
    </cfRule>
  </conditionalFormatting>
  <conditionalFormatting sqref="K22">
    <cfRule type="expression" dxfId="2238" priority="9">
      <formula>ABS(K$7-K$10)&gt;=1000</formula>
    </cfRule>
  </conditionalFormatting>
  <conditionalFormatting sqref="L22">
    <cfRule type="expression" dxfId="2237" priority="8">
      <formula>ABS(L$7-L$10)&gt;=1000</formula>
    </cfRule>
  </conditionalFormatting>
  <conditionalFormatting sqref="M22">
    <cfRule type="expression" dxfId="2236" priority="7">
      <formula>ABS(M$7-M$10)&gt;=1000</formula>
    </cfRule>
  </conditionalFormatting>
  <conditionalFormatting sqref="N22">
    <cfRule type="expression" dxfId="2235" priority="6">
      <formula>ABS(N$7-N$10)&gt;=1000</formula>
    </cfRule>
  </conditionalFormatting>
  <conditionalFormatting sqref="O22">
    <cfRule type="expression" dxfId="2234" priority="5">
      <formula>ABS(O$7-O$10)&gt;=1000</formula>
    </cfRule>
  </conditionalFormatting>
  <conditionalFormatting sqref="P22">
    <cfRule type="expression" dxfId="2233" priority="4">
      <formula>ABS(P$7-P$10)&gt;=1000</formula>
    </cfRule>
  </conditionalFormatting>
  <conditionalFormatting sqref="Q22">
    <cfRule type="expression" dxfId="2232" priority="3">
      <formula>ABS(Q$7-Q$10)&gt;=1000</formula>
    </cfRule>
  </conditionalFormatting>
  <conditionalFormatting sqref="R22">
    <cfRule type="expression" dxfId="2231" priority="2">
      <formula>ABS(R$7-R$10)&gt;=1000</formula>
    </cfRule>
  </conditionalFormatting>
  <conditionalFormatting sqref="S22">
    <cfRule type="expression" dxfId="2230" priority="1">
      <formula>ABS(S$7-S$10)&gt;=1000</formula>
    </cfRule>
  </conditionalFormatting>
  <dataValidations count="8">
    <dataValidation type="whole" errorStyle="warning" allowBlank="1" showInputMessage="1" showErrorMessage="1" error="液位異常。請確認輸入是否正確。" sqref="B14:B15 B31:B32">
      <formula1>0</formula1>
      <formula2>12500</formula2>
    </dataValidation>
    <dataValidation type="whole" errorStyle="warning" allowBlank="1" showInputMessage="1" showErrorMessage="1" error="液位異常。請確認輸入是否正確。" sqref="B13 B30">
      <formula1>0</formula1>
      <formula2>5500</formula2>
    </dataValidation>
    <dataValidation type="whole" errorStyle="warning" allowBlank="1" showInputMessage="1" showErrorMessage="1" error="液位異常。請確認輸入是否正確。" sqref="B12 B29">
      <formula1>0</formula1>
      <formula2>7500</formula2>
    </dataValidation>
    <dataValidation type="whole" errorStyle="warning" allowBlank="1" showInputMessage="1" showErrorMessage="1" error="液位異常。請確認輸入是否正確。" sqref="B11 B28">
      <formula1>0</formula1>
      <formula2>8000</formula2>
    </dataValidation>
    <dataValidation type="whole" errorStyle="warning" allowBlank="1" showInputMessage="1" showErrorMessage="1" error="液位異常。請確認輸入是否正確。" sqref="B24:B27 B7:B10">
      <formula1>0</formula1>
      <formula2>6500</formula2>
    </dataValidation>
    <dataValidation type="whole" errorStyle="warning" allowBlank="1" showInputMessage="1" showErrorMessage="1" error="溫度異常。請確認輸入是否正確。" sqref="C3:C15 C20:C32">
      <formula1>1</formula1>
      <formula2>50</formula2>
    </dataValidation>
    <dataValidation type="custom" errorStyle="warning" allowBlank="1" showInputMessage="1" showErrorMessage="1" error="***你在睡喔,醒醒好嗎" sqref="WLN983060:WLN983072 IX3:IX15 ST3:ST15 ACP3:ACP15 AML3:AML15 AWH3:AWH15 BGD3:BGD15 BPZ3:BPZ15 BZV3:BZV15 CJR3:CJR15 CTN3:CTN15 DDJ3:DDJ15 DNF3:DNF15 DXB3:DXB15 EGX3:EGX15 EQT3:EQT15 FAP3:FAP15 FKL3:FKL15 FUH3:FUH15 GED3:GED15 GNZ3:GNZ15 GXV3:GXV15 HHR3:HHR15 HRN3:HRN15 IBJ3:IBJ15 ILF3:ILF15 IVB3:IVB15 JEX3:JEX15 JOT3:JOT15 JYP3:JYP15 KIL3:KIL15 KSH3:KSH15 LCD3:LCD15 LLZ3:LLZ15 LVV3:LVV15 MFR3:MFR15 MPN3:MPN15 MZJ3:MZJ15 NJF3:NJF15 NTB3:NTB15 OCX3:OCX15 OMT3:OMT15 OWP3:OWP15 PGL3:PGL15 PQH3:PQH15 QAD3:QAD15 QJZ3:QJZ15 QTV3:QTV15 RDR3:RDR15 RNN3:RNN15 RXJ3:RXJ15 SHF3:SHF15 SRB3:SRB15 TAX3:TAX15 TKT3:TKT15 TUP3:TUP15 UEL3:UEL15 UOH3:UOH15 UYD3:UYD15 VHZ3:VHZ15 VRV3:VRV15 WBR3:WBR15 WLN3:WLN15 WVJ3:WVJ15 B65539:B65551 IX65539:IX65551 ST65539:ST65551 ACP65539:ACP65551 AML65539:AML65551 AWH65539:AWH65551 BGD65539:BGD65551 BPZ65539:BPZ65551 BZV65539:BZV65551 CJR65539:CJR65551 CTN65539:CTN65551 DDJ65539:DDJ65551 DNF65539:DNF65551 DXB65539:DXB65551 EGX65539:EGX65551 EQT65539:EQT65551 FAP65539:FAP65551 FKL65539:FKL65551 FUH65539:FUH65551 GED65539:GED65551 GNZ65539:GNZ65551 GXV65539:GXV65551 HHR65539:HHR65551 HRN65539:HRN65551 IBJ65539:IBJ65551 ILF65539:ILF65551 IVB65539:IVB65551 JEX65539:JEX65551 JOT65539:JOT65551 JYP65539:JYP65551 KIL65539:KIL65551 KSH65539:KSH65551 LCD65539:LCD65551 LLZ65539:LLZ65551 LVV65539:LVV65551 MFR65539:MFR65551 MPN65539:MPN65551 MZJ65539:MZJ65551 NJF65539:NJF65551 NTB65539:NTB65551 OCX65539:OCX65551 OMT65539:OMT65551 OWP65539:OWP65551 PGL65539:PGL65551 PQH65539:PQH65551 QAD65539:QAD65551 QJZ65539:QJZ65551 QTV65539:QTV65551 RDR65539:RDR65551 RNN65539:RNN65551 RXJ65539:RXJ65551 SHF65539:SHF65551 SRB65539:SRB65551 TAX65539:TAX65551 TKT65539:TKT65551 TUP65539:TUP65551 UEL65539:UEL65551 UOH65539:UOH65551 UYD65539:UYD65551 VHZ65539:VHZ65551 VRV65539:VRV65551 WBR65539:WBR65551 WLN65539:WLN65551 WVJ65539:WVJ65551 B131075:B131087 IX131075:IX131087 ST131075:ST131087 ACP131075:ACP131087 AML131075:AML131087 AWH131075:AWH131087 BGD131075:BGD131087 BPZ131075:BPZ131087 BZV131075:BZV131087 CJR131075:CJR131087 CTN131075:CTN131087 DDJ131075:DDJ131087 DNF131075:DNF131087 DXB131075:DXB131087 EGX131075:EGX131087 EQT131075:EQT131087 FAP131075:FAP131087 FKL131075:FKL131087 FUH131075:FUH131087 GED131075:GED131087 GNZ131075:GNZ131087 GXV131075:GXV131087 HHR131075:HHR131087 HRN131075:HRN131087 IBJ131075:IBJ131087 ILF131075:ILF131087 IVB131075:IVB131087 JEX131075:JEX131087 JOT131075:JOT131087 JYP131075:JYP131087 KIL131075:KIL131087 KSH131075:KSH131087 LCD131075:LCD131087 LLZ131075:LLZ131087 LVV131075:LVV131087 MFR131075:MFR131087 MPN131075:MPN131087 MZJ131075:MZJ131087 NJF131075:NJF131087 NTB131075:NTB131087 OCX131075:OCX131087 OMT131075:OMT131087 OWP131075:OWP131087 PGL131075:PGL131087 PQH131075:PQH131087 QAD131075:QAD131087 QJZ131075:QJZ131087 QTV131075:QTV131087 RDR131075:RDR131087 RNN131075:RNN131087 RXJ131075:RXJ131087 SHF131075:SHF131087 SRB131075:SRB131087 TAX131075:TAX131087 TKT131075:TKT131087 TUP131075:TUP131087 UEL131075:UEL131087 UOH131075:UOH131087 UYD131075:UYD131087 VHZ131075:VHZ131087 VRV131075:VRV131087 WBR131075:WBR131087 WLN131075:WLN131087 WVJ131075:WVJ131087 B196611:B196623 IX196611:IX196623 ST196611:ST196623 ACP196611:ACP196623 AML196611:AML196623 AWH196611:AWH196623 BGD196611:BGD196623 BPZ196611:BPZ196623 BZV196611:BZV196623 CJR196611:CJR196623 CTN196611:CTN196623 DDJ196611:DDJ196623 DNF196611:DNF196623 DXB196611:DXB196623 EGX196611:EGX196623 EQT196611:EQT196623 FAP196611:FAP196623 FKL196611:FKL196623 FUH196611:FUH196623 GED196611:GED196623 GNZ196611:GNZ196623 GXV196611:GXV196623 HHR196611:HHR196623 HRN196611:HRN196623 IBJ196611:IBJ196623 ILF196611:ILF196623 IVB196611:IVB196623 JEX196611:JEX196623 JOT196611:JOT196623 JYP196611:JYP196623 KIL196611:KIL196623 KSH196611:KSH196623 LCD196611:LCD196623 LLZ196611:LLZ196623 LVV196611:LVV196623 MFR196611:MFR196623 MPN196611:MPN196623 MZJ196611:MZJ196623 NJF196611:NJF196623 NTB196611:NTB196623 OCX196611:OCX196623 OMT196611:OMT196623 OWP196611:OWP196623 PGL196611:PGL196623 PQH196611:PQH196623 QAD196611:QAD196623 QJZ196611:QJZ196623 QTV196611:QTV196623 RDR196611:RDR196623 RNN196611:RNN196623 RXJ196611:RXJ196623 SHF196611:SHF196623 SRB196611:SRB196623 TAX196611:TAX196623 TKT196611:TKT196623 TUP196611:TUP196623 UEL196611:UEL196623 UOH196611:UOH196623 UYD196611:UYD196623 VHZ196611:VHZ196623 VRV196611:VRV196623 WBR196611:WBR196623 WLN196611:WLN196623 WVJ196611:WVJ196623 B262147:B262159 IX262147:IX262159 ST262147:ST262159 ACP262147:ACP262159 AML262147:AML262159 AWH262147:AWH262159 BGD262147:BGD262159 BPZ262147:BPZ262159 BZV262147:BZV262159 CJR262147:CJR262159 CTN262147:CTN262159 DDJ262147:DDJ262159 DNF262147:DNF262159 DXB262147:DXB262159 EGX262147:EGX262159 EQT262147:EQT262159 FAP262147:FAP262159 FKL262147:FKL262159 FUH262147:FUH262159 GED262147:GED262159 GNZ262147:GNZ262159 GXV262147:GXV262159 HHR262147:HHR262159 HRN262147:HRN262159 IBJ262147:IBJ262159 ILF262147:ILF262159 IVB262147:IVB262159 JEX262147:JEX262159 JOT262147:JOT262159 JYP262147:JYP262159 KIL262147:KIL262159 KSH262147:KSH262159 LCD262147:LCD262159 LLZ262147:LLZ262159 LVV262147:LVV262159 MFR262147:MFR262159 MPN262147:MPN262159 MZJ262147:MZJ262159 NJF262147:NJF262159 NTB262147:NTB262159 OCX262147:OCX262159 OMT262147:OMT262159 OWP262147:OWP262159 PGL262147:PGL262159 PQH262147:PQH262159 QAD262147:QAD262159 QJZ262147:QJZ262159 QTV262147:QTV262159 RDR262147:RDR262159 RNN262147:RNN262159 RXJ262147:RXJ262159 SHF262147:SHF262159 SRB262147:SRB262159 TAX262147:TAX262159 TKT262147:TKT262159 TUP262147:TUP262159 UEL262147:UEL262159 UOH262147:UOH262159 UYD262147:UYD262159 VHZ262147:VHZ262159 VRV262147:VRV262159 WBR262147:WBR262159 WLN262147:WLN262159 WVJ262147:WVJ262159 B327683:B327695 IX327683:IX327695 ST327683:ST327695 ACP327683:ACP327695 AML327683:AML327695 AWH327683:AWH327695 BGD327683:BGD327695 BPZ327683:BPZ327695 BZV327683:BZV327695 CJR327683:CJR327695 CTN327683:CTN327695 DDJ327683:DDJ327695 DNF327683:DNF327695 DXB327683:DXB327695 EGX327683:EGX327695 EQT327683:EQT327695 FAP327683:FAP327695 FKL327683:FKL327695 FUH327683:FUH327695 GED327683:GED327695 GNZ327683:GNZ327695 GXV327683:GXV327695 HHR327683:HHR327695 HRN327683:HRN327695 IBJ327683:IBJ327695 ILF327683:ILF327695 IVB327683:IVB327695 JEX327683:JEX327695 JOT327683:JOT327695 JYP327683:JYP327695 KIL327683:KIL327695 KSH327683:KSH327695 LCD327683:LCD327695 LLZ327683:LLZ327695 LVV327683:LVV327695 MFR327683:MFR327695 MPN327683:MPN327695 MZJ327683:MZJ327695 NJF327683:NJF327695 NTB327683:NTB327695 OCX327683:OCX327695 OMT327683:OMT327695 OWP327683:OWP327695 PGL327683:PGL327695 PQH327683:PQH327695 QAD327683:QAD327695 QJZ327683:QJZ327695 QTV327683:QTV327695 RDR327683:RDR327695 RNN327683:RNN327695 RXJ327683:RXJ327695 SHF327683:SHF327695 SRB327683:SRB327695 TAX327683:TAX327695 TKT327683:TKT327695 TUP327683:TUP327695 UEL327683:UEL327695 UOH327683:UOH327695 UYD327683:UYD327695 VHZ327683:VHZ327695 VRV327683:VRV327695 WBR327683:WBR327695 WLN327683:WLN327695 WVJ327683:WVJ327695 B393219:B393231 IX393219:IX393231 ST393219:ST393231 ACP393219:ACP393231 AML393219:AML393231 AWH393219:AWH393231 BGD393219:BGD393231 BPZ393219:BPZ393231 BZV393219:BZV393231 CJR393219:CJR393231 CTN393219:CTN393231 DDJ393219:DDJ393231 DNF393219:DNF393231 DXB393219:DXB393231 EGX393219:EGX393231 EQT393219:EQT393231 FAP393219:FAP393231 FKL393219:FKL393231 FUH393219:FUH393231 GED393219:GED393231 GNZ393219:GNZ393231 GXV393219:GXV393231 HHR393219:HHR393231 HRN393219:HRN393231 IBJ393219:IBJ393231 ILF393219:ILF393231 IVB393219:IVB393231 JEX393219:JEX393231 JOT393219:JOT393231 JYP393219:JYP393231 KIL393219:KIL393231 KSH393219:KSH393231 LCD393219:LCD393231 LLZ393219:LLZ393231 LVV393219:LVV393231 MFR393219:MFR393231 MPN393219:MPN393231 MZJ393219:MZJ393231 NJF393219:NJF393231 NTB393219:NTB393231 OCX393219:OCX393231 OMT393219:OMT393231 OWP393219:OWP393231 PGL393219:PGL393231 PQH393219:PQH393231 QAD393219:QAD393231 QJZ393219:QJZ393231 QTV393219:QTV393231 RDR393219:RDR393231 RNN393219:RNN393231 RXJ393219:RXJ393231 SHF393219:SHF393231 SRB393219:SRB393231 TAX393219:TAX393231 TKT393219:TKT393231 TUP393219:TUP393231 UEL393219:UEL393231 UOH393219:UOH393231 UYD393219:UYD393231 VHZ393219:VHZ393231 VRV393219:VRV393231 WBR393219:WBR393231 WLN393219:WLN393231 WVJ393219:WVJ393231 B458755:B458767 IX458755:IX458767 ST458755:ST458767 ACP458755:ACP458767 AML458755:AML458767 AWH458755:AWH458767 BGD458755:BGD458767 BPZ458755:BPZ458767 BZV458755:BZV458767 CJR458755:CJR458767 CTN458755:CTN458767 DDJ458755:DDJ458767 DNF458755:DNF458767 DXB458755:DXB458767 EGX458755:EGX458767 EQT458755:EQT458767 FAP458755:FAP458767 FKL458755:FKL458767 FUH458755:FUH458767 GED458755:GED458767 GNZ458755:GNZ458767 GXV458755:GXV458767 HHR458755:HHR458767 HRN458755:HRN458767 IBJ458755:IBJ458767 ILF458755:ILF458767 IVB458755:IVB458767 JEX458755:JEX458767 JOT458755:JOT458767 JYP458755:JYP458767 KIL458755:KIL458767 KSH458755:KSH458767 LCD458755:LCD458767 LLZ458755:LLZ458767 LVV458755:LVV458767 MFR458755:MFR458767 MPN458755:MPN458767 MZJ458755:MZJ458767 NJF458755:NJF458767 NTB458755:NTB458767 OCX458755:OCX458767 OMT458755:OMT458767 OWP458755:OWP458767 PGL458755:PGL458767 PQH458755:PQH458767 QAD458755:QAD458767 QJZ458755:QJZ458767 QTV458755:QTV458767 RDR458755:RDR458767 RNN458755:RNN458767 RXJ458755:RXJ458767 SHF458755:SHF458767 SRB458755:SRB458767 TAX458755:TAX458767 TKT458755:TKT458767 TUP458755:TUP458767 UEL458755:UEL458767 UOH458755:UOH458767 UYD458755:UYD458767 VHZ458755:VHZ458767 VRV458755:VRV458767 WBR458755:WBR458767 WLN458755:WLN458767 WVJ458755:WVJ458767 B524291:B524303 IX524291:IX524303 ST524291:ST524303 ACP524291:ACP524303 AML524291:AML524303 AWH524291:AWH524303 BGD524291:BGD524303 BPZ524291:BPZ524303 BZV524291:BZV524303 CJR524291:CJR524303 CTN524291:CTN524303 DDJ524291:DDJ524303 DNF524291:DNF524303 DXB524291:DXB524303 EGX524291:EGX524303 EQT524291:EQT524303 FAP524291:FAP524303 FKL524291:FKL524303 FUH524291:FUH524303 GED524291:GED524303 GNZ524291:GNZ524303 GXV524291:GXV524303 HHR524291:HHR524303 HRN524291:HRN524303 IBJ524291:IBJ524303 ILF524291:ILF524303 IVB524291:IVB524303 JEX524291:JEX524303 JOT524291:JOT524303 JYP524291:JYP524303 KIL524291:KIL524303 KSH524291:KSH524303 LCD524291:LCD524303 LLZ524291:LLZ524303 LVV524291:LVV524303 MFR524291:MFR524303 MPN524291:MPN524303 MZJ524291:MZJ524303 NJF524291:NJF524303 NTB524291:NTB524303 OCX524291:OCX524303 OMT524291:OMT524303 OWP524291:OWP524303 PGL524291:PGL524303 PQH524291:PQH524303 QAD524291:QAD524303 QJZ524291:QJZ524303 QTV524291:QTV524303 RDR524291:RDR524303 RNN524291:RNN524303 RXJ524291:RXJ524303 SHF524291:SHF524303 SRB524291:SRB524303 TAX524291:TAX524303 TKT524291:TKT524303 TUP524291:TUP524303 UEL524291:UEL524303 UOH524291:UOH524303 UYD524291:UYD524303 VHZ524291:VHZ524303 VRV524291:VRV524303 WBR524291:WBR524303 WLN524291:WLN524303 WVJ524291:WVJ524303 B589827:B589839 IX589827:IX589839 ST589827:ST589839 ACP589827:ACP589839 AML589827:AML589839 AWH589827:AWH589839 BGD589827:BGD589839 BPZ589827:BPZ589839 BZV589827:BZV589839 CJR589827:CJR589839 CTN589827:CTN589839 DDJ589827:DDJ589839 DNF589827:DNF589839 DXB589827:DXB589839 EGX589827:EGX589839 EQT589827:EQT589839 FAP589827:FAP589839 FKL589827:FKL589839 FUH589827:FUH589839 GED589827:GED589839 GNZ589827:GNZ589839 GXV589827:GXV589839 HHR589827:HHR589839 HRN589827:HRN589839 IBJ589827:IBJ589839 ILF589827:ILF589839 IVB589827:IVB589839 JEX589827:JEX589839 JOT589827:JOT589839 JYP589827:JYP589839 KIL589827:KIL589839 KSH589827:KSH589839 LCD589827:LCD589839 LLZ589827:LLZ589839 LVV589827:LVV589839 MFR589827:MFR589839 MPN589827:MPN589839 MZJ589827:MZJ589839 NJF589827:NJF589839 NTB589827:NTB589839 OCX589827:OCX589839 OMT589827:OMT589839 OWP589827:OWP589839 PGL589827:PGL589839 PQH589827:PQH589839 QAD589827:QAD589839 QJZ589827:QJZ589839 QTV589827:QTV589839 RDR589827:RDR589839 RNN589827:RNN589839 RXJ589827:RXJ589839 SHF589827:SHF589839 SRB589827:SRB589839 TAX589827:TAX589839 TKT589827:TKT589839 TUP589827:TUP589839 UEL589827:UEL589839 UOH589827:UOH589839 UYD589827:UYD589839 VHZ589827:VHZ589839 VRV589827:VRV589839 WBR589827:WBR589839 WLN589827:WLN589839 WVJ589827:WVJ589839 B655363:B655375 IX655363:IX655375 ST655363:ST655375 ACP655363:ACP655375 AML655363:AML655375 AWH655363:AWH655375 BGD655363:BGD655375 BPZ655363:BPZ655375 BZV655363:BZV655375 CJR655363:CJR655375 CTN655363:CTN655375 DDJ655363:DDJ655375 DNF655363:DNF655375 DXB655363:DXB655375 EGX655363:EGX655375 EQT655363:EQT655375 FAP655363:FAP655375 FKL655363:FKL655375 FUH655363:FUH655375 GED655363:GED655375 GNZ655363:GNZ655375 GXV655363:GXV655375 HHR655363:HHR655375 HRN655363:HRN655375 IBJ655363:IBJ655375 ILF655363:ILF655375 IVB655363:IVB655375 JEX655363:JEX655375 JOT655363:JOT655375 JYP655363:JYP655375 KIL655363:KIL655375 KSH655363:KSH655375 LCD655363:LCD655375 LLZ655363:LLZ655375 LVV655363:LVV655375 MFR655363:MFR655375 MPN655363:MPN655375 MZJ655363:MZJ655375 NJF655363:NJF655375 NTB655363:NTB655375 OCX655363:OCX655375 OMT655363:OMT655375 OWP655363:OWP655375 PGL655363:PGL655375 PQH655363:PQH655375 QAD655363:QAD655375 QJZ655363:QJZ655375 QTV655363:QTV655375 RDR655363:RDR655375 RNN655363:RNN655375 RXJ655363:RXJ655375 SHF655363:SHF655375 SRB655363:SRB655375 TAX655363:TAX655375 TKT655363:TKT655375 TUP655363:TUP655375 UEL655363:UEL655375 UOH655363:UOH655375 UYD655363:UYD655375 VHZ655363:VHZ655375 VRV655363:VRV655375 WBR655363:WBR655375 WLN655363:WLN655375 WVJ655363:WVJ655375 B720899:B720911 IX720899:IX720911 ST720899:ST720911 ACP720899:ACP720911 AML720899:AML720911 AWH720899:AWH720911 BGD720899:BGD720911 BPZ720899:BPZ720911 BZV720899:BZV720911 CJR720899:CJR720911 CTN720899:CTN720911 DDJ720899:DDJ720911 DNF720899:DNF720911 DXB720899:DXB720911 EGX720899:EGX720911 EQT720899:EQT720911 FAP720899:FAP720911 FKL720899:FKL720911 FUH720899:FUH720911 GED720899:GED720911 GNZ720899:GNZ720911 GXV720899:GXV720911 HHR720899:HHR720911 HRN720899:HRN720911 IBJ720899:IBJ720911 ILF720899:ILF720911 IVB720899:IVB720911 JEX720899:JEX720911 JOT720899:JOT720911 JYP720899:JYP720911 KIL720899:KIL720911 KSH720899:KSH720911 LCD720899:LCD720911 LLZ720899:LLZ720911 LVV720899:LVV720911 MFR720899:MFR720911 MPN720899:MPN720911 MZJ720899:MZJ720911 NJF720899:NJF720911 NTB720899:NTB720911 OCX720899:OCX720911 OMT720899:OMT720911 OWP720899:OWP720911 PGL720899:PGL720911 PQH720899:PQH720911 QAD720899:QAD720911 QJZ720899:QJZ720911 QTV720899:QTV720911 RDR720899:RDR720911 RNN720899:RNN720911 RXJ720899:RXJ720911 SHF720899:SHF720911 SRB720899:SRB720911 TAX720899:TAX720911 TKT720899:TKT720911 TUP720899:TUP720911 UEL720899:UEL720911 UOH720899:UOH720911 UYD720899:UYD720911 VHZ720899:VHZ720911 VRV720899:VRV720911 WBR720899:WBR720911 WLN720899:WLN720911 WVJ720899:WVJ720911 B786435:B786447 IX786435:IX786447 ST786435:ST786447 ACP786435:ACP786447 AML786435:AML786447 AWH786435:AWH786447 BGD786435:BGD786447 BPZ786435:BPZ786447 BZV786435:BZV786447 CJR786435:CJR786447 CTN786435:CTN786447 DDJ786435:DDJ786447 DNF786435:DNF786447 DXB786435:DXB786447 EGX786435:EGX786447 EQT786435:EQT786447 FAP786435:FAP786447 FKL786435:FKL786447 FUH786435:FUH786447 GED786435:GED786447 GNZ786435:GNZ786447 GXV786435:GXV786447 HHR786435:HHR786447 HRN786435:HRN786447 IBJ786435:IBJ786447 ILF786435:ILF786447 IVB786435:IVB786447 JEX786435:JEX786447 JOT786435:JOT786447 JYP786435:JYP786447 KIL786435:KIL786447 KSH786435:KSH786447 LCD786435:LCD786447 LLZ786435:LLZ786447 LVV786435:LVV786447 MFR786435:MFR786447 MPN786435:MPN786447 MZJ786435:MZJ786447 NJF786435:NJF786447 NTB786435:NTB786447 OCX786435:OCX786447 OMT786435:OMT786447 OWP786435:OWP786447 PGL786435:PGL786447 PQH786435:PQH786447 QAD786435:QAD786447 QJZ786435:QJZ786447 QTV786435:QTV786447 RDR786435:RDR786447 RNN786435:RNN786447 RXJ786435:RXJ786447 SHF786435:SHF786447 SRB786435:SRB786447 TAX786435:TAX786447 TKT786435:TKT786447 TUP786435:TUP786447 UEL786435:UEL786447 UOH786435:UOH786447 UYD786435:UYD786447 VHZ786435:VHZ786447 VRV786435:VRV786447 WBR786435:WBR786447 WLN786435:WLN786447 WVJ786435:WVJ786447 B851971:B851983 IX851971:IX851983 ST851971:ST851983 ACP851971:ACP851983 AML851971:AML851983 AWH851971:AWH851983 BGD851971:BGD851983 BPZ851971:BPZ851983 BZV851971:BZV851983 CJR851971:CJR851983 CTN851971:CTN851983 DDJ851971:DDJ851983 DNF851971:DNF851983 DXB851971:DXB851983 EGX851971:EGX851983 EQT851971:EQT851983 FAP851971:FAP851983 FKL851971:FKL851983 FUH851971:FUH851983 GED851971:GED851983 GNZ851971:GNZ851983 GXV851971:GXV851983 HHR851971:HHR851983 HRN851971:HRN851983 IBJ851971:IBJ851983 ILF851971:ILF851983 IVB851971:IVB851983 JEX851971:JEX851983 JOT851971:JOT851983 JYP851971:JYP851983 KIL851971:KIL851983 KSH851971:KSH851983 LCD851971:LCD851983 LLZ851971:LLZ851983 LVV851971:LVV851983 MFR851971:MFR851983 MPN851971:MPN851983 MZJ851971:MZJ851983 NJF851971:NJF851983 NTB851971:NTB851983 OCX851971:OCX851983 OMT851971:OMT851983 OWP851971:OWP851983 PGL851971:PGL851983 PQH851971:PQH851983 QAD851971:QAD851983 QJZ851971:QJZ851983 QTV851971:QTV851983 RDR851971:RDR851983 RNN851971:RNN851983 RXJ851971:RXJ851983 SHF851971:SHF851983 SRB851971:SRB851983 TAX851971:TAX851983 TKT851971:TKT851983 TUP851971:TUP851983 UEL851971:UEL851983 UOH851971:UOH851983 UYD851971:UYD851983 VHZ851971:VHZ851983 VRV851971:VRV851983 WBR851971:WBR851983 WLN851971:WLN851983 WVJ851971:WVJ851983 B917507:B917519 IX917507:IX917519 ST917507:ST917519 ACP917507:ACP917519 AML917507:AML917519 AWH917507:AWH917519 BGD917507:BGD917519 BPZ917507:BPZ917519 BZV917507:BZV917519 CJR917507:CJR917519 CTN917507:CTN917519 DDJ917507:DDJ917519 DNF917507:DNF917519 DXB917507:DXB917519 EGX917507:EGX917519 EQT917507:EQT917519 FAP917507:FAP917519 FKL917507:FKL917519 FUH917507:FUH917519 GED917507:GED917519 GNZ917507:GNZ917519 GXV917507:GXV917519 HHR917507:HHR917519 HRN917507:HRN917519 IBJ917507:IBJ917519 ILF917507:ILF917519 IVB917507:IVB917519 JEX917507:JEX917519 JOT917507:JOT917519 JYP917507:JYP917519 KIL917507:KIL917519 KSH917507:KSH917519 LCD917507:LCD917519 LLZ917507:LLZ917519 LVV917507:LVV917519 MFR917507:MFR917519 MPN917507:MPN917519 MZJ917507:MZJ917519 NJF917507:NJF917519 NTB917507:NTB917519 OCX917507:OCX917519 OMT917507:OMT917519 OWP917507:OWP917519 PGL917507:PGL917519 PQH917507:PQH917519 QAD917507:QAD917519 QJZ917507:QJZ917519 QTV917507:QTV917519 RDR917507:RDR917519 RNN917507:RNN917519 RXJ917507:RXJ917519 SHF917507:SHF917519 SRB917507:SRB917519 TAX917507:TAX917519 TKT917507:TKT917519 TUP917507:TUP917519 UEL917507:UEL917519 UOH917507:UOH917519 UYD917507:UYD917519 VHZ917507:VHZ917519 VRV917507:VRV917519 WBR917507:WBR917519 WLN917507:WLN917519 WVJ917507:WVJ917519 B983043:B983055 IX983043:IX983055 ST983043:ST983055 ACP983043:ACP983055 AML983043:AML983055 AWH983043:AWH983055 BGD983043:BGD983055 BPZ983043:BPZ983055 BZV983043:BZV983055 CJR983043:CJR983055 CTN983043:CTN983055 DDJ983043:DDJ983055 DNF983043:DNF983055 DXB983043:DXB983055 EGX983043:EGX983055 EQT983043:EQT983055 FAP983043:FAP983055 FKL983043:FKL983055 FUH983043:FUH983055 GED983043:GED983055 GNZ983043:GNZ983055 GXV983043:GXV983055 HHR983043:HHR983055 HRN983043:HRN983055 IBJ983043:IBJ983055 ILF983043:ILF983055 IVB983043:IVB983055 JEX983043:JEX983055 JOT983043:JOT983055 JYP983043:JYP983055 KIL983043:KIL983055 KSH983043:KSH983055 LCD983043:LCD983055 LLZ983043:LLZ983055 LVV983043:LVV983055 MFR983043:MFR983055 MPN983043:MPN983055 MZJ983043:MZJ983055 NJF983043:NJF983055 NTB983043:NTB983055 OCX983043:OCX983055 OMT983043:OMT983055 OWP983043:OWP983055 PGL983043:PGL983055 PQH983043:PQH983055 QAD983043:QAD983055 QJZ983043:QJZ983055 QTV983043:QTV983055 RDR983043:RDR983055 RNN983043:RNN983055 RXJ983043:RXJ983055 SHF983043:SHF983055 SRB983043:SRB983055 TAX983043:TAX983055 TKT983043:TKT983055 TUP983043:TUP983055 UEL983043:UEL983055 UOH983043:UOH983055 UYD983043:UYD983055 VHZ983043:VHZ983055 VRV983043:VRV983055 WBR983043:WBR983055 WLN983043:WLN983055 WVJ983043:WVJ983055 WVJ983060:WVJ983072 IX20:IX32 ST20:ST32 ACP20:ACP32 AML20:AML32 AWH20:AWH32 BGD20:BGD32 BPZ20:BPZ32 BZV20:BZV32 CJR20:CJR32 CTN20:CTN32 DDJ20:DDJ32 DNF20:DNF32 DXB20:DXB32 EGX20:EGX32 EQT20:EQT32 FAP20:FAP32 FKL20:FKL32 FUH20:FUH32 GED20:GED32 GNZ20:GNZ32 GXV20:GXV32 HHR20:HHR32 HRN20:HRN32 IBJ20:IBJ32 ILF20:ILF32 IVB20:IVB32 JEX20:JEX32 JOT20:JOT32 JYP20:JYP32 KIL20:KIL32 KSH20:KSH32 LCD20:LCD32 LLZ20:LLZ32 LVV20:LVV32 MFR20:MFR32 MPN20:MPN32 MZJ20:MZJ32 NJF20:NJF32 NTB20:NTB32 OCX20:OCX32 OMT20:OMT32 OWP20:OWP32 PGL20:PGL32 PQH20:PQH32 QAD20:QAD32 QJZ20:QJZ32 QTV20:QTV32 RDR20:RDR32 RNN20:RNN32 RXJ20:RXJ32 SHF20:SHF32 SRB20:SRB32 TAX20:TAX32 TKT20:TKT32 TUP20:TUP32 UEL20:UEL32 UOH20:UOH32 UYD20:UYD32 VHZ20:VHZ32 VRV20:VRV32 WBR20:WBR32 WLN20:WLN32 WVJ20:WVJ32 B65556:B65568 IX65556:IX65568 ST65556:ST65568 ACP65556:ACP65568 AML65556:AML65568 AWH65556:AWH65568 BGD65556:BGD65568 BPZ65556:BPZ65568 BZV65556:BZV65568 CJR65556:CJR65568 CTN65556:CTN65568 DDJ65556:DDJ65568 DNF65556:DNF65568 DXB65556:DXB65568 EGX65556:EGX65568 EQT65556:EQT65568 FAP65556:FAP65568 FKL65556:FKL65568 FUH65556:FUH65568 GED65556:GED65568 GNZ65556:GNZ65568 GXV65556:GXV65568 HHR65556:HHR65568 HRN65556:HRN65568 IBJ65556:IBJ65568 ILF65556:ILF65568 IVB65556:IVB65568 JEX65556:JEX65568 JOT65556:JOT65568 JYP65556:JYP65568 KIL65556:KIL65568 KSH65556:KSH65568 LCD65556:LCD65568 LLZ65556:LLZ65568 LVV65556:LVV65568 MFR65556:MFR65568 MPN65556:MPN65568 MZJ65556:MZJ65568 NJF65556:NJF65568 NTB65556:NTB65568 OCX65556:OCX65568 OMT65556:OMT65568 OWP65556:OWP65568 PGL65556:PGL65568 PQH65556:PQH65568 QAD65556:QAD65568 QJZ65556:QJZ65568 QTV65556:QTV65568 RDR65556:RDR65568 RNN65556:RNN65568 RXJ65556:RXJ65568 SHF65556:SHF65568 SRB65556:SRB65568 TAX65556:TAX65568 TKT65556:TKT65568 TUP65556:TUP65568 UEL65556:UEL65568 UOH65556:UOH65568 UYD65556:UYD65568 VHZ65556:VHZ65568 VRV65556:VRV65568 WBR65556:WBR65568 WLN65556:WLN65568 WVJ65556:WVJ65568 B131092:B131104 IX131092:IX131104 ST131092:ST131104 ACP131092:ACP131104 AML131092:AML131104 AWH131092:AWH131104 BGD131092:BGD131104 BPZ131092:BPZ131104 BZV131092:BZV131104 CJR131092:CJR131104 CTN131092:CTN131104 DDJ131092:DDJ131104 DNF131092:DNF131104 DXB131092:DXB131104 EGX131092:EGX131104 EQT131092:EQT131104 FAP131092:FAP131104 FKL131092:FKL131104 FUH131092:FUH131104 GED131092:GED131104 GNZ131092:GNZ131104 GXV131092:GXV131104 HHR131092:HHR131104 HRN131092:HRN131104 IBJ131092:IBJ131104 ILF131092:ILF131104 IVB131092:IVB131104 JEX131092:JEX131104 JOT131092:JOT131104 JYP131092:JYP131104 KIL131092:KIL131104 KSH131092:KSH131104 LCD131092:LCD131104 LLZ131092:LLZ131104 LVV131092:LVV131104 MFR131092:MFR131104 MPN131092:MPN131104 MZJ131092:MZJ131104 NJF131092:NJF131104 NTB131092:NTB131104 OCX131092:OCX131104 OMT131092:OMT131104 OWP131092:OWP131104 PGL131092:PGL131104 PQH131092:PQH131104 QAD131092:QAD131104 QJZ131092:QJZ131104 QTV131092:QTV131104 RDR131092:RDR131104 RNN131092:RNN131104 RXJ131092:RXJ131104 SHF131092:SHF131104 SRB131092:SRB131104 TAX131092:TAX131104 TKT131092:TKT131104 TUP131092:TUP131104 UEL131092:UEL131104 UOH131092:UOH131104 UYD131092:UYD131104 VHZ131092:VHZ131104 VRV131092:VRV131104 WBR131092:WBR131104 WLN131092:WLN131104 WVJ131092:WVJ131104 B196628:B196640 IX196628:IX196640 ST196628:ST196640 ACP196628:ACP196640 AML196628:AML196640 AWH196628:AWH196640 BGD196628:BGD196640 BPZ196628:BPZ196640 BZV196628:BZV196640 CJR196628:CJR196640 CTN196628:CTN196640 DDJ196628:DDJ196640 DNF196628:DNF196640 DXB196628:DXB196640 EGX196628:EGX196640 EQT196628:EQT196640 FAP196628:FAP196640 FKL196628:FKL196640 FUH196628:FUH196640 GED196628:GED196640 GNZ196628:GNZ196640 GXV196628:GXV196640 HHR196628:HHR196640 HRN196628:HRN196640 IBJ196628:IBJ196640 ILF196628:ILF196640 IVB196628:IVB196640 JEX196628:JEX196640 JOT196628:JOT196640 JYP196628:JYP196640 KIL196628:KIL196640 KSH196628:KSH196640 LCD196628:LCD196640 LLZ196628:LLZ196640 LVV196628:LVV196640 MFR196628:MFR196640 MPN196628:MPN196640 MZJ196628:MZJ196640 NJF196628:NJF196640 NTB196628:NTB196640 OCX196628:OCX196640 OMT196628:OMT196640 OWP196628:OWP196640 PGL196628:PGL196640 PQH196628:PQH196640 QAD196628:QAD196640 QJZ196628:QJZ196640 QTV196628:QTV196640 RDR196628:RDR196640 RNN196628:RNN196640 RXJ196628:RXJ196640 SHF196628:SHF196640 SRB196628:SRB196640 TAX196628:TAX196640 TKT196628:TKT196640 TUP196628:TUP196640 UEL196628:UEL196640 UOH196628:UOH196640 UYD196628:UYD196640 VHZ196628:VHZ196640 VRV196628:VRV196640 WBR196628:WBR196640 WLN196628:WLN196640 WVJ196628:WVJ196640 B262164:B262176 IX262164:IX262176 ST262164:ST262176 ACP262164:ACP262176 AML262164:AML262176 AWH262164:AWH262176 BGD262164:BGD262176 BPZ262164:BPZ262176 BZV262164:BZV262176 CJR262164:CJR262176 CTN262164:CTN262176 DDJ262164:DDJ262176 DNF262164:DNF262176 DXB262164:DXB262176 EGX262164:EGX262176 EQT262164:EQT262176 FAP262164:FAP262176 FKL262164:FKL262176 FUH262164:FUH262176 GED262164:GED262176 GNZ262164:GNZ262176 GXV262164:GXV262176 HHR262164:HHR262176 HRN262164:HRN262176 IBJ262164:IBJ262176 ILF262164:ILF262176 IVB262164:IVB262176 JEX262164:JEX262176 JOT262164:JOT262176 JYP262164:JYP262176 KIL262164:KIL262176 KSH262164:KSH262176 LCD262164:LCD262176 LLZ262164:LLZ262176 LVV262164:LVV262176 MFR262164:MFR262176 MPN262164:MPN262176 MZJ262164:MZJ262176 NJF262164:NJF262176 NTB262164:NTB262176 OCX262164:OCX262176 OMT262164:OMT262176 OWP262164:OWP262176 PGL262164:PGL262176 PQH262164:PQH262176 QAD262164:QAD262176 QJZ262164:QJZ262176 QTV262164:QTV262176 RDR262164:RDR262176 RNN262164:RNN262176 RXJ262164:RXJ262176 SHF262164:SHF262176 SRB262164:SRB262176 TAX262164:TAX262176 TKT262164:TKT262176 TUP262164:TUP262176 UEL262164:UEL262176 UOH262164:UOH262176 UYD262164:UYD262176 VHZ262164:VHZ262176 VRV262164:VRV262176 WBR262164:WBR262176 WLN262164:WLN262176 WVJ262164:WVJ262176 B327700:B327712 IX327700:IX327712 ST327700:ST327712 ACP327700:ACP327712 AML327700:AML327712 AWH327700:AWH327712 BGD327700:BGD327712 BPZ327700:BPZ327712 BZV327700:BZV327712 CJR327700:CJR327712 CTN327700:CTN327712 DDJ327700:DDJ327712 DNF327700:DNF327712 DXB327700:DXB327712 EGX327700:EGX327712 EQT327700:EQT327712 FAP327700:FAP327712 FKL327700:FKL327712 FUH327700:FUH327712 GED327700:GED327712 GNZ327700:GNZ327712 GXV327700:GXV327712 HHR327700:HHR327712 HRN327700:HRN327712 IBJ327700:IBJ327712 ILF327700:ILF327712 IVB327700:IVB327712 JEX327700:JEX327712 JOT327700:JOT327712 JYP327700:JYP327712 KIL327700:KIL327712 KSH327700:KSH327712 LCD327700:LCD327712 LLZ327700:LLZ327712 LVV327700:LVV327712 MFR327700:MFR327712 MPN327700:MPN327712 MZJ327700:MZJ327712 NJF327700:NJF327712 NTB327700:NTB327712 OCX327700:OCX327712 OMT327700:OMT327712 OWP327700:OWP327712 PGL327700:PGL327712 PQH327700:PQH327712 QAD327700:QAD327712 QJZ327700:QJZ327712 QTV327700:QTV327712 RDR327700:RDR327712 RNN327700:RNN327712 RXJ327700:RXJ327712 SHF327700:SHF327712 SRB327700:SRB327712 TAX327700:TAX327712 TKT327700:TKT327712 TUP327700:TUP327712 UEL327700:UEL327712 UOH327700:UOH327712 UYD327700:UYD327712 VHZ327700:VHZ327712 VRV327700:VRV327712 WBR327700:WBR327712 WLN327700:WLN327712 WVJ327700:WVJ327712 B393236:B393248 IX393236:IX393248 ST393236:ST393248 ACP393236:ACP393248 AML393236:AML393248 AWH393236:AWH393248 BGD393236:BGD393248 BPZ393236:BPZ393248 BZV393236:BZV393248 CJR393236:CJR393248 CTN393236:CTN393248 DDJ393236:DDJ393248 DNF393236:DNF393248 DXB393236:DXB393248 EGX393236:EGX393248 EQT393236:EQT393248 FAP393236:FAP393248 FKL393236:FKL393248 FUH393236:FUH393248 GED393236:GED393248 GNZ393236:GNZ393248 GXV393236:GXV393248 HHR393236:HHR393248 HRN393236:HRN393248 IBJ393236:IBJ393248 ILF393236:ILF393248 IVB393236:IVB393248 JEX393236:JEX393248 JOT393236:JOT393248 JYP393236:JYP393248 KIL393236:KIL393248 KSH393236:KSH393248 LCD393236:LCD393248 LLZ393236:LLZ393248 LVV393236:LVV393248 MFR393236:MFR393248 MPN393236:MPN393248 MZJ393236:MZJ393248 NJF393236:NJF393248 NTB393236:NTB393248 OCX393236:OCX393248 OMT393236:OMT393248 OWP393236:OWP393248 PGL393236:PGL393248 PQH393236:PQH393248 QAD393236:QAD393248 QJZ393236:QJZ393248 QTV393236:QTV393248 RDR393236:RDR393248 RNN393236:RNN393248 RXJ393236:RXJ393248 SHF393236:SHF393248 SRB393236:SRB393248 TAX393236:TAX393248 TKT393236:TKT393248 TUP393236:TUP393248 UEL393236:UEL393248 UOH393236:UOH393248 UYD393236:UYD393248 VHZ393236:VHZ393248 VRV393236:VRV393248 WBR393236:WBR393248 WLN393236:WLN393248 WVJ393236:WVJ393248 B458772:B458784 IX458772:IX458784 ST458772:ST458784 ACP458772:ACP458784 AML458772:AML458784 AWH458772:AWH458784 BGD458772:BGD458784 BPZ458772:BPZ458784 BZV458772:BZV458784 CJR458772:CJR458784 CTN458772:CTN458784 DDJ458772:DDJ458784 DNF458772:DNF458784 DXB458772:DXB458784 EGX458772:EGX458784 EQT458772:EQT458784 FAP458772:FAP458784 FKL458772:FKL458784 FUH458772:FUH458784 GED458772:GED458784 GNZ458772:GNZ458784 GXV458772:GXV458784 HHR458772:HHR458784 HRN458772:HRN458784 IBJ458772:IBJ458784 ILF458772:ILF458784 IVB458772:IVB458784 JEX458772:JEX458784 JOT458772:JOT458784 JYP458772:JYP458784 KIL458772:KIL458784 KSH458772:KSH458784 LCD458772:LCD458784 LLZ458772:LLZ458784 LVV458772:LVV458784 MFR458772:MFR458784 MPN458772:MPN458784 MZJ458772:MZJ458784 NJF458772:NJF458784 NTB458772:NTB458784 OCX458772:OCX458784 OMT458772:OMT458784 OWP458772:OWP458784 PGL458772:PGL458784 PQH458772:PQH458784 QAD458772:QAD458784 QJZ458772:QJZ458784 QTV458772:QTV458784 RDR458772:RDR458784 RNN458772:RNN458784 RXJ458772:RXJ458784 SHF458772:SHF458784 SRB458772:SRB458784 TAX458772:TAX458784 TKT458772:TKT458784 TUP458772:TUP458784 UEL458772:UEL458784 UOH458772:UOH458784 UYD458772:UYD458784 VHZ458772:VHZ458784 VRV458772:VRV458784 WBR458772:WBR458784 WLN458772:WLN458784 WVJ458772:WVJ458784 B524308:B524320 IX524308:IX524320 ST524308:ST524320 ACP524308:ACP524320 AML524308:AML524320 AWH524308:AWH524320 BGD524308:BGD524320 BPZ524308:BPZ524320 BZV524308:BZV524320 CJR524308:CJR524320 CTN524308:CTN524320 DDJ524308:DDJ524320 DNF524308:DNF524320 DXB524308:DXB524320 EGX524308:EGX524320 EQT524308:EQT524320 FAP524308:FAP524320 FKL524308:FKL524320 FUH524308:FUH524320 GED524308:GED524320 GNZ524308:GNZ524320 GXV524308:GXV524320 HHR524308:HHR524320 HRN524308:HRN524320 IBJ524308:IBJ524320 ILF524308:ILF524320 IVB524308:IVB524320 JEX524308:JEX524320 JOT524308:JOT524320 JYP524308:JYP524320 KIL524308:KIL524320 KSH524308:KSH524320 LCD524308:LCD524320 LLZ524308:LLZ524320 LVV524308:LVV524320 MFR524308:MFR524320 MPN524308:MPN524320 MZJ524308:MZJ524320 NJF524308:NJF524320 NTB524308:NTB524320 OCX524308:OCX524320 OMT524308:OMT524320 OWP524308:OWP524320 PGL524308:PGL524320 PQH524308:PQH524320 QAD524308:QAD524320 QJZ524308:QJZ524320 QTV524308:QTV524320 RDR524308:RDR524320 RNN524308:RNN524320 RXJ524308:RXJ524320 SHF524308:SHF524320 SRB524308:SRB524320 TAX524308:TAX524320 TKT524308:TKT524320 TUP524308:TUP524320 UEL524308:UEL524320 UOH524308:UOH524320 UYD524308:UYD524320 VHZ524308:VHZ524320 VRV524308:VRV524320 WBR524308:WBR524320 WLN524308:WLN524320 WVJ524308:WVJ524320 B589844:B589856 IX589844:IX589856 ST589844:ST589856 ACP589844:ACP589856 AML589844:AML589856 AWH589844:AWH589856 BGD589844:BGD589856 BPZ589844:BPZ589856 BZV589844:BZV589856 CJR589844:CJR589856 CTN589844:CTN589856 DDJ589844:DDJ589856 DNF589844:DNF589856 DXB589844:DXB589856 EGX589844:EGX589856 EQT589844:EQT589856 FAP589844:FAP589856 FKL589844:FKL589856 FUH589844:FUH589856 GED589844:GED589856 GNZ589844:GNZ589856 GXV589844:GXV589856 HHR589844:HHR589856 HRN589844:HRN589856 IBJ589844:IBJ589856 ILF589844:ILF589856 IVB589844:IVB589856 JEX589844:JEX589856 JOT589844:JOT589856 JYP589844:JYP589856 KIL589844:KIL589856 KSH589844:KSH589856 LCD589844:LCD589856 LLZ589844:LLZ589856 LVV589844:LVV589856 MFR589844:MFR589856 MPN589844:MPN589856 MZJ589844:MZJ589856 NJF589844:NJF589856 NTB589844:NTB589856 OCX589844:OCX589856 OMT589844:OMT589856 OWP589844:OWP589856 PGL589844:PGL589856 PQH589844:PQH589856 QAD589844:QAD589856 QJZ589844:QJZ589856 QTV589844:QTV589856 RDR589844:RDR589856 RNN589844:RNN589856 RXJ589844:RXJ589856 SHF589844:SHF589856 SRB589844:SRB589856 TAX589844:TAX589856 TKT589844:TKT589856 TUP589844:TUP589856 UEL589844:UEL589856 UOH589844:UOH589856 UYD589844:UYD589856 VHZ589844:VHZ589856 VRV589844:VRV589856 WBR589844:WBR589856 WLN589844:WLN589856 WVJ589844:WVJ589856 B655380:B655392 IX655380:IX655392 ST655380:ST655392 ACP655380:ACP655392 AML655380:AML655392 AWH655380:AWH655392 BGD655380:BGD655392 BPZ655380:BPZ655392 BZV655380:BZV655392 CJR655380:CJR655392 CTN655380:CTN655392 DDJ655380:DDJ655392 DNF655380:DNF655392 DXB655380:DXB655392 EGX655380:EGX655392 EQT655380:EQT655392 FAP655380:FAP655392 FKL655380:FKL655392 FUH655380:FUH655392 GED655380:GED655392 GNZ655380:GNZ655392 GXV655380:GXV655392 HHR655380:HHR655392 HRN655380:HRN655392 IBJ655380:IBJ655392 ILF655380:ILF655392 IVB655380:IVB655392 JEX655380:JEX655392 JOT655380:JOT655392 JYP655380:JYP655392 KIL655380:KIL655392 KSH655380:KSH655392 LCD655380:LCD655392 LLZ655380:LLZ655392 LVV655380:LVV655392 MFR655380:MFR655392 MPN655380:MPN655392 MZJ655380:MZJ655392 NJF655380:NJF655392 NTB655380:NTB655392 OCX655380:OCX655392 OMT655380:OMT655392 OWP655380:OWP655392 PGL655380:PGL655392 PQH655380:PQH655392 QAD655380:QAD655392 QJZ655380:QJZ655392 QTV655380:QTV655392 RDR655380:RDR655392 RNN655380:RNN655392 RXJ655380:RXJ655392 SHF655380:SHF655392 SRB655380:SRB655392 TAX655380:TAX655392 TKT655380:TKT655392 TUP655380:TUP655392 UEL655380:UEL655392 UOH655380:UOH655392 UYD655380:UYD655392 VHZ655380:VHZ655392 VRV655380:VRV655392 WBR655380:WBR655392 WLN655380:WLN655392 WVJ655380:WVJ655392 B720916:B720928 IX720916:IX720928 ST720916:ST720928 ACP720916:ACP720928 AML720916:AML720928 AWH720916:AWH720928 BGD720916:BGD720928 BPZ720916:BPZ720928 BZV720916:BZV720928 CJR720916:CJR720928 CTN720916:CTN720928 DDJ720916:DDJ720928 DNF720916:DNF720928 DXB720916:DXB720928 EGX720916:EGX720928 EQT720916:EQT720928 FAP720916:FAP720928 FKL720916:FKL720928 FUH720916:FUH720928 GED720916:GED720928 GNZ720916:GNZ720928 GXV720916:GXV720928 HHR720916:HHR720928 HRN720916:HRN720928 IBJ720916:IBJ720928 ILF720916:ILF720928 IVB720916:IVB720928 JEX720916:JEX720928 JOT720916:JOT720928 JYP720916:JYP720928 KIL720916:KIL720928 KSH720916:KSH720928 LCD720916:LCD720928 LLZ720916:LLZ720928 LVV720916:LVV720928 MFR720916:MFR720928 MPN720916:MPN720928 MZJ720916:MZJ720928 NJF720916:NJF720928 NTB720916:NTB720928 OCX720916:OCX720928 OMT720916:OMT720928 OWP720916:OWP720928 PGL720916:PGL720928 PQH720916:PQH720928 QAD720916:QAD720928 QJZ720916:QJZ720928 QTV720916:QTV720928 RDR720916:RDR720928 RNN720916:RNN720928 RXJ720916:RXJ720928 SHF720916:SHF720928 SRB720916:SRB720928 TAX720916:TAX720928 TKT720916:TKT720928 TUP720916:TUP720928 UEL720916:UEL720928 UOH720916:UOH720928 UYD720916:UYD720928 VHZ720916:VHZ720928 VRV720916:VRV720928 WBR720916:WBR720928 WLN720916:WLN720928 WVJ720916:WVJ720928 B786452:B786464 IX786452:IX786464 ST786452:ST786464 ACP786452:ACP786464 AML786452:AML786464 AWH786452:AWH786464 BGD786452:BGD786464 BPZ786452:BPZ786464 BZV786452:BZV786464 CJR786452:CJR786464 CTN786452:CTN786464 DDJ786452:DDJ786464 DNF786452:DNF786464 DXB786452:DXB786464 EGX786452:EGX786464 EQT786452:EQT786464 FAP786452:FAP786464 FKL786452:FKL786464 FUH786452:FUH786464 GED786452:GED786464 GNZ786452:GNZ786464 GXV786452:GXV786464 HHR786452:HHR786464 HRN786452:HRN786464 IBJ786452:IBJ786464 ILF786452:ILF786464 IVB786452:IVB786464 JEX786452:JEX786464 JOT786452:JOT786464 JYP786452:JYP786464 KIL786452:KIL786464 KSH786452:KSH786464 LCD786452:LCD786464 LLZ786452:LLZ786464 LVV786452:LVV786464 MFR786452:MFR786464 MPN786452:MPN786464 MZJ786452:MZJ786464 NJF786452:NJF786464 NTB786452:NTB786464 OCX786452:OCX786464 OMT786452:OMT786464 OWP786452:OWP786464 PGL786452:PGL786464 PQH786452:PQH786464 QAD786452:QAD786464 QJZ786452:QJZ786464 QTV786452:QTV786464 RDR786452:RDR786464 RNN786452:RNN786464 RXJ786452:RXJ786464 SHF786452:SHF786464 SRB786452:SRB786464 TAX786452:TAX786464 TKT786452:TKT786464 TUP786452:TUP786464 UEL786452:UEL786464 UOH786452:UOH786464 UYD786452:UYD786464 VHZ786452:VHZ786464 VRV786452:VRV786464 WBR786452:WBR786464 WLN786452:WLN786464 WVJ786452:WVJ786464 B851988:B852000 IX851988:IX852000 ST851988:ST852000 ACP851988:ACP852000 AML851988:AML852000 AWH851988:AWH852000 BGD851988:BGD852000 BPZ851988:BPZ852000 BZV851988:BZV852000 CJR851988:CJR852000 CTN851988:CTN852000 DDJ851988:DDJ852000 DNF851988:DNF852000 DXB851988:DXB852000 EGX851988:EGX852000 EQT851988:EQT852000 FAP851988:FAP852000 FKL851988:FKL852000 FUH851988:FUH852000 GED851988:GED852000 GNZ851988:GNZ852000 GXV851988:GXV852000 HHR851988:HHR852000 HRN851988:HRN852000 IBJ851988:IBJ852000 ILF851988:ILF852000 IVB851988:IVB852000 JEX851988:JEX852000 JOT851988:JOT852000 JYP851988:JYP852000 KIL851988:KIL852000 KSH851988:KSH852000 LCD851988:LCD852000 LLZ851988:LLZ852000 LVV851988:LVV852000 MFR851988:MFR852000 MPN851988:MPN852000 MZJ851988:MZJ852000 NJF851988:NJF852000 NTB851988:NTB852000 OCX851988:OCX852000 OMT851988:OMT852000 OWP851988:OWP852000 PGL851988:PGL852000 PQH851988:PQH852000 QAD851988:QAD852000 QJZ851988:QJZ852000 QTV851988:QTV852000 RDR851988:RDR852000 RNN851988:RNN852000 RXJ851988:RXJ852000 SHF851988:SHF852000 SRB851988:SRB852000 TAX851988:TAX852000 TKT851988:TKT852000 TUP851988:TUP852000 UEL851988:UEL852000 UOH851988:UOH852000 UYD851988:UYD852000 VHZ851988:VHZ852000 VRV851988:VRV852000 WBR851988:WBR852000 WLN851988:WLN852000 WVJ851988:WVJ852000 B917524:B917536 IX917524:IX917536 ST917524:ST917536 ACP917524:ACP917536 AML917524:AML917536 AWH917524:AWH917536 BGD917524:BGD917536 BPZ917524:BPZ917536 BZV917524:BZV917536 CJR917524:CJR917536 CTN917524:CTN917536 DDJ917524:DDJ917536 DNF917524:DNF917536 DXB917524:DXB917536 EGX917524:EGX917536 EQT917524:EQT917536 FAP917524:FAP917536 FKL917524:FKL917536 FUH917524:FUH917536 GED917524:GED917536 GNZ917524:GNZ917536 GXV917524:GXV917536 HHR917524:HHR917536 HRN917524:HRN917536 IBJ917524:IBJ917536 ILF917524:ILF917536 IVB917524:IVB917536 JEX917524:JEX917536 JOT917524:JOT917536 JYP917524:JYP917536 KIL917524:KIL917536 KSH917524:KSH917536 LCD917524:LCD917536 LLZ917524:LLZ917536 LVV917524:LVV917536 MFR917524:MFR917536 MPN917524:MPN917536 MZJ917524:MZJ917536 NJF917524:NJF917536 NTB917524:NTB917536 OCX917524:OCX917536 OMT917524:OMT917536 OWP917524:OWP917536 PGL917524:PGL917536 PQH917524:PQH917536 QAD917524:QAD917536 QJZ917524:QJZ917536 QTV917524:QTV917536 RDR917524:RDR917536 RNN917524:RNN917536 RXJ917524:RXJ917536 SHF917524:SHF917536 SRB917524:SRB917536 TAX917524:TAX917536 TKT917524:TKT917536 TUP917524:TUP917536 UEL917524:UEL917536 UOH917524:UOH917536 UYD917524:UYD917536 VHZ917524:VHZ917536 VRV917524:VRV917536 WBR917524:WBR917536 WLN917524:WLN917536 WVJ917524:WVJ917536 B983060:B983072 IX983060:IX983072 ST983060:ST983072 ACP983060:ACP983072 AML983060:AML983072 AWH983060:AWH983072 BGD983060:BGD983072 BPZ983060:BPZ983072 BZV983060:BZV983072 CJR983060:CJR983072 CTN983060:CTN983072 DDJ983060:DDJ983072 DNF983060:DNF983072 DXB983060:DXB983072 EGX983060:EGX983072 EQT983060:EQT983072 FAP983060:FAP983072 FKL983060:FKL983072 FUH983060:FUH983072 GED983060:GED983072 GNZ983060:GNZ983072 GXV983060:GXV983072 HHR983060:HHR983072 HRN983060:HRN983072 IBJ983060:IBJ983072 ILF983060:ILF983072 IVB983060:IVB983072 JEX983060:JEX983072 JOT983060:JOT983072 JYP983060:JYP983072 KIL983060:KIL983072 KSH983060:KSH983072 LCD983060:LCD983072 LLZ983060:LLZ983072 LVV983060:LVV983072 MFR983060:MFR983072 MPN983060:MPN983072 MZJ983060:MZJ983072 NJF983060:NJF983072 NTB983060:NTB983072 OCX983060:OCX983072 OMT983060:OMT983072 OWP983060:OWP983072 PGL983060:PGL983072 PQH983060:PQH983072 QAD983060:QAD983072 QJZ983060:QJZ983072 QTV983060:QTV983072 RDR983060:RDR983072 RNN983060:RNN983072 RXJ983060:RXJ983072 SHF983060:SHF983072 SRB983060:SRB983072 TAX983060:TAX983072 TKT983060:TKT983072 TUP983060:TUP983072 UEL983060:UEL983072 UOH983060:UOH983072 UYD983060:UYD983072 VHZ983060:VHZ983072 VRV983060:VRV983072 WBR983060:WBR983072 B3:B6 B20:B23">
      <formula1>B3&lt;=7000</formula1>
    </dataValidation>
    <dataValidation type="custom" errorStyle="warning" allowBlank="1" showInputMessage="1" showErrorMessage="1" error="***你在睡喔,醒醒好嗎" sqref="B16:B17 IX16:IX17 ST16:ST17 ACP16:ACP17 AML16:AML17 AWH16:AWH17 BGD16:BGD17 BPZ16:BPZ17 BZV16:BZV17 CJR16:CJR17 CTN16:CTN17 DDJ16:DDJ17 DNF16:DNF17 DXB16:DXB17 EGX16:EGX17 EQT16:EQT17 FAP16:FAP17 FKL16:FKL17 FUH16:FUH17 GED16:GED17 GNZ16:GNZ17 GXV16:GXV17 HHR16:HHR17 HRN16:HRN17 IBJ16:IBJ17 ILF16:ILF17 IVB16:IVB17 JEX16:JEX17 JOT16:JOT17 JYP16:JYP17 KIL16:KIL17 KSH16:KSH17 LCD16:LCD17 LLZ16:LLZ17 LVV16:LVV17 MFR16:MFR17 MPN16:MPN17 MZJ16:MZJ17 NJF16:NJF17 NTB16:NTB17 OCX16:OCX17 OMT16:OMT17 OWP16:OWP17 PGL16:PGL17 PQH16:PQH17 QAD16:QAD17 QJZ16:QJZ17 QTV16:QTV17 RDR16:RDR17 RNN16:RNN17 RXJ16:RXJ17 SHF16:SHF17 SRB16:SRB17 TAX16:TAX17 TKT16:TKT17 TUP16:TUP17 UEL16:UEL17 UOH16:UOH17 UYD16:UYD17 VHZ16:VHZ17 VRV16:VRV17 WBR16:WBR17 WLN16:WLN17 WVJ16:WVJ17 B65552:B65553 IX65552:IX65553 ST65552:ST65553 ACP65552:ACP65553 AML65552:AML65553 AWH65552:AWH65553 BGD65552:BGD65553 BPZ65552:BPZ65553 BZV65552:BZV65553 CJR65552:CJR65553 CTN65552:CTN65553 DDJ65552:DDJ65553 DNF65552:DNF65553 DXB65552:DXB65553 EGX65552:EGX65553 EQT65552:EQT65553 FAP65552:FAP65553 FKL65552:FKL65553 FUH65552:FUH65553 GED65552:GED65553 GNZ65552:GNZ65553 GXV65552:GXV65553 HHR65552:HHR65553 HRN65552:HRN65553 IBJ65552:IBJ65553 ILF65552:ILF65553 IVB65552:IVB65553 JEX65552:JEX65553 JOT65552:JOT65553 JYP65552:JYP65553 KIL65552:KIL65553 KSH65552:KSH65553 LCD65552:LCD65553 LLZ65552:LLZ65553 LVV65552:LVV65553 MFR65552:MFR65553 MPN65552:MPN65553 MZJ65552:MZJ65553 NJF65552:NJF65553 NTB65552:NTB65553 OCX65552:OCX65553 OMT65552:OMT65553 OWP65552:OWP65553 PGL65552:PGL65553 PQH65552:PQH65553 QAD65552:QAD65553 QJZ65552:QJZ65553 QTV65552:QTV65553 RDR65552:RDR65553 RNN65552:RNN65553 RXJ65552:RXJ65553 SHF65552:SHF65553 SRB65552:SRB65553 TAX65552:TAX65553 TKT65552:TKT65553 TUP65552:TUP65553 UEL65552:UEL65553 UOH65552:UOH65553 UYD65552:UYD65553 VHZ65552:VHZ65553 VRV65552:VRV65553 WBR65552:WBR65553 WLN65552:WLN65553 WVJ65552:WVJ65553 B131088:B131089 IX131088:IX131089 ST131088:ST131089 ACP131088:ACP131089 AML131088:AML131089 AWH131088:AWH131089 BGD131088:BGD131089 BPZ131088:BPZ131089 BZV131088:BZV131089 CJR131088:CJR131089 CTN131088:CTN131089 DDJ131088:DDJ131089 DNF131088:DNF131089 DXB131088:DXB131089 EGX131088:EGX131089 EQT131088:EQT131089 FAP131088:FAP131089 FKL131088:FKL131089 FUH131088:FUH131089 GED131088:GED131089 GNZ131088:GNZ131089 GXV131088:GXV131089 HHR131088:HHR131089 HRN131088:HRN131089 IBJ131088:IBJ131089 ILF131088:ILF131089 IVB131088:IVB131089 JEX131088:JEX131089 JOT131088:JOT131089 JYP131088:JYP131089 KIL131088:KIL131089 KSH131088:KSH131089 LCD131088:LCD131089 LLZ131088:LLZ131089 LVV131088:LVV131089 MFR131088:MFR131089 MPN131088:MPN131089 MZJ131088:MZJ131089 NJF131088:NJF131089 NTB131088:NTB131089 OCX131088:OCX131089 OMT131088:OMT131089 OWP131088:OWP131089 PGL131088:PGL131089 PQH131088:PQH131089 QAD131088:QAD131089 QJZ131088:QJZ131089 QTV131088:QTV131089 RDR131088:RDR131089 RNN131088:RNN131089 RXJ131088:RXJ131089 SHF131088:SHF131089 SRB131088:SRB131089 TAX131088:TAX131089 TKT131088:TKT131089 TUP131088:TUP131089 UEL131088:UEL131089 UOH131088:UOH131089 UYD131088:UYD131089 VHZ131088:VHZ131089 VRV131088:VRV131089 WBR131088:WBR131089 WLN131088:WLN131089 WVJ131088:WVJ131089 B196624:B196625 IX196624:IX196625 ST196624:ST196625 ACP196624:ACP196625 AML196624:AML196625 AWH196624:AWH196625 BGD196624:BGD196625 BPZ196624:BPZ196625 BZV196624:BZV196625 CJR196624:CJR196625 CTN196624:CTN196625 DDJ196624:DDJ196625 DNF196624:DNF196625 DXB196624:DXB196625 EGX196624:EGX196625 EQT196624:EQT196625 FAP196624:FAP196625 FKL196624:FKL196625 FUH196624:FUH196625 GED196624:GED196625 GNZ196624:GNZ196625 GXV196624:GXV196625 HHR196624:HHR196625 HRN196624:HRN196625 IBJ196624:IBJ196625 ILF196624:ILF196625 IVB196624:IVB196625 JEX196624:JEX196625 JOT196624:JOT196625 JYP196624:JYP196625 KIL196624:KIL196625 KSH196624:KSH196625 LCD196624:LCD196625 LLZ196624:LLZ196625 LVV196624:LVV196625 MFR196624:MFR196625 MPN196624:MPN196625 MZJ196624:MZJ196625 NJF196624:NJF196625 NTB196624:NTB196625 OCX196624:OCX196625 OMT196624:OMT196625 OWP196624:OWP196625 PGL196624:PGL196625 PQH196624:PQH196625 QAD196624:QAD196625 QJZ196624:QJZ196625 QTV196624:QTV196625 RDR196624:RDR196625 RNN196624:RNN196625 RXJ196624:RXJ196625 SHF196624:SHF196625 SRB196624:SRB196625 TAX196624:TAX196625 TKT196624:TKT196625 TUP196624:TUP196625 UEL196624:UEL196625 UOH196624:UOH196625 UYD196624:UYD196625 VHZ196624:VHZ196625 VRV196624:VRV196625 WBR196624:WBR196625 WLN196624:WLN196625 WVJ196624:WVJ196625 B262160:B262161 IX262160:IX262161 ST262160:ST262161 ACP262160:ACP262161 AML262160:AML262161 AWH262160:AWH262161 BGD262160:BGD262161 BPZ262160:BPZ262161 BZV262160:BZV262161 CJR262160:CJR262161 CTN262160:CTN262161 DDJ262160:DDJ262161 DNF262160:DNF262161 DXB262160:DXB262161 EGX262160:EGX262161 EQT262160:EQT262161 FAP262160:FAP262161 FKL262160:FKL262161 FUH262160:FUH262161 GED262160:GED262161 GNZ262160:GNZ262161 GXV262160:GXV262161 HHR262160:HHR262161 HRN262160:HRN262161 IBJ262160:IBJ262161 ILF262160:ILF262161 IVB262160:IVB262161 JEX262160:JEX262161 JOT262160:JOT262161 JYP262160:JYP262161 KIL262160:KIL262161 KSH262160:KSH262161 LCD262160:LCD262161 LLZ262160:LLZ262161 LVV262160:LVV262161 MFR262160:MFR262161 MPN262160:MPN262161 MZJ262160:MZJ262161 NJF262160:NJF262161 NTB262160:NTB262161 OCX262160:OCX262161 OMT262160:OMT262161 OWP262160:OWP262161 PGL262160:PGL262161 PQH262160:PQH262161 QAD262160:QAD262161 QJZ262160:QJZ262161 QTV262160:QTV262161 RDR262160:RDR262161 RNN262160:RNN262161 RXJ262160:RXJ262161 SHF262160:SHF262161 SRB262160:SRB262161 TAX262160:TAX262161 TKT262160:TKT262161 TUP262160:TUP262161 UEL262160:UEL262161 UOH262160:UOH262161 UYD262160:UYD262161 VHZ262160:VHZ262161 VRV262160:VRV262161 WBR262160:WBR262161 WLN262160:WLN262161 WVJ262160:WVJ262161 B327696:B327697 IX327696:IX327697 ST327696:ST327697 ACP327696:ACP327697 AML327696:AML327697 AWH327696:AWH327697 BGD327696:BGD327697 BPZ327696:BPZ327697 BZV327696:BZV327697 CJR327696:CJR327697 CTN327696:CTN327697 DDJ327696:DDJ327697 DNF327696:DNF327697 DXB327696:DXB327697 EGX327696:EGX327697 EQT327696:EQT327697 FAP327696:FAP327697 FKL327696:FKL327697 FUH327696:FUH327697 GED327696:GED327697 GNZ327696:GNZ327697 GXV327696:GXV327697 HHR327696:HHR327697 HRN327696:HRN327697 IBJ327696:IBJ327697 ILF327696:ILF327697 IVB327696:IVB327697 JEX327696:JEX327697 JOT327696:JOT327697 JYP327696:JYP327697 KIL327696:KIL327697 KSH327696:KSH327697 LCD327696:LCD327697 LLZ327696:LLZ327697 LVV327696:LVV327697 MFR327696:MFR327697 MPN327696:MPN327697 MZJ327696:MZJ327697 NJF327696:NJF327697 NTB327696:NTB327697 OCX327696:OCX327697 OMT327696:OMT327697 OWP327696:OWP327697 PGL327696:PGL327697 PQH327696:PQH327697 QAD327696:QAD327697 QJZ327696:QJZ327697 QTV327696:QTV327697 RDR327696:RDR327697 RNN327696:RNN327697 RXJ327696:RXJ327697 SHF327696:SHF327697 SRB327696:SRB327697 TAX327696:TAX327697 TKT327696:TKT327697 TUP327696:TUP327697 UEL327696:UEL327697 UOH327696:UOH327697 UYD327696:UYD327697 VHZ327696:VHZ327697 VRV327696:VRV327697 WBR327696:WBR327697 WLN327696:WLN327697 WVJ327696:WVJ327697 B393232:B393233 IX393232:IX393233 ST393232:ST393233 ACP393232:ACP393233 AML393232:AML393233 AWH393232:AWH393233 BGD393232:BGD393233 BPZ393232:BPZ393233 BZV393232:BZV393233 CJR393232:CJR393233 CTN393232:CTN393233 DDJ393232:DDJ393233 DNF393232:DNF393233 DXB393232:DXB393233 EGX393232:EGX393233 EQT393232:EQT393233 FAP393232:FAP393233 FKL393232:FKL393233 FUH393232:FUH393233 GED393232:GED393233 GNZ393232:GNZ393233 GXV393232:GXV393233 HHR393232:HHR393233 HRN393232:HRN393233 IBJ393232:IBJ393233 ILF393232:ILF393233 IVB393232:IVB393233 JEX393232:JEX393233 JOT393232:JOT393233 JYP393232:JYP393233 KIL393232:KIL393233 KSH393232:KSH393233 LCD393232:LCD393233 LLZ393232:LLZ393233 LVV393232:LVV393233 MFR393232:MFR393233 MPN393232:MPN393233 MZJ393232:MZJ393233 NJF393232:NJF393233 NTB393232:NTB393233 OCX393232:OCX393233 OMT393232:OMT393233 OWP393232:OWP393233 PGL393232:PGL393233 PQH393232:PQH393233 QAD393232:QAD393233 QJZ393232:QJZ393233 QTV393232:QTV393233 RDR393232:RDR393233 RNN393232:RNN393233 RXJ393232:RXJ393233 SHF393232:SHF393233 SRB393232:SRB393233 TAX393232:TAX393233 TKT393232:TKT393233 TUP393232:TUP393233 UEL393232:UEL393233 UOH393232:UOH393233 UYD393232:UYD393233 VHZ393232:VHZ393233 VRV393232:VRV393233 WBR393232:WBR393233 WLN393232:WLN393233 WVJ393232:WVJ393233 B458768:B458769 IX458768:IX458769 ST458768:ST458769 ACP458768:ACP458769 AML458768:AML458769 AWH458768:AWH458769 BGD458768:BGD458769 BPZ458768:BPZ458769 BZV458768:BZV458769 CJR458768:CJR458769 CTN458768:CTN458769 DDJ458768:DDJ458769 DNF458768:DNF458769 DXB458768:DXB458769 EGX458768:EGX458769 EQT458768:EQT458769 FAP458768:FAP458769 FKL458768:FKL458769 FUH458768:FUH458769 GED458768:GED458769 GNZ458768:GNZ458769 GXV458768:GXV458769 HHR458768:HHR458769 HRN458768:HRN458769 IBJ458768:IBJ458769 ILF458768:ILF458769 IVB458768:IVB458769 JEX458768:JEX458769 JOT458768:JOT458769 JYP458768:JYP458769 KIL458768:KIL458769 KSH458768:KSH458769 LCD458768:LCD458769 LLZ458768:LLZ458769 LVV458768:LVV458769 MFR458768:MFR458769 MPN458768:MPN458769 MZJ458768:MZJ458769 NJF458768:NJF458769 NTB458768:NTB458769 OCX458768:OCX458769 OMT458768:OMT458769 OWP458768:OWP458769 PGL458768:PGL458769 PQH458768:PQH458769 QAD458768:QAD458769 QJZ458768:QJZ458769 QTV458768:QTV458769 RDR458768:RDR458769 RNN458768:RNN458769 RXJ458768:RXJ458769 SHF458768:SHF458769 SRB458768:SRB458769 TAX458768:TAX458769 TKT458768:TKT458769 TUP458768:TUP458769 UEL458768:UEL458769 UOH458768:UOH458769 UYD458768:UYD458769 VHZ458768:VHZ458769 VRV458768:VRV458769 WBR458768:WBR458769 WLN458768:WLN458769 WVJ458768:WVJ458769 B524304:B524305 IX524304:IX524305 ST524304:ST524305 ACP524304:ACP524305 AML524304:AML524305 AWH524304:AWH524305 BGD524304:BGD524305 BPZ524304:BPZ524305 BZV524304:BZV524305 CJR524304:CJR524305 CTN524304:CTN524305 DDJ524304:DDJ524305 DNF524304:DNF524305 DXB524304:DXB524305 EGX524304:EGX524305 EQT524304:EQT524305 FAP524304:FAP524305 FKL524304:FKL524305 FUH524304:FUH524305 GED524304:GED524305 GNZ524304:GNZ524305 GXV524304:GXV524305 HHR524304:HHR524305 HRN524304:HRN524305 IBJ524304:IBJ524305 ILF524304:ILF524305 IVB524304:IVB524305 JEX524304:JEX524305 JOT524304:JOT524305 JYP524304:JYP524305 KIL524304:KIL524305 KSH524304:KSH524305 LCD524304:LCD524305 LLZ524304:LLZ524305 LVV524304:LVV524305 MFR524304:MFR524305 MPN524304:MPN524305 MZJ524304:MZJ524305 NJF524304:NJF524305 NTB524304:NTB524305 OCX524304:OCX524305 OMT524304:OMT524305 OWP524304:OWP524305 PGL524304:PGL524305 PQH524304:PQH524305 QAD524304:QAD524305 QJZ524304:QJZ524305 QTV524304:QTV524305 RDR524304:RDR524305 RNN524304:RNN524305 RXJ524304:RXJ524305 SHF524304:SHF524305 SRB524304:SRB524305 TAX524304:TAX524305 TKT524304:TKT524305 TUP524304:TUP524305 UEL524304:UEL524305 UOH524304:UOH524305 UYD524304:UYD524305 VHZ524304:VHZ524305 VRV524304:VRV524305 WBR524304:WBR524305 WLN524304:WLN524305 WVJ524304:WVJ524305 B589840:B589841 IX589840:IX589841 ST589840:ST589841 ACP589840:ACP589841 AML589840:AML589841 AWH589840:AWH589841 BGD589840:BGD589841 BPZ589840:BPZ589841 BZV589840:BZV589841 CJR589840:CJR589841 CTN589840:CTN589841 DDJ589840:DDJ589841 DNF589840:DNF589841 DXB589840:DXB589841 EGX589840:EGX589841 EQT589840:EQT589841 FAP589840:FAP589841 FKL589840:FKL589841 FUH589840:FUH589841 GED589840:GED589841 GNZ589840:GNZ589841 GXV589840:GXV589841 HHR589840:HHR589841 HRN589840:HRN589841 IBJ589840:IBJ589841 ILF589840:ILF589841 IVB589840:IVB589841 JEX589840:JEX589841 JOT589840:JOT589841 JYP589840:JYP589841 KIL589840:KIL589841 KSH589840:KSH589841 LCD589840:LCD589841 LLZ589840:LLZ589841 LVV589840:LVV589841 MFR589840:MFR589841 MPN589840:MPN589841 MZJ589840:MZJ589841 NJF589840:NJF589841 NTB589840:NTB589841 OCX589840:OCX589841 OMT589840:OMT589841 OWP589840:OWP589841 PGL589840:PGL589841 PQH589840:PQH589841 QAD589840:QAD589841 QJZ589840:QJZ589841 QTV589840:QTV589841 RDR589840:RDR589841 RNN589840:RNN589841 RXJ589840:RXJ589841 SHF589840:SHF589841 SRB589840:SRB589841 TAX589840:TAX589841 TKT589840:TKT589841 TUP589840:TUP589841 UEL589840:UEL589841 UOH589840:UOH589841 UYD589840:UYD589841 VHZ589840:VHZ589841 VRV589840:VRV589841 WBR589840:WBR589841 WLN589840:WLN589841 WVJ589840:WVJ589841 B655376:B655377 IX655376:IX655377 ST655376:ST655377 ACP655376:ACP655377 AML655376:AML655377 AWH655376:AWH655377 BGD655376:BGD655377 BPZ655376:BPZ655377 BZV655376:BZV655377 CJR655376:CJR655377 CTN655376:CTN655377 DDJ655376:DDJ655377 DNF655376:DNF655377 DXB655376:DXB655377 EGX655376:EGX655377 EQT655376:EQT655377 FAP655376:FAP655377 FKL655376:FKL655377 FUH655376:FUH655377 GED655376:GED655377 GNZ655376:GNZ655377 GXV655376:GXV655377 HHR655376:HHR655377 HRN655376:HRN655377 IBJ655376:IBJ655377 ILF655376:ILF655377 IVB655376:IVB655377 JEX655376:JEX655377 JOT655376:JOT655377 JYP655376:JYP655377 KIL655376:KIL655377 KSH655376:KSH655377 LCD655376:LCD655377 LLZ655376:LLZ655377 LVV655376:LVV655377 MFR655376:MFR655377 MPN655376:MPN655377 MZJ655376:MZJ655377 NJF655376:NJF655377 NTB655376:NTB655377 OCX655376:OCX655377 OMT655376:OMT655377 OWP655376:OWP655377 PGL655376:PGL655377 PQH655376:PQH655377 QAD655376:QAD655377 QJZ655376:QJZ655377 QTV655376:QTV655377 RDR655376:RDR655377 RNN655376:RNN655377 RXJ655376:RXJ655377 SHF655376:SHF655377 SRB655376:SRB655377 TAX655376:TAX655377 TKT655376:TKT655377 TUP655376:TUP655377 UEL655376:UEL655377 UOH655376:UOH655377 UYD655376:UYD655377 VHZ655376:VHZ655377 VRV655376:VRV655377 WBR655376:WBR655377 WLN655376:WLN655377 WVJ655376:WVJ655377 B720912:B720913 IX720912:IX720913 ST720912:ST720913 ACP720912:ACP720913 AML720912:AML720913 AWH720912:AWH720913 BGD720912:BGD720913 BPZ720912:BPZ720913 BZV720912:BZV720913 CJR720912:CJR720913 CTN720912:CTN720913 DDJ720912:DDJ720913 DNF720912:DNF720913 DXB720912:DXB720913 EGX720912:EGX720913 EQT720912:EQT720913 FAP720912:FAP720913 FKL720912:FKL720913 FUH720912:FUH720913 GED720912:GED720913 GNZ720912:GNZ720913 GXV720912:GXV720913 HHR720912:HHR720913 HRN720912:HRN720913 IBJ720912:IBJ720913 ILF720912:ILF720913 IVB720912:IVB720913 JEX720912:JEX720913 JOT720912:JOT720913 JYP720912:JYP720913 KIL720912:KIL720913 KSH720912:KSH720913 LCD720912:LCD720913 LLZ720912:LLZ720913 LVV720912:LVV720913 MFR720912:MFR720913 MPN720912:MPN720913 MZJ720912:MZJ720913 NJF720912:NJF720913 NTB720912:NTB720913 OCX720912:OCX720913 OMT720912:OMT720913 OWP720912:OWP720913 PGL720912:PGL720913 PQH720912:PQH720913 QAD720912:QAD720913 QJZ720912:QJZ720913 QTV720912:QTV720913 RDR720912:RDR720913 RNN720912:RNN720913 RXJ720912:RXJ720913 SHF720912:SHF720913 SRB720912:SRB720913 TAX720912:TAX720913 TKT720912:TKT720913 TUP720912:TUP720913 UEL720912:UEL720913 UOH720912:UOH720913 UYD720912:UYD720913 VHZ720912:VHZ720913 VRV720912:VRV720913 WBR720912:WBR720913 WLN720912:WLN720913 WVJ720912:WVJ720913 B786448:B786449 IX786448:IX786449 ST786448:ST786449 ACP786448:ACP786449 AML786448:AML786449 AWH786448:AWH786449 BGD786448:BGD786449 BPZ786448:BPZ786449 BZV786448:BZV786449 CJR786448:CJR786449 CTN786448:CTN786449 DDJ786448:DDJ786449 DNF786448:DNF786449 DXB786448:DXB786449 EGX786448:EGX786449 EQT786448:EQT786449 FAP786448:FAP786449 FKL786448:FKL786449 FUH786448:FUH786449 GED786448:GED786449 GNZ786448:GNZ786449 GXV786448:GXV786449 HHR786448:HHR786449 HRN786448:HRN786449 IBJ786448:IBJ786449 ILF786448:ILF786449 IVB786448:IVB786449 JEX786448:JEX786449 JOT786448:JOT786449 JYP786448:JYP786449 KIL786448:KIL786449 KSH786448:KSH786449 LCD786448:LCD786449 LLZ786448:LLZ786449 LVV786448:LVV786449 MFR786448:MFR786449 MPN786448:MPN786449 MZJ786448:MZJ786449 NJF786448:NJF786449 NTB786448:NTB786449 OCX786448:OCX786449 OMT786448:OMT786449 OWP786448:OWP786449 PGL786448:PGL786449 PQH786448:PQH786449 QAD786448:QAD786449 QJZ786448:QJZ786449 QTV786448:QTV786449 RDR786448:RDR786449 RNN786448:RNN786449 RXJ786448:RXJ786449 SHF786448:SHF786449 SRB786448:SRB786449 TAX786448:TAX786449 TKT786448:TKT786449 TUP786448:TUP786449 UEL786448:UEL786449 UOH786448:UOH786449 UYD786448:UYD786449 VHZ786448:VHZ786449 VRV786448:VRV786449 WBR786448:WBR786449 WLN786448:WLN786449 WVJ786448:WVJ786449 B851984:B851985 IX851984:IX851985 ST851984:ST851985 ACP851984:ACP851985 AML851984:AML851985 AWH851984:AWH851985 BGD851984:BGD851985 BPZ851984:BPZ851985 BZV851984:BZV851985 CJR851984:CJR851985 CTN851984:CTN851985 DDJ851984:DDJ851985 DNF851984:DNF851985 DXB851984:DXB851985 EGX851984:EGX851985 EQT851984:EQT851985 FAP851984:FAP851985 FKL851984:FKL851985 FUH851984:FUH851985 GED851984:GED851985 GNZ851984:GNZ851985 GXV851984:GXV851985 HHR851984:HHR851985 HRN851984:HRN851985 IBJ851984:IBJ851985 ILF851984:ILF851985 IVB851984:IVB851985 JEX851984:JEX851985 JOT851984:JOT851985 JYP851984:JYP851985 KIL851984:KIL851985 KSH851984:KSH851985 LCD851984:LCD851985 LLZ851984:LLZ851985 LVV851984:LVV851985 MFR851984:MFR851985 MPN851984:MPN851985 MZJ851984:MZJ851985 NJF851984:NJF851985 NTB851984:NTB851985 OCX851984:OCX851985 OMT851984:OMT851985 OWP851984:OWP851985 PGL851984:PGL851985 PQH851984:PQH851985 QAD851984:QAD851985 QJZ851984:QJZ851985 QTV851984:QTV851985 RDR851984:RDR851985 RNN851984:RNN851985 RXJ851984:RXJ851985 SHF851984:SHF851985 SRB851984:SRB851985 TAX851984:TAX851985 TKT851984:TKT851985 TUP851984:TUP851985 UEL851984:UEL851985 UOH851984:UOH851985 UYD851984:UYD851985 VHZ851984:VHZ851985 VRV851984:VRV851985 WBR851984:WBR851985 WLN851984:WLN851985 WVJ851984:WVJ851985 B917520:B917521 IX917520:IX917521 ST917520:ST917521 ACP917520:ACP917521 AML917520:AML917521 AWH917520:AWH917521 BGD917520:BGD917521 BPZ917520:BPZ917521 BZV917520:BZV917521 CJR917520:CJR917521 CTN917520:CTN917521 DDJ917520:DDJ917521 DNF917520:DNF917521 DXB917520:DXB917521 EGX917520:EGX917521 EQT917520:EQT917521 FAP917520:FAP917521 FKL917520:FKL917521 FUH917520:FUH917521 GED917520:GED917521 GNZ917520:GNZ917521 GXV917520:GXV917521 HHR917520:HHR917521 HRN917520:HRN917521 IBJ917520:IBJ917521 ILF917520:ILF917521 IVB917520:IVB917521 JEX917520:JEX917521 JOT917520:JOT917521 JYP917520:JYP917521 KIL917520:KIL917521 KSH917520:KSH917521 LCD917520:LCD917521 LLZ917520:LLZ917521 LVV917520:LVV917521 MFR917520:MFR917521 MPN917520:MPN917521 MZJ917520:MZJ917521 NJF917520:NJF917521 NTB917520:NTB917521 OCX917520:OCX917521 OMT917520:OMT917521 OWP917520:OWP917521 PGL917520:PGL917521 PQH917520:PQH917521 QAD917520:QAD917521 QJZ917520:QJZ917521 QTV917520:QTV917521 RDR917520:RDR917521 RNN917520:RNN917521 RXJ917520:RXJ917521 SHF917520:SHF917521 SRB917520:SRB917521 TAX917520:TAX917521 TKT917520:TKT917521 TUP917520:TUP917521 UEL917520:UEL917521 UOH917520:UOH917521 UYD917520:UYD917521 VHZ917520:VHZ917521 VRV917520:VRV917521 WBR917520:WBR917521 WLN917520:WLN917521 WVJ917520:WVJ917521 B983056:B983057 IX983056:IX983057 ST983056:ST983057 ACP983056:ACP983057 AML983056:AML983057 AWH983056:AWH983057 BGD983056:BGD983057 BPZ983056:BPZ983057 BZV983056:BZV983057 CJR983056:CJR983057 CTN983056:CTN983057 DDJ983056:DDJ983057 DNF983056:DNF983057 DXB983056:DXB983057 EGX983056:EGX983057 EQT983056:EQT983057 FAP983056:FAP983057 FKL983056:FKL983057 FUH983056:FUH983057 GED983056:GED983057 GNZ983056:GNZ983057 GXV983056:GXV983057 HHR983056:HHR983057 HRN983056:HRN983057 IBJ983056:IBJ983057 ILF983056:ILF983057 IVB983056:IVB983057 JEX983056:JEX983057 JOT983056:JOT983057 JYP983056:JYP983057 KIL983056:KIL983057 KSH983056:KSH983057 LCD983056:LCD983057 LLZ983056:LLZ983057 LVV983056:LVV983057 MFR983056:MFR983057 MPN983056:MPN983057 MZJ983056:MZJ983057 NJF983056:NJF983057 NTB983056:NTB983057 OCX983056:OCX983057 OMT983056:OMT983057 OWP983056:OWP983057 PGL983056:PGL983057 PQH983056:PQH983057 QAD983056:QAD983057 QJZ983056:QJZ983057 QTV983056:QTV983057 RDR983056:RDR983057 RNN983056:RNN983057 RXJ983056:RXJ983057 SHF983056:SHF983057 SRB983056:SRB983057 TAX983056:TAX983057 TKT983056:TKT983057 TUP983056:TUP983057 UEL983056:UEL983057 UOH983056:UOH983057 UYD983056:UYD983057 VHZ983056:VHZ983057 VRV983056:VRV983057 WBR983056:WBR983057 WLN983056:WLN983057 WVJ983056:WVJ983057 B33 IX33 ST33 ACP33 AML33 AWH33 BGD33 BPZ33 BZV33 CJR33 CTN33 DDJ33 DNF33 DXB33 EGX33 EQT33 FAP33 FKL33 FUH33 GED33 GNZ33 GXV33 HHR33 HRN33 IBJ33 ILF33 IVB33 JEX33 JOT33 JYP33 KIL33 KSH33 LCD33 LLZ33 LVV33 MFR33 MPN33 MZJ33 NJF33 NTB33 OCX33 OMT33 OWP33 PGL33 PQH33 QAD33 QJZ33 QTV33 RDR33 RNN33 RXJ33 SHF33 SRB33 TAX33 TKT33 TUP33 UEL33 UOH33 UYD33 VHZ33 VRV33 WBR33 WLN33 WVJ33 B65569 IX65569 ST65569 ACP65569 AML65569 AWH65569 BGD65569 BPZ65569 BZV65569 CJR65569 CTN65569 DDJ65569 DNF65569 DXB65569 EGX65569 EQT65569 FAP65569 FKL65569 FUH65569 GED65569 GNZ65569 GXV65569 HHR65569 HRN65569 IBJ65569 ILF65569 IVB65569 JEX65569 JOT65569 JYP65569 KIL65569 KSH65569 LCD65569 LLZ65569 LVV65569 MFR65569 MPN65569 MZJ65569 NJF65569 NTB65569 OCX65569 OMT65569 OWP65569 PGL65569 PQH65569 QAD65569 QJZ65569 QTV65569 RDR65569 RNN65569 RXJ65569 SHF65569 SRB65569 TAX65569 TKT65569 TUP65569 UEL65569 UOH65569 UYD65569 VHZ65569 VRV65569 WBR65569 WLN65569 WVJ65569 B131105 IX131105 ST131105 ACP131105 AML131105 AWH131105 BGD131105 BPZ131105 BZV131105 CJR131105 CTN131105 DDJ131105 DNF131105 DXB131105 EGX131105 EQT131105 FAP131105 FKL131105 FUH131105 GED131105 GNZ131105 GXV131105 HHR131105 HRN131105 IBJ131105 ILF131105 IVB131105 JEX131105 JOT131105 JYP131105 KIL131105 KSH131105 LCD131105 LLZ131105 LVV131105 MFR131105 MPN131105 MZJ131105 NJF131105 NTB131105 OCX131105 OMT131105 OWP131105 PGL131105 PQH131105 QAD131105 QJZ131105 QTV131105 RDR131105 RNN131105 RXJ131105 SHF131105 SRB131105 TAX131105 TKT131105 TUP131105 UEL131105 UOH131105 UYD131105 VHZ131105 VRV131105 WBR131105 WLN131105 WVJ131105 B196641 IX196641 ST196641 ACP196641 AML196641 AWH196641 BGD196641 BPZ196641 BZV196641 CJR196641 CTN196641 DDJ196641 DNF196641 DXB196641 EGX196641 EQT196641 FAP196641 FKL196641 FUH196641 GED196641 GNZ196641 GXV196641 HHR196641 HRN196641 IBJ196641 ILF196641 IVB196641 JEX196641 JOT196641 JYP196641 KIL196641 KSH196641 LCD196641 LLZ196641 LVV196641 MFR196641 MPN196641 MZJ196641 NJF196641 NTB196641 OCX196641 OMT196641 OWP196641 PGL196641 PQH196641 QAD196641 QJZ196641 QTV196641 RDR196641 RNN196641 RXJ196641 SHF196641 SRB196641 TAX196641 TKT196641 TUP196641 UEL196641 UOH196641 UYD196641 VHZ196641 VRV196641 WBR196641 WLN196641 WVJ196641 B262177 IX262177 ST262177 ACP262177 AML262177 AWH262177 BGD262177 BPZ262177 BZV262177 CJR262177 CTN262177 DDJ262177 DNF262177 DXB262177 EGX262177 EQT262177 FAP262177 FKL262177 FUH262177 GED262177 GNZ262177 GXV262177 HHR262177 HRN262177 IBJ262177 ILF262177 IVB262177 JEX262177 JOT262177 JYP262177 KIL262177 KSH262177 LCD262177 LLZ262177 LVV262177 MFR262177 MPN262177 MZJ262177 NJF262177 NTB262177 OCX262177 OMT262177 OWP262177 PGL262177 PQH262177 QAD262177 QJZ262177 QTV262177 RDR262177 RNN262177 RXJ262177 SHF262177 SRB262177 TAX262177 TKT262177 TUP262177 UEL262177 UOH262177 UYD262177 VHZ262177 VRV262177 WBR262177 WLN262177 WVJ262177 B327713 IX327713 ST327713 ACP327713 AML327713 AWH327713 BGD327713 BPZ327713 BZV327713 CJR327713 CTN327713 DDJ327713 DNF327713 DXB327713 EGX327713 EQT327713 FAP327713 FKL327713 FUH327713 GED327713 GNZ327713 GXV327713 HHR327713 HRN327713 IBJ327713 ILF327713 IVB327713 JEX327713 JOT327713 JYP327713 KIL327713 KSH327713 LCD327713 LLZ327713 LVV327713 MFR327713 MPN327713 MZJ327713 NJF327713 NTB327713 OCX327713 OMT327713 OWP327713 PGL327713 PQH327713 QAD327713 QJZ327713 QTV327713 RDR327713 RNN327713 RXJ327713 SHF327713 SRB327713 TAX327713 TKT327713 TUP327713 UEL327713 UOH327713 UYD327713 VHZ327713 VRV327713 WBR327713 WLN327713 WVJ327713 B393249 IX393249 ST393249 ACP393249 AML393249 AWH393249 BGD393249 BPZ393249 BZV393249 CJR393249 CTN393249 DDJ393249 DNF393249 DXB393249 EGX393249 EQT393249 FAP393249 FKL393249 FUH393249 GED393249 GNZ393249 GXV393249 HHR393249 HRN393249 IBJ393249 ILF393249 IVB393249 JEX393249 JOT393249 JYP393249 KIL393249 KSH393249 LCD393249 LLZ393249 LVV393249 MFR393249 MPN393249 MZJ393249 NJF393249 NTB393249 OCX393249 OMT393249 OWP393249 PGL393249 PQH393249 QAD393249 QJZ393249 QTV393249 RDR393249 RNN393249 RXJ393249 SHF393249 SRB393249 TAX393249 TKT393249 TUP393249 UEL393249 UOH393249 UYD393249 VHZ393249 VRV393249 WBR393249 WLN393249 WVJ393249 B458785 IX458785 ST458785 ACP458785 AML458785 AWH458785 BGD458785 BPZ458785 BZV458785 CJR458785 CTN458785 DDJ458785 DNF458785 DXB458785 EGX458785 EQT458785 FAP458785 FKL458785 FUH458785 GED458785 GNZ458785 GXV458785 HHR458785 HRN458785 IBJ458785 ILF458785 IVB458785 JEX458785 JOT458785 JYP458785 KIL458785 KSH458785 LCD458785 LLZ458785 LVV458785 MFR458785 MPN458785 MZJ458785 NJF458785 NTB458785 OCX458785 OMT458785 OWP458785 PGL458785 PQH458785 QAD458785 QJZ458785 QTV458785 RDR458785 RNN458785 RXJ458785 SHF458785 SRB458785 TAX458785 TKT458785 TUP458785 UEL458785 UOH458785 UYD458785 VHZ458785 VRV458785 WBR458785 WLN458785 WVJ458785 B524321 IX524321 ST524321 ACP524321 AML524321 AWH524321 BGD524321 BPZ524321 BZV524321 CJR524321 CTN524321 DDJ524321 DNF524321 DXB524321 EGX524321 EQT524321 FAP524321 FKL524321 FUH524321 GED524321 GNZ524321 GXV524321 HHR524321 HRN524321 IBJ524321 ILF524321 IVB524321 JEX524321 JOT524321 JYP524321 KIL524321 KSH524321 LCD524321 LLZ524321 LVV524321 MFR524321 MPN524321 MZJ524321 NJF524321 NTB524321 OCX524321 OMT524321 OWP524321 PGL524321 PQH524321 QAD524321 QJZ524321 QTV524321 RDR524321 RNN524321 RXJ524321 SHF524321 SRB524321 TAX524321 TKT524321 TUP524321 UEL524321 UOH524321 UYD524321 VHZ524321 VRV524321 WBR524321 WLN524321 WVJ524321 B589857 IX589857 ST589857 ACP589857 AML589857 AWH589857 BGD589857 BPZ589857 BZV589857 CJR589857 CTN589857 DDJ589857 DNF589857 DXB589857 EGX589857 EQT589857 FAP589857 FKL589857 FUH589857 GED589857 GNZ589857 GXV589857 HHR589857 HRN589857 IBJ589857 ILF589857 IVB589857 JEX589857 JOT589857 JYP589857 KIL589857 KSH589857 LCD589857 LLZ589857 LVV589857 MFR589857 MPN589857 MZJ589857 NJF589857 NTB589857 OCX589857 OMT589857 OWP589857 PGL589857 PQH589857 QAD589857 QJZ589857 QTV589857 RDR589857 RNN589857 RXJ589857 SHF589857 SRB589857 TAX589857 TKT589857 TUP589857 UEL589857 UOH589857 UYD589857 VHZ589857 VRV589857 WBR589857 WLN589857 WVJ589857 B655393 IX655393 ST655393 ACP655393 AML655393 AWH655393 BGD655393 BPZ655393 BZV655393 CJR655393 CTN655393 DDJ655393 DNF655393 DXB655393 EGX655393 EQT655393 FAP655393 FKL655393 FUH655393 GED655393 GNZ655393 GXV655393 HHR655393 HRN655393 IBJ655393 ILF655393 IVB655393 JEX655393 JOT655393 JYP655393 KIL655393 KSH655393 LCD655393 LLZ655393 LVV655393 MFR655393 MPN655393 MZJ655393 NJF655393 NTB655393 OCX655393 OMT655393 OWP655393 PGL655393 PQH655393 QAD655393 QJZ655393 QTV655393 RDR655393 RNN655393 RXJ655393 SHF655393 SRB655393 TAX655393 TKT655393 TUP655393 UEL655393 UOH655393 UYD655393 VHZ655393 VRV655393 WBR655393 WLN655393 WVJ655393 B720929 IX720929 ST720929 ACP720929 AML720929 AWH720929 BGD720929 BPZ720929 BZV720929 CJR720929 CTN720929 DDJ720929 DNF720929 DXB720929 EGX720929 EQT720929 FAP720929 FKL720929 FUH720929 GED720929 GNZ720929 GXV720929 HHR720929 HRN720929 IBJ720929 ILF720929 IVB720929 JEX720929 JOT720929 JYP720929 KIL720929 KSH720929 LCD720929 LLZ720929 LVV720929 MFR720929 MPN720929 MZJ720929 NJF720929 NTB720929 OCX720929 OMT720929 OWP720929 PGL720929 PQH720929 QAD720929 QJZ720929 QTV720929 RDR720929 RNN720929 RXJ720929 SHF720929 SRB720929 TAX720929 TKT720929 TUP720929 UEL720929 UOH720929 UYD720929 VHZ720929 VRV720929 WBR720929 WLN720929 WVJ720929 B786465 IX786465 ST786465 ACP786465 AML786465 AWH786465 BGD786465 BPZ786465 BZV786465 CJR786465 CTN786465 DDJ786465 DNF786465 DXB786465 EGX786465 EQT786465 FAP786465 FKL786465 FUH786465 GED786465 GNZ786465 GXV786465 HHR786465 HRN786465 IBJ786465 ILF786465 IVB786465 JEX786465 JOT786465 JYP786465 KIL786465 KSH786465 LCD786465 LLZ786465 LVV786465 MFR786465 MPN786465 MZJ786465 NJF786465 NTB786465 OCX786465 OMT786465 OWP786465 PGL786465 PQH786465 QAD786465 QJZ786465 QTV786465 RDR786465 RNN786465 RXJ786465 SHF786465 SRB786465 TAX786465 TKT786465 TUP786465 UEL786465 UOH786465 UYD786465 VHZ786465 VRV786465 WBR786465 WLN786465 WVJ786465 B852001 IX852001 ST852001 ACP852001 AML852001 AWH852001 BGD852001 BPZ852001 BZV852001 CJR852001 CTN852001 DDJ852001 DNF852001 DXB852001 EGX852001 EQT852001 FAP852001 FKL852001 FUH852001 GED852001 GNZ852001 GXV852001 HHR852001 HRN852001 IBJ852001 ILF852001 IVB852001 JEX852001 JOT852001 JYP852001 KIL852001 KSH852001 LCD852001 LLZ852001 LVV852001 MFR852001 MPN852001 MZJ852001 NJF852001 NTB852001 OCX852001 OMT852001 OWP852001 PGL852001 PQH852001 QAD852001 QJZ852001 QTV852001 RDR852001 RNN852001 RXJ852001 SHF852001 SRB852001 TAX852001 TKT852001 TUP852001 UEL852001 UOH852001 UYD852001 VHZ852001 VRV852001 WBR852001 WLN852001 WVJ852001 B917537 IX917537 ST917537 ACP917537 AML917537 AWH917537 BGD917537 BPZ917537 BZV917537 CJR917537 CTN917537 DDJ917537 DNF917537 DXB917537 EGX917537 EQT917537 FAP917537 FKL917537 FUH917537 GED917537 GNZ917537 GXV917537 HHR917537 HRN917537 IBJ917537 ILF917537 IVB917537 JEX917537 JOT917537 JYP917537 KIL917537 KSH917537 LCD917537 LLZ917537 LVV917537 MFR917537 MPN917537 MZJ917537 NJF917537 NTB917537 OCX917537 OMT917537 OWP917537 PGL917537 PQH917537 QAD917537 QJZ917537 QTV917537 RDR917537 RNN917537 RXJ917537 SHF917537 SRB917537 TAX917537 TKT917537 TUP917537 UEL917537 UOH917537 UYD917537 VHZ917537 VRV917537 WBR917537 WLN917537 WVJ917537 B983073 IX983073 ST983073 ACP983073 AML983073 AWH983073 BGD983073 BPZ983073 BZV983073 CJR983073 CTN983073 DDJ983073 DNF983073 DXB983073 EGX983073 EQT983073 FAP983073 FKL983073 FUH983073 GED983073 GNZ983073 GXV983073 HHR983073 HRN983073 IBJ983073 ILF983073 IVB983073 JEX983073 JOT983073 JYP983073 KIL983073 KSH983073 LCD983073 LLZ983073 LVV983073 MFR983073 MPN983073 MZJ983073 NJF983073 NTB983073 OCX983073 OMT983073 OWP983073 PGL983073 PQH983073 QAD983073 QJZ983073 QTV983073 RDR983073 RNN983073 RXJ983073 SHF983073 SRB983073 TAX983073 TKT983073 TUP983073 UEL983073 UOH983073 UYD983073 VHZ983073 VRV983073 WBR983073 WLN983073 WVJ983073">
      <formula1>B16&lt;=7400</formula1>
    </dataValidation>
  </dataValidations>
  <printOptions horizontalCentered="1" verticalCentered="1"/>
  <pageMargins left="0.70866141732283472" right="0.70866141732283472" top="0.74803149606299213" bottom="0.74803149606299213" header="0.31496062992125984" footer="0.31496062992125984"/>
  <pageSetup paperSize="9" scale="8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G6"/>
  <sheetViews>
    <sheetView workbookViewId="0">
      <selection activeCell="G16" sqref="G16"/>
    </sheetView>
  </sheetViews>
  <sheetFormatPr defaultRowHeight="16.2"/>
  <cols>
    <col min="1" max="1" width="21.6640625" customWidth="1"/>
    <col min="2" max="2" width="10.44140625" bestFit="1" customWidth="1"/>
    <col min="3" max="3" width="11.77734375" bestFit="1" customWidth="1"/>
    <col min="4" max="4" width="10.44140625" bestFit="1" customWidth="1"/>
    <col min="5" max="5" width="9.77734375" bestFit="1" customWidth="1"/>
    <col min="6" max="6" width="12" customWidth="1"/>
    <col min="7" max="7" width="57" customWidth="1"/>
  </cols>
  <sheetData>
    <row r="1" spans="1:7" ht="31.8" thickBot="1">
      <c r="A1" s="110" t="s">
        <v>68</v>
      </c>
      <c r="B1" s="110" t="s">
        <v>69</v>
      </c>
      <c r="C1" s="110" t="s">
        <v>70</v>
      </c>
      <c r="D1" s="110" t="s">
        <v>71</v>
      </c>
      <c r="E1" s="110" t="s">
        <v>72</v>
      </c>
      <c r="F1" s="110" t="s">
        <v>73</v>
      </c>
      <c r="G1" s="110" t="s">
        <v>74</v>
      </c>
    </row>
    <row r="2" spans="1:7" ht="16.8" thickBot="1">
      <c r="A2" s="110" t="s">
        <v>75</v>
      </c>
      <c r="B2" s="111">
        <v>5200</v>
      </c>
      <c r="C2" s="112">
        <v>4.4800000000000004</v>
      </c>
      <c r="D2" s="111">
        <v>1790</v>
      </c>
      <c r="E2" s="112">
        <v>52</v>
      </c>
      <c r="F2" s="112">
        <v>232.96</v>
      </c>
      <c r="G2" s="114" t="s">
        <v>80</v>
      </c>
    </row>
    <row r="3" spans="1:7" ht="16.8" thickBot="1">
      <c r="A3" s="110" t="s">
        <v>76</v>
      </c>
      <c r="B3" s="111">
        <v>5200</v>
      </c>
      <c r="C3" s="112">
        <v>18.321999999999999</v>
      </c>
      <c r="D3" s="111">
        <v>8640</v>
      </c>
      <c r="E3" s="112">
        <v>52</v>
      </c>
      <c r="F3" s="112">
        <v>952.74</v>
      </c>
      <c r="G3" s="114" t="s">
        <v>81</v>
      </c>
    </row>
    <row r="4" spans="1:7" ht="16.8" thickBot="1">
      <c r="A4" s="110" t="s">
        <v>77</v>
      </c>
      <c r="B4" s="111">
        <v>6650</v>
      </c>
      <c r="C4" s="112">
        <v>26.42</v>
      </c>
      <c r="D4" s="112">
        <v>0</v>
      </c>
      <c r="E4" s="112">
        <v>66.5</v>
      </c>
      <c r="F4" s="113">
        <v>1756.93</v>
      </c>
      <c r="G4" s="114" t="s">
        <v>82</v>
      </c>
    </row>
    <row r="5" spans="1:7" ht="16.8" thickBot="1">
      <c r="A5" s="110" t="s">
        <v>78</v>
      </c>
      <c r="B5" s="111">
        <v>5150</v>
      </c>
      <c r="C5" s="112">
        <v>18.32</v>
      </c>
      <c r="D5" s="112">
        <v>0</v>
      </c>
      <c r="E5" s="112">
        <v>51.5</v>
      </c>
      <c r="F5" s="112">
        <v>943.48</v>
      </c>
      <c r="G5" s="114" t="s">
        <v>83</v>
      </c>
    </row>
    <row r="6" spans="1:7" ht="16.8" thickBot="1">
      <c r="A6" s="110" t="s">
        <v>79</v>
      </c>
      <c r="B6" s="111">
        <v>12400</v>
      </c>
      <c r="C6" s="112">
        <v>81.709999999999994</v>
      </c>
      <c r="D6" s="112">
        <v>0</v>
      </c>
      <c r="E6" s="112">
        <v>122</v>
      </c>
      <c r="F6" s="113">
        <v>9968.6200000000008</v>
      </c>
      <c r="G6" s="114" t="s">
        <v>84</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pageSetUpPr fitToPage="1"/>
  </sheetPr>
  <dimension ref="A1:X93"/>
  <sheetViews>
    <sheetView showRuler="0" view="pageBreakPreview" zoomScale="60" zoomScaleNormal="60" workbookViewId="0">
      <pane ySplit="1" topLeftCell="A4" activePane="bottomLeft" state="frozen"/>
      <selection activeCell="K12" sqref="K12"/>
      <selection pane="bottomLeft" activeCell="B26" sqref="B26"/>
    </sheetView>
  </sheetViews>
  <sheetFormatPr defaultColWidth="9" defaultRowHeight="16.2"/>
  <cols>
    <col min="1" max="1" width="9.44140625" style="47" customWidth="1"/>
    <col min="2" max="10" width="10.6640625" style="47" customWidth="1"/>
    <col min="11" max="12" width="10.6640625" style="6" customWidth="1"/>
    <col min="13" max="13" width="10.6640625" style="50" customWidth="1"/>
    <col min="14" max="16" width="10.6640625" style="6" customWidth="1"/>
    <col min="17" max="17" width="12.88671875" style="47" customWidth="1"/>
    <col min="18" max="18" width="10.6640625" style="6" customWidth="1"/>
    <col min="19" max="19" width="10.6640625" style="47" customWidth="1"/>
    <col min="20" max="20" width="10.6640625" style="6" customWidth="1"/>
    <col min="21" max="21" width="10.6640625" style="51" customWidth="1"/>
    <col min="22" max="23" width="9.88671875" style="6" bestFit="1" customWidth="1"/>
    <col min="24" max="24" width="15.44140625" style="6" bestFit="1" customWidth="1"/>
    <col min="25" max="16384" width="9" style="6"/>
  </cols>
  <sheetData>
    <row r="1" spans="1:24" ht="49.2" customHeight="1">
      <c r="A1" s="1" t="s">
        <v>2</v>
      </c>
      <c r="B1" s="2" t="s">
        <v>3</v>
      </c>
      <c r="C1" s="2" t="s">
        <v>4</v>
      </c>
      <c r="D1" s="2" t="s">
        <v>5</v>
      </c>
      <c r="E1" s="2" t="s">
        <v>6</v>
      </c>
      <c r="F1" s="3" t="s">
        <v>7</v>
      </c>
      <c r="G1" s="2" t="s">
        <v>8</v>
      </c>
      <c r="H1" s="2" t="s">
        <v>9</v>
      </c>
      <c r="I1" s="2" t="s">
        <v>10</v>
      </c>
      <c r="J1" s="4" t="s">
        <v>11</v>
      </c>
      <c r="K1" s="2" t="s">
        <v>12</v>
      </c>
      <c r="L1" s="2" t="s">
        <v>13</v>
      </c>
      <c r="M1" s="2" t="s">
        <v>14</v>
      </c>
      <c r="N1" s="2" t="s">
        <v>15</v>
      </c>
      <c r="O1" s="4" t="s">
        <v>16</v>
      </c>
      <c r="P1" s="3" t="s">
        <v>17</v>
      </c>
      <c r="Q1" s="2" t="s">
        <v>32</v>
      </c>
      <c r="R1" s="2" t="s">
        <v>18</v>
      </c>
      <c r="S1" s="2" t="s">
        <v>19</v>
      </c>
      <c r="T1" s="2" t="s">
        <v>20</v>
      </c>
      <c r="U1" s="5" t="s">
        <v>21</v>
      </c>
      <c r="V1" s="5" t="s">
        <v>22</v>
      </c>
      <c r="W1" s="5" t="s">
        <v>26</v>
      </c>
      <c r="X1" s="5" t="s">
        <v>34</v>
      </c>
    </row>
    <row r="2" spans="1:24" s="13" customFormat="1" ht="26.4" customHeight="1" thickBot="1">
      <c r="A2" s="7">
        <v>1</v>
      </c>
      <c r="B2" s="8">
        <v>0.80020000000000002</v>
      </c>
      <c r="C2" s="8">
        <v>1.1264000000000001</v>
      </c>
      <c r="D2" s="8">
        <v>1.0450999999999999</v>
      </c>
      <c r="E2" s="8">
        <v>0.81089999999999995</v>
      </c>
      <c r="F2" s="9"/>
      <c r="G2" s="8">
        <v>0.80520000000000003</v>
      </c>
      <c r="H2" s="8">
        <v>0.93820000000000003</v>
      </c>
      <c r="I2" s="8">
        <v>1.0691999999999999</v>
      </c>
      <c r="J2" s="10">
        <v>0.98939999999999995</v>
      </c>
      <c r="K2" s="8">
        <v>0.96160000000000001</v>
      </c>
      <c r="L2" s="11">
        <v>0.95099999999999996</v>
      </c>
      <c r="M2" s="8"/>
      <c r="N2" s="11">
        <v>0.94899999999999995</v>
      </c>
      <c r="O2" s="11">
        <v>0.93500000000000005</v>
      </c>
      <c r="P2" s="9"/>
      <c r="Q2" s="27">
        <v>0.95454000000000006</v>
      </c>
      <c r="R2" s="8">
        <v>0.82220000000000004</v>
      </c>
      <c r="S2" s="12">
        <v>1.0519000000000001</v>
      </c>
      <c r="T2" s="8">
        <v>0.96960000000000002</v>
      </c>
      <c r="U2" s="8">
        <v>1.028</v>
      </c>
      <c r="V2" s="16">
        <v>0.96399999999999997</v>
      </c>
      <c r="W2" s="16">
        <v>0.97658999999999996</v>
      </c>
      <c r="X2" s="16">
        <v>0.81481000000000003</v>
      </c>
    </row>
    <row r="3" spans="1:24" s="13" customFormat="1" ht="26.4" customHeight="1" thickTop="1" thickBot="1">
      <c r="A3" s="7">
        <v>2</v>
      </c>
      <c r="B3" s="8">
        <v>0.79930000000000001</v>
      </c>
      <c r="C3" s="8">
        <v>1.1257999999999999</v>
      </c>
      <c r="D3" s="8">
        <v>1.0471999999999999</v>
      </c>
      <c r="E3" s="14">
        <v>0.81</v>
      </c>
      <c r="F3" s="9"/>
      <c r="G3" s="8">
        <v>0.80420000000000003</v>
      </c>
      <c r="H3" s="8">
        <v>0.93730000000000002</v>
      </c>
      <c r="I3" s="8">
        <v>1.0681</v>
      </c>
      <c r="J3" s="10">
        <v>0.98939999999999995</v>
      </c>
      <c r="K3" s="8">
        <v>0.9607</v>
      </c>
      <c r="L3" s="11">
        <v>0.96</v>
      </c>
      <c r="M3" s="8"/>
      <c r="N3" s="11">
        <v>0.94899999999999995</v>
      </c>
      <c r="O3" s="11">
        <v>0.93500000000000005</v>
      </c>
      <c r="P3" s="9"/>
      <c r="Q3" s="27">
        <v>0.95454000000000006</v>
      </c>
      <c r="R3" s="8">
        <v>0.82120000000000004</v>
      </c>
      <c r="S3" s="12">
        <v>1.0511999999999999</v>
      </c>
      <c r="T3" s="8">
        <v>0.96870000000000001</v>
      </c>
      <c r="U3" s="8">
        <v>1.028</v>
      </c>
      <c r="V3" s="16">
        <v>0.96399999999999997</v>
      </c>
      <c r="W3" s="16">
        <v>0.97658999999999996</v>
      </c>
      <c r="X3" s="16">
        <v>0.81481000000000003</v>
      </c>
    </row>
    <row r="4" spans="1:24" s="13" customFormat="1" ht="26.4" customHeight="1" thickTop="1" thickBot="1">
      <c r="A4" s="7">
        <v>3</v>
      </c>
      <c r="B4" s="8">
        <v>0.7984</v>
      </c>
      <c r="C4" s="8">
        <v>1.1251</v>
      </c>
      <c r="D4" s="8">
        <v>1.0463</v>
      </c>
      <c r="E4" s="8">
        <v>0.80910000000000004</v>
      </c>
      <c r="F4" s="9"/>
      <c r="G4" s="8">
        <v>0.80320000000000003</v>
      </c>
      <c r="H4" s="8">
        <v>0.93630000000000002</v>
      </c>
      <c r="I4" s="14">
        <v>1.0669999999999999</v>
      </c>
      <c r="J4" s="10">
        <v>0.98939999999999995</v>
      </c>
      <c r="K4" s="8">
        <v>0.95989999999999998</v>
      </c>
      <c r="L4" s="11">
        <v>0.95899999999999996</v>
      </c>
      <c r="M4" s="8"/>
      <c r="N4" s="11">
        <v>0.94899999999999995</v>
      </c>
      <c r="O4" s="11">
        <v>0.93500000000000005</v>
      </c>
      <c r="P4" s="9"/>
      <c r="Q4" s="27">
        <v>0.95454000000000006</v>
      </c>
      <c r="R4" s="8">
        <v>0.82020000000000004</v>
      </c>
      <c r="S4" s="12">
        <v>1.0504</v>
      </c>
      <c r="T4" s="8">
        <v>0.96789999999999998</v>
      </c>
      <c r="U4" s="8">
        <v>1.028</v>
      </c>
      <c r="V4" s="16">
        <v>0.96399999999999997</v>
      </c>
      <c r="W4" s="16">
        <v>0.97658999999999996</v>
      </c>
      <c r="X4" s="16">
        <v>0.81481000000000003</v>
      </c>
    </row>
    <row r="5" spans="1:24" s="13" customFormat="1" ht="24" customHeight="1" thickTop="1" thickBot="1">
      <c r="A5" s="7">
        <v>4</v>
      </c>
      <c r="B5" s="8">
        <v>0.79749999999999999</v>
      </c>
      <c r="C5" s="8">
        <v>1.1245000000000001</v>
      </c>
      <c r="D5" s="8">
        <v>1.0454000000000001</v>
      </c>
      <c r="E5" s="8">
        <v>0.80820000000000003</v>
      </c>
      <c r="F5" s="9"/>
      <c r="G5" s="8">
        <v>0.80220000000000002</v>
      </c>
      <c r="H5" s="8">
        <v>0.93530000000000002</v>
      </c>
      <c r="I5" s="8">
        <v>1.0658000000000001</v>
      </c>
      <c r="J5" s="10">
        <v>0.98939999999999995</v>
      </c>
      <c r="K5" s="8">
        <v>0.95899999999999996</v>
      </c>
      <c r="L5" s="11">
        <v>0.95799999999999996</v>
      </c>
      <c r="M5" s="8"/>
      <c r="N5" s="11">
        <v>0.94899999999999995</v>
      </c>
      <c r="O5" s="11">
        <v>0.93500000000000005</v>
      </c>
      <c r="P5" s="9"/>
      <c r="Q5" s="27">
        <v>0.95454000000000006</v>
      </c>
      <c r="R5" s="8">
        <v>0.81920000000000004</v>
      </c>
      <c r="S5" s="12">
        <v>1.0497000000000001</v>
      </c>
      <c r="T5" s="8">
        <v>0.96699999999999997</v>
      </c>
      <c r="U5" s="8">
        <v>1.028</v>
      </c>
      <c r="V5" s="16">
        <v>0.96399999999999997</v>
      </c>
      <c r="W5" s="16">
        <v>0.97658999999999996</v>
      </c>
      <c r="X5" s="16">
        <v>0.81481000000000003</v>
      </c>
    </row>
    <row r="6" spans="1:24" ht="22.5" customHeight="1" thickTop="1" thickBot="1">
      <c r="A6" s="15">
        <v>5</v>
      </c>
      <c r="B6" s="16">
        <v>0.79659999999999997</v>
      </c>
      <c r="C6" s="16">
        <v>1.1237999999999999</v>
      </c>
      <c r="D6" s="16">
        <v>1.0445</v>
      </c>
      <c r="E6" s="16">
        <v>0.80730000000000002</v>
      </c>
      <c r="F6" s="17"/>
      <c r="G6" s="16">
        <v>0.80120000000000002</v>
      </c>
      <c r="H6" s="16">
        <v>0.93440000000000001</v>
      </c>
      <c r="I6" s="16">
        <v>1.0647</v>
      </c>
      <c r="J6" s="16">
        <v>0.98939999999999995</v>
      </c>
      <c r="K6" s="16">
        <v>0.95820000000000005</v>
      </c>
      <c r="L6" s="16">
        <v>0.95699999999999996</v>
      </c>
      <c r="M6" s="18"/>
      <c r="N6" s="18">
        <v>0.94899999999999995</v>
      </c>
      <c r="O6" s="18">
        <v>0.93500000000000005</v>
      </c>
      <c r="P6" s="19"/>
      <c r="Q6" s="27">
        <v>0.95454000000000006</v>
      </c>
      <c r="R6" s="18">
        <v>0.81820000000000004</v>
      </c>
      <c r="S6" s="20">
        <v>1.0488</v>
      </c>
      <c r="T6" s="16">
        <v>0.96609999999999996</v>
      </c>
      <c r="U6" s="16">
        <v>1.028</v>
      </c>
      <c r="V6" s="16">
        <v>0.96399999999999997</v>
      </c>
      <c r="W6" s="16">
        <v>0.97658999999999996</v>
      </c>
      <c r="X6" s="16">
        <v>0.81481000000000003</v>
      </c>
    </row>
    <row r="7" spans="1:24" ht="22.5" customHeight="1" thickTop="1" thickBot="1">
      <c r="A7" s="21">
        <v>6</v>
      </c>
      <c r="B7" s="22">
        <v>0.79569999999999996</v>
      </c>
      <c r="C7" s="22">
        <v>1.123</v>
      </c>
      <c r="D7" s="22">
        <v>1.0436000000000001</v>
      </c>
      <c r="E7" s="22">
        <v>0.80620000000000003</v>
      </c>
      <c r="F7" s="22"/>
      <c r="G7" s="22">
        <v>0.80020000000000002</v>
      </c>
      <c r="H7" s="22">
        <v>0.93340000000000001</v>
      </c>
      <c r="I7" s="22">
        <v>1.0636000000000001</v>
      </c>
      <c r="J7" s="22">
        <v>0.98939999999999995</v>
      </c>
      <c r="K7" s="22">
        <v>0.95730000000000004</v>
      </c>
      <c r="L7" s="22">
        <v>0.95599999999999996</v>
      </c>
      <c r="M7" s="16">
        <v>0.88029999999999997</v>
      </c>
      <c r="N7" s="23">
        <v>0.94799999999999995</v>
      </c>
      <c r="O7" s="23">
        <v>0.93500000000000005</v>
      </c>
      <c r="P7" s="24"/>
      <c r="Q7" s="27">
        <v>0.95454000000000006</v>
      </c>
      <c r="R7" s="23">
        <v>0.81720000000000004</v>
      </c>
      <c r="S7" s="25">
        <v>1.0481</v>
      </c>
      <c r="T7" s="22">
        <v>0.96509999999999996</v>
      </c>
      <c r="U7" s="8">
        <v>1.028</v>
      </c>
      <c r="V7" s="16">
        <v>0.96399999999999997</v>
      </c>
      <c r="W7" s="16">
        <v>0.9758</v>
      </c>
      <c r="X7" s="16">
        <v>0.81481000000000003</v>
      </c>
    </row>
    <row r="8" spans="1:24" ht="22.5" customHeight="1" thickTop="1" thickBot="1">
      <c r="A8" s="26">
        <v>7</v>
      </c>
      <c r="B8" s="27">
        <v>0.79479999999999995</v>
      </c>
      <c r="C8" s="27">
        <v>1.1222000000000001</v>
      </c>
      <c r="D8" s="27">
        <v>1.0427</v>
      </c>
      <c r="E8" s="27">
        <v>0.80510000000000004</v>
      </c>
      <c r="F8" s="27"/>
      <c r="G8" s="28">
        <v>0.79920000000000002</v>
      </c>
      <c r="H8" s="28">
        <v>0.9325</v>
      </c>
      <c r="I8" s="28">
        <v>1.0625</v>
      </c>
      <c r="J8" s="28">
        <v>0.98939999999999995</v>
      </c>
      <c r="K8" s="28">
        <v>0.95640000000000003</v>
      </c>
      <c r="L8" s="28">
        <v>0.95499999999999996</v>
      </c>
      <c r="M8" s="22">
        <v>0.88029999999999997</v>
      </c>
      <c r="N8" s="28">
        <v>0.94799999999999995</v>
      </c>
      <c r="O8" s="28">
        <v>0.93500000000000005</v>
      </c>
      <c r="P8" s="29"/>
      <c r="Q8" s="27">
        <v>0.95454000000000006</v>
      </c>
      <c r="R8" s="28">
        <v>0.81620000000000004</v>
      </c>
      <c r="S8" s="25">
        <v>1.0472999999999999</v>
      </c>
      <c r="T8" s="22">
        <v>0.96430000000000005</v>
      </c>
      <c r="U8" s="8">
        <v>1.028</v>
      </c>
      <c r="V8" s="16">
        <v>0.96399999999999997</v>
      </c>
      <c r="W8" s="16">
        <v>0.97501000000000004</v>
      </c>
      <c r="X8" s="16">
        <v>0.81481000000000003</v>
      </c>
    </row>
    <row r="9" spans="1:24" ht="22.5" customHeight="1" thickTop="1" thickBot="1">
      <c r="A9" s="26">
        <v>8</v>
      </c>
      <c r="B9" s="27">
        <v>0.79400000000000004</v>
      </c>
      <c r="C9" s="27">
        <v>1.1214</v>
      </c>
      <c r="D9" s="27">
        <v>1.0418000000000001</v>
      </c>
      <c r="E9" s="27">
        <v>0.80389999999999995</v>
      </c>
      <c r="F9" s="27"/>
      <c r="G9" s="27">
        <v>0.79820000000000002</v>
      </c>
      <c r="H9" s="27">
        <v>0.93149999999999999</v>
      </c>
      <c r="I9" s="27">
        <v>1.0613999999999999</v>
      </c>
      <c r="J9" s="27">
        <v>0.98939999999999995</v>
      </c>
      <c r="K9" s="27">
        <v>0.9556</v>
      </c>
      <c r="L9" s="27">
        <v>0.95399999999999996</v>
      </c>
      <c r="M9" s="27">
        <v>0.88029999999999997</v>
      </c>
      <c r="N9" s="28">
        <v>0.94799999999999995</v>
      </c>
      <c r="O9" s="28">
        <v>0.93500000000000005</v>
      </c>
      <c r="P9" s="29"/>
      <c r="Q9" s="27">
        <v>0.95454000000000006</v>
      </c>
      <c r="R9" s="28">
        <v>0.81520000000000004</v>
      </c>
      <c r="S9" s="27">
        <v>1.0465</v>
      </c>
      <c r="T9" s="22">
        <v>0.96330000000000005</v>
      </c>
      <c r="U9" s="8">
        <v>1.028</v>
      </c>
      <c r="V9" s="16">
        <v>0.96399999999999997</v>
      </c>
      <c r="W9" s="16">
        <v>0.97422000000000009</v>
      </c>
      <c r="X9" s="16">
        <v>0.81481000000000003</v>
      </c>
    </row>
    <row r="10" spans="1:24" ht="22.5" customHeight="1" thickTop="1" thickBot="1">
      <c r="A10" s="26">
        <v>9</v>
      </c>
      <c r="B10" s="27">
        <v>0.79310000000000003</v>
      </c>
      <c r="C10" s="27">
        <v>1.1206</v>
      </c>
      <c r="D10" s="27">
        <v>1.0408999999999999</v>
      </c>
      <c r="E10" s="27">
        <v>0.80269999999999997</v>
      </c>
      <c r="F10" s="27"/>
      <c r="G10" s="27">
        <v>0.79720000000000002</v>
      </c>
      <c r="H10" s="27">
        <v>0.93059999999999998</v>
      </c>
      <c r="I10" s="27">
        <v>1.0602</v>
      </c>
      <c r="J10" s="27">
        <v>0.98939999999999995</v>
      </c>
      <c r="K10" s="27">
        <v>0.95469999999999999</v>
      </c>
      <c r="L10" s="27">
        <v>0.95299999999999996</v>
      </c>
      <c r="M10" s="27">
        <v>0.88029999999999997</v>
      </c>
      <c r="N10" s="27">
        <v>0.94799999999999995</v>
      </c>
      <c r="O10" s="27">
        <v>0.93400000000000005</v>
      </c>
      <c r="P10" s="30"/>
      <c r="Q10" s="27">
        <v>0.95454000000000006</v>
      </c>
      <c r="R10" s="27">
        <v>0.81420000000000003</v>
      </c>
      <c r="S10" s="27">
        <v>1.0458000000000001</v>
      </c>
      <c r="T10" s="27">
        <v>0.96230000000000004</v>
      </c>
      <c r="U10" s="8">
        <v>1.028</v>
      </c>
      <c r="V10" s="16">
        <v>0.96399999999999997</v>
      </c>
      <c r="W10" s="16">
        <v>0.97343000000000013</v>
      </c>
      <c r="X10" s="16">
        <v>0.81481000000000003</v>
      </c>
    </row>
    <row r="11" spans="1:24" ht="22.5" customHeight="1" thickTop="1" thickBot="1">
      <c r="A11" s="15">
        <v>10</v>
      </c>
      <c r="B11" s="16">
        <v>0.7923</v>
      </c>
      <c r="C11" s="16">
        <v>1.1197999999999999</v>
      </c>
      <c r="D11" s="16">
        <v>1.04</v>
      </c>
      <c r="E11" s="16">
        <v>0.80159999999999998</v>
      </c>
      <c r="F11" s="16">
        <v>0.94240000000000002</v>
      </c>
      <c r="G11" s="16">
        <v>0.97619999999999996</v>
      </c>
      <c r="H11" s="16">
        <v>0.92969999999999997</v>
      </c>
      <c r="I11" s="16">
        <v>1.0590999999999999</v>
      </c>
      <c r="J11" s="16">
        <v>0.98850000000000005</v>
      </c>
      <c r="K11" s="16">
        <v>0.95379999999999998</v>
      </c>
      <c r="L11" s="16">
        <v>0.95199999999999996</v>
      </c>
      <c r="M11" s="16">
        <v>0.88029999999999997</v>
      </c>
      <c r="N11" s="16">
        <v>0.94799999999999995</v>
      </c>
      <c r="O11" s="16">
        <v>0.93400000000000005</v>
      </c>
      <c r="P11" s="16">
        <v>0.94511999999999996</v>
      </c>
      <c r="Q11" s="27">
        <v>0.95454000000000006</v>
      </c>
      <c r="R11" s="16">
        <v>0.81320000000000003</v>
      </c>
      <c r="S11" s="16">
        <v>1.0449999999999999</v>
      </c>
      <c r="T11" s="16">
        <v>0.96140000000000003</v>
      </c>
      <c r="U11" s="16">
        <v>1.028</v>
      </c>
      <c r="V11" s="16">
        <v>0.96399999999999997</v>
      </c>
      <c r="W11" s="16">
        <v>0.97264000000000017</v>
      </c>
      <c r="X11" s="16">
        <v>0.81481000000000003</v>
      </c>
    </row>
    <row r="12" spans="1:24" ht="22.5" customHeight="1" thickTop="1" thickBot="1">
      <c r="A12" s="21">
        <v>11</v>
      </c>
      <c r="B12" s="22">
        <v>0.79139999999999999</v>
      </c>
      <c r="C12" s="22">
        <v>1.119</v>
      </c>
      <c r="D12" s="22">
        <v>1.0390999999999999</v>
      </c>
      <c r="E12" s="22">
        <v>0.8004</v>
      </c>
      <c r="F12" s="22">
        <v>0.94155</v>
      </c>
      <c r="G12" s="22">
        <v>0.97519999999999996</v>
      </c>
      <c r="H12" s="22">
        <v>0.92869999999999997</v>
      </c>
      <c r="I12" s="22">
        <v>1.0580000000000001</v>
      </c>
      <c r="J12" s="22">
        <v>0.98770000000000002</v>
      </c>
      <c r="K12" s="22">
        <v>0.95299999999999996</v>
      </c>
      <c r="L12" s="22">
        <v>0.95099999999999996</v>
      </c>
      <c r="M12" s="22">
        <v>0.88029999999999997</v>
      </c>
      <c r="N12" s="22">
        <v>0.94</v>
      </c>
      <c r="O12" s="22">
        <v>0.93400000000000005</v>
      </c>
      <c r="P12" s="22">
        <v>0.94420000000000004</v>
      </c>
      <c r="Q12" s="27">
        <v>0.95454000000000006</v>
      </c>
      <c r="R12" s="31">
        <v>0.81220000000000003</v>
      </c>
      <c r="S12" s="22">
        <v>1.0442</v>
      </c>
      <c r="T12" s="22">
        <v>0.96040000000000003</v>
      </c>
      <c r="U12" s="8">
        <v>1.028</v>
      </c>
      <c r="V12" s="16">
        <v>0.96399999999999997</v>
      </c>
      <c r="W12" s="16">
        <v>0.97192000000000012</v>
      </c>
      <c r="X12" s="16">
        <v>0.8145</v>
      </c>
    </row>
    <row r="13" spans="1:24" ht="22.5" customHeight="1" thickTop="1" thickBot="1">
      <c r="A13" s="26">
        <v>12</v>
      </c>
      <c r="B13" s="27">
        <v>0.79059999999999997</v>
      </c>
      <c r="C13" s="27">
        <v>1.1182000000000001</v>
      </c>
      <c r="D13" s="27">
        <v>1.0383</v>
      </c>
      <c r="E13" s="27">
        <v>0.79930000000000001</v>
      </c>
      <c r="F13" s="27">
        <v>0.94059999999999999</v>
      </c>
      <c r="G13" s="27">
        <v>0.97419999999999995</v>
      </c>
      <c r="H13" s="27">
        <v>0.92769999999999997</v>
      </c>
      <c r="I13" s="27">
        <v>1.0569</v>
      </c>
      <c r="J13" s="27">
        <v>0.9869</v>
      </c>
      <c r="K13" s="27">
        <v>0.95209999999999995</v>
      </c>
      <c r="L13" s="27">
        <v>0.95</v>
      </c>
      <c r="M13" s="27">
        <v>0.88029999999999997</v>
      </c>
      <c r="N13" s="27">
        <v>0.94</v>
      </c>
      <c r="O13" s="27">
        <v>0.93400000000000005</v>
      </c>
      <c r="P13" s="27">
        <v>0.94320999999999999</v>
      </c>
      <c r="Q13" s="27">
        <v>0.95454000000000006</v>
      </c>
      <c r="R13" s="27">
        <v>0.81120000000000003</v>
      </c>
      <c r="S13" s="27">
        <v>1.0434000000000001</v>
      </c>
      <c r="T13" s="22">
        <v>0.96050000000000002</v>
      </c>
      <c r="U13" s="8">
        <v>1.028</v>
      </c>
      <c r="V13" s="16">
        <v>0.96399999999999997</v>
      </c>
      <c r="W13" s="16">
        <v>0.97120000000000006</v>
      </c>
      <c r="X13" s="16">
        <v>0.81410000000000005</v>
      </c>
    </row>
    <row r="14" spans="1:24" ht="22.5" customHeight="1" thickTop="1" thickBot="1">
      <c r="A14" s="26">
        <v>13</v>
      </c>
      <c r="B14" s="27">
        <v>0.78969999999999996</v>
      </c>
      <c r="C14" s="27">
        <v>1.1173999999999999</v>
      </c>
      <c r="D14" s="27">
        <v>1.0374000000000001</v>
      </c>
      <c r="E14" s="27">
        <v>0.79810000000000003</v>
      </c>
      <c r="F14" s="27">
        <v>0.93964999999999999</v>
      </c>
      <c r="G14" s="27">
        <v>0.97319999999999995</v>
      </c>
      <c r="H14" s="27">
        <v>0.92669999999999997</v>
      </c>
      <c r="I14" s="27">
        <v>1.0558000000000001</v>
      </c>
      <c r="J14" s="27">
        <v>0.98609999999999998</v>
      </c>
      <c r="K14" s="27">
        <v>0.95130000000000003</v>
      </c>
      <c r="L14" s="27">
        <v>0.94899999999999995</v>
      </c>
      <c r="M14" s="27">
        <v>0.88029999999999997</v>
      </c>
      <c r="N14" s="27">
        <v>0.94</v>
      </c>
      <c r="O14" s="27">
        <v>0.93400000000000005</v>
      </c>
      <c r="P14" s="27">
        <v>0.94220999999999999</v>
      </c>
      <c r="Q14" s="27">
        <v>0.95454000000000006</v>
      </c>
      <c r="R14" s="27">
        <v>0.81020000000000003</v>
      </c>
      <c r="S14" s="27">
        <v>1.0427</v>
      </c>
      <c r="T14" s="22">
        <v>0.95950000000000002</v>
      </c>
      <c r="U14" s="8">
        <v>1.028</v>
      </c>
      <c r="V14" s="16">
        <v>0.96399999999999997</v>
      </c>
      <c r="W14" s="16">
        <v>0.97048000000000001</v>
      </c>
      <c r="X14" s="16">
        <v>0.81369999999999998</v>
      </c>
    </row>
    <row r="15" spans="1:24" ht="22.5" customHeight="1" thickTop="1" thickBot="1">
      <c r="A15" s="32">
        <v>14</v>
      </c>
      <c r="B15" s="33">
        <v>0.78890000000000005</v>
      </c>
      <c r="C15" s="33">
        <v>1.1166</v>
      </c>
      <c r="D15" s="33">
        <v>1.0365</v>
      </c>
      <c r="E15" s="27">
        <v>0.79700000000000004</v>
      </c>
      <c r="F15" s="27">
        <v>0.93937999999999999</v>
      </c>
      <c r="G15" s="27">
        <v>0.97219999999999995</v>
      </c>
      <c r="H15" s="27">
        <v>0.92569999999999997</v>
      </c>
      <c r="I15" s="27">
        <v>1.0546</v>
      </c>
      <c r="J15" s="27">
        <v>0.98529999999999995</v>
      </c>
      <c r="K15" s="27">
        <v>0.95040000000000002</v>
      </c>
      <c r="L15" s="27">
        <v>0.94799999999999995</v>
      </c>
      <c r="M15" s="27">
        <v>0.88029999999999997</v>
      </c>
      <c r="N15" s="27">
        <v>0.94</v>
      </c>
      <c r="O15" s="27">
        <v>0.93400000000000005</v>
      </c>
      <c r="P15" s="27">
        <v>0.94116999999999995</v>
      </c>
      <c r="Q15" s="27">
        <v>0.95454000000000006</v>
      </c>
      <c r="R15" s="27">
        <v>0.80920000000000003</v>
      </c>
      <c r="S15" s="27">
        <v>1.0419</v>
      </c>
      <c r="T15" s="27">
        <v>0.95850000000000002</v>
      </c>
      <c r="U15" s="8">
        <v>1.028</v>
      </c>
      <c r="V15" s="16">
        <v>0.96399999999999997</v>
      </c>
      <c r="W15" s="16">
        <v>0.96975999999999996</v>
      </c>
      <c r="X15" s="16">
        <v>0.81330000000000002</v>
      </c>
    </row>
    <row r="16" spans="1:24" ht="22.5" customHeight="1" thickTop="1" thickBot="1">
      <c r="A16" s="15">
        <v>15</v>
      </c>
      <c r="B16" s="16">
        <v>0.78800000000000003</v>
      </c>
      <c r="C16" s="16">
        <v>1.1157999999999999</v>
      </c>
      <c r="D16" s="16">
        <v>1.0356000000000001</v>
      </c>
      <c r="E16" s="16">
        <v>0.79469999999999996</v>
      </c>
      <c r="F16" s="16">
        <v>0.93791999999999998</v>
      </c>
      <c r="G16" s="16">
        <v>0.97119999999999995</v>
      </c>
      <c r="H16" s="16">
        <v>0.92469999999999997</v>
      </c>
      <c r="I16" s="16">
        <v>1.0535000000000001</v>
      </c>
      <c r="J16" s="16">
        <v>0.98450000000000004</v>
      </c>
      <c r="K16" s="34">
        <v>0.94950000000000001</v>
      </c>
      <c r="L16" s="16">
        <v>0.94699999999999995</v>
      </c>
      <c r="M16" s="16">
        <v>0.88029999999999997</v>
      </c>
      <c r="N16" s="16">
        <v>0.94</v>
      </c>
      <c r="O16" s="16">
        <v>0.93400000000000005</v>
      </c>
      <c r="P16" s="16">
        <v>0.94037000000000004</v>
      </c>
      <c r="Q16" s="27">
        <v>0.95454000000000006</v>
      </c>
      <c r="R16" s="16">
        <v>0.80830000000000002</v>
      </c>
      <c r="S16" s="16">
        <v>1.0411999999999999</v>
      </c>
      <c r="T16" s="16">
        <v>0.95750000000000002</v>
      </c>
      <c r="U16" s="16">
        <v>1.028</v>
      </c>
      <c r="V16" s="16">
        <v>0.96399999999999997</v>
      </c>
      <c r="W16" s="16">
        <v>0.9690399999999999</v>
      </c>
      <c r="X16" s="16">
        <v>0.81293000000000004</v>
      </c>
    </row>
    <row r="17" spans="1:24" ht="22.5" customHeight="1" thickTop="1" thickBot="1">
      <c r="A17" s="21">
        <v>16</v>
      </c>
      <c r="B17" s="22">
        <v>0.78720000000000001</v>
      </c>
      <c r="C17" s="22">
        <v>1.1152</v>
      </c>
      <c r="D17" s="22">
        <v>1.0347999999999999</v>
      </c>
      <c r="E17" s="22">
        <v>0.79359999999999997</v>
      </c>
      <c r="F17" s="22">
        <v>0.93676999999999999</v>
      </c>
      <c r="G17" s="22">
        <v>0.97</v>
      </c>
      <c r="H17" s="22">
        <v>0.92369999999999997</v>
      </c>
      <c r="I17" s="22">
        <v>1.0524</v>
      </c>
      <c r="J17" s="22">
        <v>0.98370000000000002</v>
      </c>
      <c r="K17" s="35">
        <v>0.9486</v>
      </c>
      <c r="L17" s="22">
        <v>0.94599999999999995</v>
      </c>
      <c r="M17" s="22">
        <v>0.88029999999999997</v>
      </c>
      <c r="N17" s="22">
        <v>0.94</v>
      </c>
      <c r="O17" s="22">
        <v>0.93400000000000005</v>
      </c>
      <c r="P17" s="22">
        <v>0.93915999999999999</v>
      </c>
      <c r="Q17" s="27">
        <v>0.9536</v>
      </c>
      <c r="R17" s="22">
        <v>0.80740000000000001</v>
      </c>
      <c r="S17" s="22">
        <v>1.0404</v>
      </c>
      <c r="T17" s="22">
        <v>0.95650000000000002</v>
      </c>
      <c r="U17" s="8">
        <v>1.028</v>
      </c>
      <c r="V17" s="16">
        <v>0.96399999999999997</v>
      </c>
      <c r="W17" s="16">
        <v>0.96829999999999994</v>
      </c>
      <c r="X17" s="16">
        <v>0.81200000000000006</v>
      </c>
    </row>
    <row r="18" spans="1:24" ht="22.5" customHeight="1" thickTop="1" thickBot="1">
      <c r="A18" s="26">
        <v>17</v>
      </c>
      <c r="B18" s="27">
        <v>0.78639999999999999</v>
      </c>
      <c r="C18" s="27">
        <v>1.1145</v>
      </c>
      <c r="D18" s="27">
        <v>1.0339</v>
      </c>
      <c r="E18" s="27">
        <v>0.79249999999999998</v>
      </c>
      <c r="F18" s="27">
        <v>0.93696999999999997</v>
      </c>
      <c r="G18" s="27">
        <v>0.96899999999999997</v>
      </c>
      <c r="H18" s="27">
        <v>0.92269999999999996</v>
      </c>
      <c r="I18" s="27">
        <v>1.0512999999999999</v>
      </c>
      <c r="J18" s="27">
        <v>0.98260000000000003</v>
      </c>
      <c r="K18" s="36">
        <v>0.94779999999999998</v>
      </c>
      <c r="L18" s="27">
        <v>0.94499999999999995</v>
      </c>
      <c r="M18" s="27">
        <v>0.88029999999999997</v>
      </c>
      <c r="N18" s="27">
        <v>0.94</v>
      </c>
      <c r="O18" s="27">
        <v>0.93400000000000005</v>
      </c>
      <c r="P18" s="27">
        <v>0.93815000000000004</v>
      </c>
      <c r="Q18" s="27">
        <v>0.95279999999999998</v>
      </c>
      <c r="R18" s="27">
        <v>0.80649999999999999</v>
      </c>
      <c r="S18" s="27">
        <v>1.0397000000000001</v>
      </c>
      <c r="T18" s="22">
        <v>0.95489999999999997</v>
      </c>
      <c r="U18" s="8">
        <v>1.028</v>
      </c>
      <c r="V18" s="16">
        <v>0.96399999999999997</v>
      </c>
      <c r="W18" s="16">
        <v>0.96755999999999998</v>
      </c>
      <c r="X18" s="16">
        <v>0.81110000000000004</v>
      </c>
    </row>
    <row r="19" spans="1:24" ht="22.5" customHeight="1" thickTop="1" thickBot="1">
      <c r="A19" s="26">
        <v>18</v>
      </c>
      <c r="B19" s="27">
        <v>0.78569999999999995</v>
      </c>
      <c r="C19" s="27">
        <v>1.1138999999999999</v>
      </c>
      <c r="D19" s="27">
        <v>1.0330999999999999</v>
      </c>
      <c r="E19" s="27">
        <v>0.79139999999999999</v>
      </c>
      <c r="F19" s="27">
        <v>0.93486000000000002</v>
      </c>
      <c r="G19" s="27">
        <v>0.96799999999999997</v>
      </c>
      <c r="H19" s="27">
        <v>0.92169999999999996</v>
      </c>
      <c r="I19" s="27">
        <v>1.0502</v>
      </c>
      <c r="J19" s="27">
        <v>0.98209999999999997</v>
      </c>
      <c r="K19" s="36">
        <v>0.94689999999999996</v>
      </c>
      <c r="L19" s="27">
        <v>0.94399999999999995</v>
      </c>
      <c r="M19" s="27">
        <v>0.88029999999999997</v>
      </c>
      <c r="N19" s="27">
        <v>0.94</v>
      </c>
      <c r="O19" s="27">
        <v>0.93400000000000005</v>
      </c>
      <c r="P19" s="27">
        <v>0.93713999999999997</v>
      </c>
      <c r="Q19" s="27">
        <v>0.95201000000000002</v>
      </c>
      <c r="R19" s="37">
        <v>0.80569999999999997</v>
      </c>
      <c r="S19" s="27">
        <v>1.0389999999999999</v>
      </c>
      <c r="T19" s="22">
        <v>0.95320000000000005</v>
      </c>
      <c r="U19" s="8">
        <v>1.028</v>
      </c>
      <c r="V19" s="16">
        <v>0.96399999999999997</v>
      </c>
      <c r="W19" s="16">
        <v>0.96682000000000001</v>
      </c>
      <c r="X19" s="16">
        <v>0.81020000000000003</v>
      </c>
    </row>
    <row r="20" spans="1:24" ht="22.5" customHeight="1" thickTop="1" thickBot="1">
      <c r="A20" s="26">
        <v>19</v>
      </c>
      <c r="B20" s="27">
        <v>0.78490000000000004</v>
      </c>
      <c r="C20" s="27">
        <v>1.1132</v>
      </c>
      <c r="D20" s="27">
        <v>1.0322</v>
      </c>
      <c r="E20" s="27">
        <v>0.7903</v>
      </c>
      <c r="F20" s="27">
        <v>0.93391000000000002</v>
      </c>
      <c r="G20" s="27">
        <v>0.96699999999999997</v>
      </c>
      <c r="H20" s="27">
        <v>0.92069999999999996</v>
      </c>
      <c r="I20" s="27">
        <v>1.0489999999999999</v>
      </c>
      <c r="J20" s="27">
        <v>0.98129999999999995</v>
      </c>
      <c r="K20" s="36">
        <v>0.94599999999999995</v>
      </c>
      <c r="L20" s="27">
        <v>0.94299999999999995</v>
      </c>
      <c r="M20" s="27">
        <v>0.88029999999999997</v>
      </c>
      <c r="N20" s="27">
        <v>0.94</v>
      </c>
      <c r="O20" s="27">
        <v>0.93400000000000005</v>
      </c>
      <c r="P20" s="27">
        <v>0.93613000000000002</v>
      </c>
      <c r="Q20" s="27">
        <v>0.95123000000000002</v>
      </c>
      <c r="R20" s="37">
        <v>0.80479999999999996</v>
      </c>
      <c r="S20" s="27">
        <v>1.0371999999999999</v>
      </c>
      <c r="T20" s="22">
        <v>0.9516</v>
      </c>
      <c r="U20" s="8">
        <v>1.028</v>
      </c>
      <c r="V20" s="16">
        <v>0.96399999999999997</v>
      </c>
      <c r="W20" s="16">
        <v>0.96608000000000005</v>
      </c>
      <c r="X20" s="16">
        <v>0.80920000000000003</v>
      </c>
    </row>
    <row r="21" spans="1:24" ht="22.5" customHeight="1" thickTop="1" thickBot="1">
      <c r="A21" s="38">
        <v>20</v>
      </c>
      <c r="B21" s="28">
        <v>0.78410000000000002</v>
      </c>
      <c r="C21" s="28">
        <v>1.1126</v>
      </c>
      <c r="D21" s="28">
        <v>1.0314000000000001</v>
      </c>
      <c r="E21" s="18">
        <v>0.78920000000000001</v>
      </c>
      <c r="F21" s="16">
        <v>0.93288000000000004</v>
      </c>
      <c r="G21" s="18">
        <v>0.96589999999999998</v>
      </c>
      <c r="H21" s="18">
        <v>0.91969999999999996</v>
      </c>
      <c r="I21" s="18">
        <v>1.0479000000000001</v>
      </c>
      <c r="J21" s="18">
        <v>0.98050000000000004</v>
      </c>
      <c r="K21" s="39">
        <v>0.94520000000000004</v>
      </c>
      <c r="L21" s="18">
        <v>0.94199999999999995</v>
      </c>
      <c r="M21" s="40">
        <v>0.88029999999999997</v>
      </c>
      <c r="N21" s="18">
        <v>0.94</v>
      </c>
      <c r="O21" s="18">
        <v>0.93</v>
      </c>
      <c r="P21" s="16">
        <v>0.93506</v>
      </c>
      <c r="Q21" s="27">
        <v>0.95038</v>
      </c>
      <c r="R21" s="41">
        <v>0.80369999999999997</v>
      </c>
      <c r="S21" s="18">
        <v>1.0363899999999999</v>
      </c>
      <c r="T21" s="16">
        <v>0.95</v>
      </c>
      <c r="U21" s="16">
        <v>1.028</v>
      </c>
      <c r="V21" s="16">
        <v>0.96399999999999997</v>
      </c>
      <c r="W21" s="16">
        <v>0.96534000000000009</v>
      </c>
      <c r="X21" s="16">
        <v>0.80813999999999997</v>
      </c>
    </row>
    <row r="22" spans="1:24" ht="22.5" customHeight="1" thickTop="1" thickBot="1">
      <c r="A22" s="42">
        <v>21</v>
      </c>
      <c r="B22" s="43">
        <v>0.78320000000000001</v>
      </c>
      <c r="C22" s="43">
        <v>1.1119000000000001</v>
      </c>
      <c r="D22" s="43">
        <v>1.0305</v>
      </c>
      <c r="E22" s="22">
        <v>0.78800000000000003</v>
      </c>
      <c r="F22" s="22">
        <v>0.93198000000000003</v>
      </c>
      <c r="G22" s="22">
        <v>0.96489999999999998</v>
      </c>
      <c r="H22" s="22">
        <v>0.91879999999999995</v>
      </c>
      <c r="I22" s="22">
        <v>1.0468</v>
      </c>
      <c r="J22" s="22">
        <v>0.97960000000000003</v>
      </c>
      <c r="K22" s="35">
        <v>0.94430000000000003</v>
      </c>
      <c r="L22" s="22">
        <v>0.94099999999999995</v>
      </c>
      <c r="M22" s="44">
        <v>0.87909999999999999</v>
      </c>
      <c r="N22" s="22">
        <v>0.94</v>
      </c>
      <c r="O22" s="22">
        <v>0.93</v>
      </c>
      <c r="P22" s="16">
        <v>0.93506</v>
      </c>
      <c r="Q22" s="27">
        <v>0.94969000000000003</v>
      </c>
      <c r="R22" s="31">
        <v>0.80289999999999995</v>
      </c>
      <c r="S22" s="22">
        <v>1.03566</v>
      </c>
      <c r="T22" s="22">
        <v>0.94889999999999997</v>
      </c>
      <c r="U22" s="8">
        <v>1.028</v>
      </c>
      <c r="V22" s="8">
        <v>0.96079999999999999</v>
      </c>
      <c r="W22" s="52">
        <v>0.96470000000000011</v>
      </c>
      <c r="X22" s="52">
        <v>0.80730000000000002</v>
      </c>
    </row>
    <row r="23" spans="1:24" ht="22.5" customHeight="1" thickTop="1">
      <c r="A23" s="26">
        <v>22</v>
      </c>
      <c r="B23" s="27">
        <v>0.7823</v>
      </c>
      <c r="C23" s="27">
        <v>1.1111</v>
      </c>
      <c r="D23" s="27">
        <v>1.0295000000000001</v>
      </c>
      <c r="E23" s="27">
        <v>0.78680000000000005</v>
      </c>
      <c r="F23" s="27">
        <v>0.93115999999999999</v>
      </c>
      <c r="G23" s="27">
        <v>0.96379999999999999</v>
      </c>
      <c r="H23" s="27">
        <v>0.91779999999999995</v>
      </c>
      <c r="I23" s="27">
        <v>1.0457000000000001</v>
      </c>
      <c r="J23" s="27">
        <v>0.9788</v>
      </c>
      <c r="K23" s="36">
        <v>0.94330000000000003</v>
      </c>
      <c r="L23" s="27">
        <v>0.94</v>
      </c>
      <c r="M23" s="45">
        <v>0.878</v>
      </c>
      <c r="N23" s="27">
        <v>0.93200000000000005</v>
      </c>
      <c r="O23" s="27">
        <v>0.93</v>
      </c>
      <c r="P23" s="27">
        <v>0.93327000000000004</v>
      </c>
      <c r="Q23" s="27">
        <v>0.94908999999999999</v>
      </c>
      <c r="R23" s="37">
        <v>0.80179999999999996</v>
      </c>
      <c r="S23" s="27">
        <v>1.0349299999999999</v>
      </c>
      <c r="T23" s="22">
        <v>0.94730000000000003</v>
      </c>
      <c r="U23" s="8">
        <v>1.028</v>
      </c>
      <c r="V23" s="8">
        <v>0.96079999999999999</v>
      </c>
      <c r="W23" s="52">
        <v>0.96406000000000014</v>
      </c>
      <c r="X23" s="52">
        <v>0.80669999999999997</v>
      </c>
    </row>
    <row r="24" spans="1:24" ht="22.5" customHeight="1">
      <c r="A24" s="26">
        <v>23</v>
      </c>
      <c r="B24" s="27">
        <v>0.78139999999999998</v>
      </c>
      <c r="C24" s="27">
        <v>1.1104000000000001</v>
      </c>
      <c r="D24" s="27">
        <v>1.0286</v>
      </c>
      <c r="E24" s="27">
        <v>0.78559999999999997</v>
      </c>
      <c r="F24" s="27">
        <v>0.93006999999999995</v>
      </c>
      <c r="G24" s="27">
        <v>0.96220000000000006</v>
      </c>
      <c r="H24" s="27">
        <v>0.91669999999999996</v>
      </c>
      <c r="I24" s="27">
        <v>1.0446</v>
      </c>
      <c r="J24" s="27">
        <v>0.97799999999999998</v>
      </c>
      <c r="K24" s="36">
        <v>0.94240000000000002</v>
      </c>
      <c r="L24" s="27">
        <v>0.93899999999999995</v>
      </c>
      <c r="M24" s="45">
        <v>0.877</v>
      </c>
      <c r="N24" s="27">
        <v>0.93200000000000005</v>
      </c>
      <c r="O24" s="27">
        <v>0.93</v>
      </c>
      <c r="P24" s="27">
        <v>0.93208999999999997</v>
      </c>
      <c r="Q24" s="27">
        <v>0.94820000000000004</v>
      </c>
      <c r="R24" s="37">
        <v>0.80089999999999995</v>
      </c>
      <c r="S24" s="27">
        <v>1.0341899999999999</v>
      </c>
      <c r="T24" s="22">
        <v>0.94599999999999995</v>
      </c>
      <c r="U24" s="8">
        <v>1.0269999999999999</v>
      </c>
      <c r="V24" s="8">
        <v>0.96079999999999999</v>
      </c>
      <c r="W24" s="52">
        <v>0.96342000000000017</v>
      </c>
      <c r="X24" s="52">
        <v>0.80610000000000004</v>
      </c>
    </row>
    <row r="25" spans="1:24" ht="22.5" customHeight="1">
      <c r="A25" s="26">
        <v>24</v>
      </c>
      <c r="B25" s="27">
        <v>0.78049999999999997</v>
      </c>
      <c r="C25" s="27">
        <v>1.1095999999999999</v>
      </c>
      <c r="D25" s="27">
        <v>1.0276000000000001</v>
      </c>
      <c r="E25" s="27">
        <v>0.78439999999999999</v>
      </c>
      <c r="F25" s="27">
        <v>0.92910000000000004</v>
      </c>
      <c r="G25" s="27">
        <v>0.96120000000000005</v>
      </c>
      <c r="H25" s="27">
        <v>0.91569999999999996</v>
      </c>
      <c r="I25" s="27">
        <v>1.0434000000000001</v>
      </c>
      <c r="J25" s="27">
        <v>0.97719999999999996</v>
      </c>
      <c r="K25" s="36">
        <v>0.9415</v>
      </c>
      <c r="L25" s="27">
        <v>0.93799999999999994</v>
      </c>
      <c r="M25" s="45">
        <v>0.87590000000000001</v>
      </c>
      <c r="N25" s="27">
        <v>0.93200000000000005</v>
      </c>
      <c r="O25" s="27">
        <v>0.93</v>
      </c>
      <c r="P25" s="27">
        <v>0.93159999999999998</v>
      </c>
      <c r="Q25" s="27">
        <v>0.94747000000000003</v>
      </c>
      <c r="R25" s="37">
        <v>0.8</v>
      </c>
      <c r="S25" s="27">
        <v>1.03346</v>
      </c>
      <c r="T25" s="22">
        <v>0.9446</v>
      </c>
      <c r="U25" s="8">
        <v>1.026</v>
      </c>
      <c r="V25" s="8">
        <v>0.96079999999999999</v>
      </c>
      <c r="W25" s="52">
        <v>0.96278000000000019</v>
      </c>
      <c r="X25" s="52">
        <v>0.80549999999999999</v>
      </c>
    </row>
    <row r="26" spans="1:24" ht="22.5" customHeight="1" thickBot="1">
      <c r="A26" s="46">
        <v>25</v>
      </c>
      <c r="B26" s="18">
        <v>0.77959999999999996</v>
      </c>
      <c r="C26" s="18">
        <v>1.1089</v>
      </c>
      <c r="D26" s="18">
        <v>1.0266999999999999</v>
      </c>
      <c r="E26" s="18">
        <v>0.78320000000000001</v>
      </c>
      <c r="F26" s="16">
        <v>0.92813000000000001</v>
      </c>
      <c r="G26" s="18">
        <v>0.96020000000000005</v>
      </c>
      <c r="H26" s="18">
        <v>0.91469999999999996</v>
      </c>
      <c r="I26" s="18">
        <v>1.0423</v>
      </c>
      <c r="J26" s="18">
        <v>0.97640000000000005</v>
      </c>
      <c r="K26" s="39">
        <v>0.9405</v>
      </c>
      <c r="L26" s="18">
        <v>0.93700000000000006</v>
      </c>
      <c r="M26" s="40">
        <v>0.87509999999999999</v>
      </c>
      <c r="N26" s="18">
        <v>0.93</v>
      </c>
      <c r="O26" s="18">
        <v>0.92600000000000005</v>
      </c>
      <c r="P26" s="16">
        <v>0.93084</v>
      </c>
      <c r="Q26" s="27">
        <v>0.94674000000000003</v>
      </c>
      <c r="R26" s="41">
        <v>0.79910000000000003</v>
      </c>
      <c r="S26" s="18">
        <v>1.0327299999999999</v>
      </c>
      <c r="T26" s="16">
        <v>0.94330000000000003</v>
      </c>
      <c r="U26" s="16">
        <v>1.0249999999999999</v>
      </c>
      <c r="V26" s="8">
        <v>0.96079999999999999</v>
      </c>
      <c r="W26" s="52">
        <v>0.96214000000000022</v>
      </c>
      <c r="X26" s="52">
        <v>0.80493999999999999</v>
      </c>
    </row>
    <row r="27" spans="1:24" ht="22.5" customHeight="1" thickTop="1" thickBot="1">
      <c r="A27" s="21">
        <v>26</v>
      </c>
      <c r="B27" s="22">
        <v>0.77869999999999995</v>
      </c>
      <c r="C27" s="22">
        <v>1.1081000000000001</v>
      </c>
      <c r="D27" s="22">
        <v>1.0258</v>
      </c>
      <c r="E27" s="22">
        <v>0.78210000000000002</v>
      </c>
      <c r="F27" s="22">
        <v>0.92717000000000005</v>
      </c>
      <c r="G27" s="22">
        <v>0.95899999999999996</v>
      </c>
      <c r="H27" s="22">
        <v>0.91390000000000005</v>
      </c>
      <c r="I27" s="22">
        <v>1.0411999999999999</v>
      </c>
      <c r="J27" s="22">
        <v>0.97550000000000003</v>
      </c>
      <c r="K27" s="35">
        <v>0.93959999999999999</v>
      </c>
      <c r="L27" s="22">
        <v>0.93600000000000005</v>
      </c>
      <c r="M27" s="44">
        <v>0.87409999999999999</v>
      </c>
      <c r="N27" s="22">
        <v>0.93</v>
      </c>
      <c r="O27" s="22">
        <v>0.92600000000000005</v>
      </c>
      <c r="P27" s="22">
        <v>0.92906</v>
      </c>
      <c r="Q27" s="27">
        <v>0.94603000000000004</v>
      </c>
      <c r="R27" s="31">
        <v>0.79820000000000002</v>
      </c>
      <c r="S27" s="22">
        <v>1.031998</v>
      </c>
      <c r="T27" s="22">
        <v>0.94220000000000004</v>
      </c>
      <c r="U27" s="8">
        <v>1.024</v>
      </c>
      <c r="V27" s="16">
        <v>0.95760000000000001</v>
      </c>
      <c r="W27" s="52">
        <v>0.96155000000000024</v>
      </c>
      <c r="X27" s="52">
        <v>0.80459999999999998</v>
      </c>
    </row>
    <row r="28" spans="1:24" ht="22.5" customHeight="1" thickTop="1" thickBot="1">
      <c r="A28" s="26">
        <v>27</v>
      </c>
      <c r="B28" s="27">
        <v>0.77790000000000004</v>
      </c>
      <c r="C28" s="27">
        <v>1.1073999999999999</v>
      </c>
      <c r="D28" s="27">
        <v>1.0247999999999999</v>
      </c>
      <c r="E28" s="27">
        <v>0.78100000000000003</v>
      </c>
      <c r="F28" s="27">
        <v>0.92620999999999998</v>
      </c>
      <c r="G28" s="27">
        <v>0.95799999999999996</v>
      </c>
      <c r="H28" s="27">
        <v>0.91290000000000004</v>
      </c>
      <c r="I28" s="27">
        <v>1.0401</v>
      </c>
      <c r="J28" s="27">
        <v>0.97470000000000001</v>
      </c>
      <c r="K28" s="36">
        <v>0.93869999999999998</v>
      </c>
      <c r="L28" s="27">
        <v>0.93500000000000005</v>
      </c>
      <c r="M28" s="45">
        <v>0.87309999999999999</v>
      </c>
      <c r="N28" s="27">
        <v>0.93</v>
      </c>
      <c r="O28" s="27">
        <v>0.92600000000000005</v>
      </c>
      <c r="P28" s="27">
        <v>0.92805000000000004</v>
      </c>
      <c r="Q28" s="27">
        <v>0.94532000000000005</v>
      </c>
      <c r="R28" s="37">
        <v>0.79720000000000002</v>
      </c>
      <c r="S28" s="27">
        <v>1.031266</v>
      </c>
      <c r="T28" s="22">
        <v>0.94120000000000004</v>
      </c>
      <c r="U28" s="8">
        <v>1.0229999999999999</v>
      </c>
      <c r="V28" s="16">
        <v>0.95760000000000001</v>
      </c>
      <c r="W28" s="52">
        <v>0.96096000000000026</v>
      </c>
      <c r="X28" s="52">
        <v>0.80430000000000001</v>
      </c>
    </row>
    <row r="29" spans="1:24" ht="22.5" customHeight="1" thickTop="1" thickBot="1">
      <c r="A29" s="26">
        <v>28</v>
      </c>
      <c r="B29" s="27">
        <v>0.77700000000000002</v>
      </c>
      <c r="C29" s="27">
        <v>1.1066</v>
      </c>
      <c r="D29" s="27">
        <v>1.0239</v>
      </c>
      <c r="E29" s="27">
        <v>0.77980000000000005</v>
      </c>
      <c r="F29" s="27">
        <v>0.92527000000000004</v>
      </c>
      <c r="G29" s="27">
        <v>0.95699999999999996</v>
      </c>
      <c r="H29" s="27">
        <v>0.91200000000000003</v>
      </c>
      <c r="I29" s="27">
        <v>1.0389999999999999</v>
      </c>
      <c r="J29" s="27">
        <v>0.97389999999999999</v>
      </c>
      <c r="K29" s="36">
        <v>0.93779999999999997</v>
      </c>
      <c r="L29" s="27">
        <v>0.93400000000000005</v>
      </c>
      <c r="M29" s="45">
        <v>0.872</v>
      </c>
      <c r="N29" s="27">
        <v>0.93</v>
      </c>
      <c r="O29" s="27">
        <v>0.92600000000000005</v>
      </c>
      <c r="P29" s="27">
        <v>0.92706</v>
      </c>
      <c r="Q29" s="27">
        <v>0.94462000000000002</v>
      </c>
      <c r="R29" s="37">
        <v>0.79630000000000001</v>
      </c>
      <c r="S29" s="27">
        <v>1.0305340000000001</v>
      </c>
      <c r="T29" s="22">
        <v>0.94010000000000005</v>
      </c>
      <c r="U29" s="8">
        <v>1.022</v>
      </c>
      <c r="V29" s="16">
        <v>0.95760000000000001</v>
      </c>
      <c r="W29" s="52">
        <v>0.96037000000000028</v>
      </c>
      <c r="X29" s="52">
        <v>0.80400000000000005</v>
      </c>
    </row>
    <row r="30" spans="1:24" ht="22.5" customHeight="1" thickTop="1" thickBot="1">
      <c r="A30" s="26">
        <v>29</v>
      </c>
      <c r="B30" s="27">
        <v>0.7762</v>
      </c>
      <c r="C30" s="27">
        <v>1.1059000000000001</v>
      </c>
      <c r="D30" s="27">
        <v>1.0228999999999999</v>
      </c>
      <c r="E30" s="27">
        <v>0.77869999999999995</v>
      </c>
      <c r="F30" s="27">
        <v>0.92430000000000001</v>
      </c>
      <c r="G30" s="27">
        <v>0.95589999999999997</v>
      </c>
      <c r="H30" s="27">
        <v>0.91100000000000003</v>
      </c>
      <c r="I30" s="27">
        <v>1.0378000000000001</v>
      </c>
      <c r="J30" s="27">
        <v>0.97309999999999997</v>
      </c>
      <c r="K30" s="36">
        <v>0.93689999999999996</v>
      </c>
      <c r="L30" s="27">
        <v>0.93300000000000005</v>
      </c>
      <c r="M30" s="45">
        <v>0.871</v>
      </c>
      <c r="N30" s="27">
        <v>0.93</v>
      </c>
      <c r="O30" s="27">
        <v>0.92600000000000005</v>
      </c>
      <c r="P30" s="27">
        <v>0.92603000000000002</v>
      </c>
      <c r="Q30" s="27">
        <v>0.94393000000000005</v>
      </c>
      <c r="R30" s="37">
        <v>0.79549999999999998</v>
      </c>
      <c r="S30" s="27">
        <v>1.0298020000000001</v>
      </c>
      <c r="T30" s="22">
        <v>0.93910000000000005</v>
      </c>
      <c r="U30" s="8">
        <v>1.0209999999999999</v>
      </c>
      <c r="V30" s="16">
        <v>0.95760000000000001</v>
      </c>
      <c r="W30" s="52">
        <v>0.9597800000000003</v>
      </c>
      <c r="X30" s="52">
        <v>0.80369999999999997</v>
      </c>
    </row>
    <row r="31" spans="1:24" ht="22.5" customHeight="1" thickTop="1" thickBot="1">
      <c r="A31" s="38">
        <v>30</v>
      </c>
      <c r="B31" s="28">
        <v>0.77529999999999999</v>
      </c>
      <c r="C31" s="28">
        <v>1.1051</v>
      </c>
      <c r="D31" s="28">
        <v>1.022</v>
      </c>
      <c r="E31" s="18">
        <v>0.77759999999999996</v>
      </c>
      <c r="F31" s="16">
        <v>0.92340999999999995</v>
      </c>
      <c r="G31" s="18">
        <v>0.95469999999999999</v>
      </c>
      <c r="H31" s="18">
        <v>0.91</v>
      </c>
      <c r="I31" s="18">
        <v>1.0367</v>
      </c>
      <c r="J31" s="18">
        <v>0.97230000000000005</v>
      </c>
      <c r="K31" s="39">
        <v>0.93600000000000005</v>
      </c>
      <c r="L31" s="18">
        <v>0.93200000000000005</v>
      </c>
      <c r="M31" s="40">
        <v>0.86990000000000001</v>
      </c>
      <c r="N31" s="18">
        <v>0.93</v>
      </c>
      <c r="O31" s="18">
        <v>0.92200000000000004</v>
      </c>
      <c r="P31" s="16">
        <v>0.92508999999999997</v>
      </c>
      <c r="Q31" s="27">
        <v>0.94333</v>
      </c>
      <c r="R31" s="41">
        <v>0.79459999999999997</v>
      </c>
      <c r="S31" s="18">
        <v>1.0289999999999999</v>
      </c>
      <c r="T31" s="16">
        <v>0.93810000000000004</v>
      </c>
      <c r="U31" s="16">
        <v>1.02</v>
      </c>
      <c r="V31" s="16">
        <v>0.95760000000000001</v>
      </c>
      <c r="W31" s="52">
        <v>0.95919000000000032</v>
      </c>
      <c r="X31" s="52">
        <v>0.80335999999999996</v>
      </c>
    </row>
    <row r="32" spans="1:24" ht="22.5" customHeight="1" thickTop="1" thickBot="1">
      <c r="A32" s="42">
        <v>31</v>
      </c>
      <c r="B32" s="43">
        <v>0.77439999999999998</v>
      </c>
      <c r="C32" s="43">
        <v>1.1041000000000001</v>
      </c>
      <c r="D32" s="43">
        <v>1.0210999999999999</v>
      </c>
      <c r="E32" s="22">
        <v>0.77644999999999997</v>
      </c>
      <c r="F32" s="22">
        <v>0.92235</v>
      </c>
      <c r="G32" s="22">
        <v>0.95370999999999995</v>
      </c>
      <c r="H32" s="22">
        <v>0.90905000000000002</v>
      </c>
      <c r="I32" s="22">
        <v>1.0356000000000001</v>
      </c>
      <c r="J32" s="22">
        <v>0.97140000000000004</v>
      </c>
      <c r="K32" s="35">
        <v>0.93510000000000004</v>
      </c>
      <c r="L32" s="22">
        <v>0.93100000000000005</v>
      </c>
      <c r="M32" s="44">
        <v>0.86887000000000003</v>
      </c>
      <c r="N32" s="22">
        <v>0.93</v>
      </c>
      <c r="O32" s="22">
        <v>0.92279999999999995</v>
      </c>
      <c r="P32" s="22">
        <v>0.92406999999999995</v>
      </c>
      <c r="Q32" s="27">
        <v>0.94257999999999997</v>
      </c>
      <c r="R32" s="31">
        <v>0.79379999999999995</v>
      </c>
      <c r="S32" s="22">
        <v>1.028268</v>
      </c>
      <c r="T32" s="22">
        <v>0.93710000000000004</v>
      </c>
      <c r="U32" s="8">
        <v>1.0189999999999999</v>
      </c>
      <c r="V32" s="16">
        <v>0.95760000000000001</v>
      </c>
      <c r="W32" s="52">
        <v>0.95860000000000034</v>
      </c>
      <c r="X32" s="52">
        <v>0.80249999999999999</v>
      </c>
    </row>
    <row r="33" spans="1:24" ht="22.5" customHeight="1" thickTop="1" thickBot="1">
      <c r="A33" s="26">
        <v>32</v>
      </c>
      <c r="B33" s="27">
        <v>0.77349999999999997</v>
      </c>
      <c r="C33" s="27">
        <v>1.103</v>
      </c>
      <c r="D33" s="27">
        <v>1.0202</v>
      </c>
      <c r="E33" s="27">
        <v>0.77532000000000001</v>
      </c>
      <c r="F33" s="27">
        <v>0.9214</v>
      </c>
      <c r="G33" s="27">
        <v>0.95264000000000004</v>
      </c>
      <c r="H33" s="27">
        <v>0.90808</v>
      </c>
      <c r="I33" s="27">
        <v>1.0345</v>
      </c>
      <c r="J33" s="27">
        <v>0.97060000000000002</v>
      </c>
      <c r="K33" s="36">
        <v>0.93420000000000003</v>
      </c>
      <c r="L33" s="27">
        <v>0.93</v>
      </c>
      <c r="M33" s="45">
        <v>0.86782000000000004</v>
      </c>
      <c r="N33" s="27">
        <v>0.93</v>
      </c>
      <c r="O33" s="27">
        <v>0.92200000000000004</v>
      </c>
      <c r="P33" s="27">
        <v>0.92298000000000002</v>
      </c>
      <c r="Q33" s="27">
        <v>0.94189999999999996</v>
      </c>
      <c r="R33" s="37">
        <v>0.79300000000000004</v>
      </c>
      <c r="S33" s="27">
        <v>1.027536</v>
      </c>
      <c r="T33" s="22">
        <v>0.93600000000000005</v>
      </c>
      <c r="U33" s="8">
        <v>1.018</v>
      </c>
      <c r="V33" s="16">
        <v>0.95760000000000001</v>
      </c>
      <c r="W33" s="52">
        <v>0.95801000000000036</v>
      </c>
      <c r="X33" s="52">
        <v>0.80159999999999998</v>
      </c>
    </row>
    <row r="34" spans="1:24" ht="22.5" customHeight="1" thickTop="1" thickBot="1">
      <c r="A34" s="26">
        <v>33</v>
      </c>
      <c r="B34" s="27">
        <v>0.77270000000000005</v>
      </c>
      <c r="C34" s="27">
        <v>1.1020000000000001</v>
      </c>
      <c r="D34" s="27">
        <v>1.0194000000000001</v>
      </c>
      <c r="E34" s="27">
        <v>0.77419000000000004</v>
      </c>
      <c r="F34" s="27">
        <v>0.92042999999999997</v>
      </c>
      <c r="G34" s="27">
        <v>0.95157000000000003</v>
      </c>
      <c r="H34" s="27">
        <v>0.90710999999999997</v>
      </c>
      <c r="I34" s="27">
        <v>1.0334000000000001</v>
      </c>
      <c r="J34" s="27">
        <v>0.9698</v>
      </c>
      <c r="K34" s="36">
        <v>0.93330000000000002</v>
      </c>
      <c r="L34" s="27">
        <v>0.92900000000000005</v>
      </c>
      <c r="M34" s="45">
        <v>0.86677000000000004</v>
      </c>
      <c r="N34" s="27">
        <v>0.93</v>
      </c>
      <c r="O34" s="27">
        <v>0.92120000000000002</v>
      </c>
      <c r="P34" s="27">
        <v>0.92198999999999998</v>
      </c>
      <c r="Q34" s="27">
        <v>0.94125000000000003</v>
      </c>
      <c r="R34" s="37">
        <v>0.7923</v>
      </c>
      <c r="S34" s="27">
        <v>1.0268040000000001</v>
      </c>
      <c r="T34" s="22">
        <v>0.93500000000000005</v>
      </c>
      <c r="U34" s="8">
        <v>1.0169999999999999</v>
      </c>
      <c r="V34" s="16">
        <v>0.95760000000000001</v>
      </c>
      <c r="W34" s="52">
        <v>0.95742000000000038</v>
      </c>
      <c r="X34" s="52">
        <v>0.80069999999999997</v>
      </c>
    </row>
    <row r="35" spans="1:24" ht="22.5" customHeight="1" thickTop="1" thickBot="1">
      <c r="A35" s="26">
        <v>34</v>
      </c>
      <c r="B35" s="27">
        <v>0.77180000000000004</v>
      </c>
      <c r="C35" s="27">
        <v>1.1009</v>
      </c>
      <c r="D35" s="27">
        <v>1.0185</v>
      </c>
      <c r="E35" s="27">
        <v>0.77305999999999997</v>
      </c>
      <c r="F35" s="27">
        <v>0.91946000000000006</v>
      </c>
      <c r="G35" s="27">
        <v>0.95050000000000001</v>
      </c>
      <c r="H35" s="27">
        <v>0.90613999999999995</v>
      </c>
      <c r="I35" s="27">
        <v>1.0322</v>
      </c>
      <c r="J35" s="27">
        <v>0.96899999999999997</v>
      </c>
      <c r="K35" s="36">
        <v>0.93240000000000001</v>
      </c>
      <c r="L35" s="27">
        <v>0.92800000000000005</v>
      </c>
      <c r="M35" s="45">
        <v>0.86572000000000005</v>
      </c>
      <c r="N35" s="27">
        <v>0.93</v>
      </c>
      <c r="O35" s="27">
        <v>0.9204</v>
      </c>
      <c r="P35" s="27">
        <v>0.92093999999999998</v>
      </c>
      <c r="Q35" s="27">
        <v>0.94059000000000004</v>
      </c>
      <c r="R35" s="37">
        <v>0.79159999999999997</v>
      </c>
      <c r="S35" s="27">
        <f>S34-0.000732</f>
        <v>1.0260720000000001</v>
      </c>
      <c r="T35" s="22">
        <v>0.93400000000000005</v>
      </c>
      <c r="U35" s="8">
        <v>1.016</v>
      </c>
      <c r="V35" s="16">
        <v>0.95760000000000001</v>
      </c>
      <c r="W35" s="52">
        <v>0.9568300000000004</v>
      </c>
      <c r="X35" s="52">
        <v>0.79979999999999996</v>
      </c>
    </row>
    <row r="36" spans="1:24" ht="22.5" customHeight="1" thickTop="1" thickBot="1">
      <c r="A36" s="46">
        <v>35</v>
      </c>
      <c r="B36" s="18">
        <v>0.77090000000000003</v>
      </c>
      <c r="C36" s="18">
        <v>1.0999000000000001</v>
      </c>
      <c r="D36" s="18">
        <v>1.0176000000000001</v>
      </c>
      <c r="E36" s="18">
        <v>0.77193000000000001</v>
      </c>
      <c r="F36" s="16">
        <v>0.91851000000000005</v>
      </c>
      <c r="G36" s="18">
        <v>0.94943</v>
      </c>
      <c r="H36" s="18">
        <v>0.90517000000000003</v>
      </c>
      <c r="I36" s="18">
        <v>1.0310999999999999</v>
      </c>
      <c r="J36" s="18">
        <v>0.96819999999999995</v>
      </c>
      <c r="K36" s="39">
        <v>0.93149999999999999</v>
      </c>
      <c r="L36" s="18">
        <v>0.92700000000000005</v>
      </c>
      <c r="M36" s="40">
        <v>0.86467000000000005</v>
      </c>
      <c r="N36" s="18">
        <v>0.93</v>
      </c>
      <c r="O36" s="18">
        <v>0.91959999999999997</v>
      </c>
      <c r="P36" s="16">
        <v>0.91995000000000005</v>
      </c>
      <c r="Q36" s="27">
        <v>0.93994</v>
      </c>
      <c r="R36" s="41">
        <v>0.79079999999999995</v>
      </c>
      <c r="S36" s="18">
        <f>S35-0.000732</f>
        <v>1.0253400000000001</v>
      </c>
      <c r="T36" s="16">
        <v>0.93300000000000005</v>
      </c>
      <c r="U36" s="16">
        <v>1.0149999999999999</v>
      </c>
      <c r="V36" s="16">
        <v>0.95760000000000001</v>
      </c>
      <c r="W36" s="52">
        <v>0.95624000000000042</v>
      </c>
      <c r="X36" s="52">
        <v>0.79900000000000004</v>
      </c>
    </row>
    <row r="37" spans="1:24" ht="22.5" customHeight="1" thickTop="1" thickBot="1">
      <c r="A37" s="21">
        <v>36</v>
      </c>
      <c r="B37" s="22">
        <v>0.77</v>
      </c>
      <c r="C37" s="22">
        <v>1.0988</v>
      </c>
      <c r="D37" s="22">
        <v>1.0166999999999999</v>
      </c>
      <c r="E37" s="22">
        <v>0.77080000000000004</v>
      </c>
      <c r="F37" s="22">
        <v>0.91754999999999998</v>
      </c>
      <c r="G37" s="22">
        <v>0.94835999999999998</v>
      </c>
      <c r="H37" s="22">
        <v>0.9042</v>
      </c>
      <c r="I37" s="22">
        <v>1.03</v>
      </c>
      <c r="J37" s="22">
        <v>0.96730000000000005</v>
      </c>
      <c r="K37" s="35">
        <v>0.93059999999999998</v>
      </c>
      <c r="L37" s="22">
        <v>0.92600000000000005</v>
      </c>
      <c r="M37" s="44">
        <v>0.86362000000000005</v>
      </c>
      <c r="N37" s="22">
        <v>0.93</v>
      </c>
      <c r="O37" s="22">
        <v>0.91879999999999995</v>
      </c>
      <c r="P37" s="22">
        <v>0.91888999999999998</v>
      </c>
      <c r="Q37" s="27">
        <v>0.93930000000000002</v>
      </c>
      <c r="R37" s="31">
        <v>0.79008</v>
      </c>
      <c r="S37" s="22">
        <f t="shared" ref="S37:S51" si="0">S36-0.000732</f>
        <v>1.0246080000000002</v>
      </c>
      <c r="T37" s="22">
        <v>0.93194666666666703</v>
      </c>
      <c r="U37" s="8">
        <v>1.0142</v>
      </c>
      <c r="V37" s="16">
        <v>0.95760000000000001</v>
      </c>
      <c r="W37" s="52">
        <v>0.95565000000000044</v>
      </c>
      <c r="X37" s="52">
        <v>0.7984</v>
      </c>
    </row>
    <row r="38" spans="1:24" ht="22.5" customHeight="1" thickTop="1" thickBot="1">
      <c r="A38" s="26">
        <v>37</v>
      </c>
      <c r="B38" s="27">
        <v>0.76910000000000001</v>
      </c>
      <c r="C38" s="27">
        <v>1.0978000000000001</v>
      </c>
      <c r="D38" s="27">
        <v>1.0158</v>
      </c>
      <c r="E38" s="27">
        <v>0.76929999999999998</v>
      </c>
      <c r="F38" s="27">
        <v>0.91654000000000002</v>
      </c>
      <c r="G38" s="27">
        <v>0.94699999999999995</v>
      </c>
      <c r="H38" s="27">
        <v>0.90310000000000001</v>
      </c>
      <c r="I38" s="27">
        <v>1.0288999999999999</v>
      </c>
      <c r="J38" s="27">
        <v>0.96650000000000003</v>
      </c>
      <c r="K38" s="36">
        <v>0.92979999999999996</v>
      </c>
      <c r="L38" s="27">
        <v>0.92500000000000004</v>
      </c>
      <c r="M38" s="45">
        <v>0.86270000000000002</v>
      </c>
      <c r="N38" s="27">
        <v>0.92600000000000005</v>
      </c>
      <c r="O38" s="27">
        <v>0.92200000000000004</v>
      </c>
      <c r="P38" s="27">
        <v>0.91785000000000005</v>
      </c>
      <c r="Q38" s="27">
        <v>0.93864999999999998</v>
      </c>
      <c r="R38" s="37">
        <v>0.78934000000000004</v>
      </c>
      <c r="S38" s="27">
        <f t="shared" si="0"/>
        <v>1.0238760000000002</v>
      </c>
      <c r="T38" s="22">
        <v>0.930922424242424</v>
      </c>
      <c r="U38" s="8">
        <v>1.0134000000000001</v>
      </c>
      <c r="V38" s="16">
        <v>0.95760000000000001</v>
      </c>
      <c r="W38" s="52">
        <v>0.95506000000000046</v>
      </c>
      <c r="X38" s="52">
        <v>0.79779999999999995</v>
      </c>
    </row>
    <row r="39" spans="1:24" ht="22.5" customHeight="1" thickTop="1" thickBot="1">
      <c r="A39" s="26">
        <v>38</v>
      </c>
      <c r="B39" s="27">
        <v>0.76829999999999998</v>
      </c>
      <c r="C39" s="27">
        <v>1.0967</v>
      </c>
      <c r="D39" s="27">
        <v>1.0149999999999999</v>
      </c>
      <c r="E39" s="27">
        <v>0.7681</v>
      </c>
      <c r="F39" s="27">
        <v>0.91556999999999999</v>
      </c>
      <c r="G39" s="27">
        <v>0.94589999999999996</v>
      </c>
      <c r="H39" s="27">
        <v>0.90210000000000001</v>
      </c>
      <c r="I39" s="27">
        <v>1.0278</v>
      </c>
      <c r="J39" s="27">
        <v>0.9657</v>
      </c>
      <c r="K39" s="36">
        <v>0.92889999999999995</v>
      </c>
      <c r="L39" s="27">
        <v>0.92400000000000004</v>
      </c>
      <c r="M39" s="45">
        <v>0.86170000000000002</v>
      </c>
      <c r="N39" s="27">
        <v>0.92600000000000005</v>
      </c>
      <c r="O39" s="27">
        <v>0.92200000000000004</v>
      </c>
      <c r="P39" s="27">
        <v>0.91686000000000001</v>
      </c>
      <c r="Q39" s="27">
        <v>0.93801999999999996</v>
      </c>
      <c r="R39" s="37">
        <v>0.78859999999999997</v>
      </c>
      <c r="S39" s="27">
        <f t="shared" si="0"/>
        <v>1.0231440000000003</v>
      </c>
      <c r="T39" s="22">
        <v>0.92989818181818196</v>
      </c>
      <c r="U39" s="8">
        <v>1.0125999999999999</v>
      </c>
      <c r="V39" s="16">
        <v>0.95760000000000001</v>
      </c>
      <c r="W39" s="52">
        <v>0.95447000000000048</v>
      </c>
      <c r="X39" s="52">
        <v>0.79720000000000002</v>
      </c>
    </row>
    <row r="40" spans="1:24" ht="22.5" customHeight="1" thickTop="1" thickBot="1">
      <c r="A40" s="26">
        <v>39</v>
      </c>
      <c r="B40" s="27">
        <v>0.76739999999999997</v>
      </c>
      <c r="C40" s="27">
        <v>1.0956999999999999</v>
      </c>
      <c r="D40" s="27">
        <v>1.0141</v>
      </c>
      <c r="E40" s="27">
        <v>0.76700000000000002</v>
      </c>
      <c r="F40" s="27">
        <v>0.91459999999999997</v>
      </c>
      <c r="G40" s="27">
        <v>0.94489999999999996</v>
      </c>
      <c r="H40" s="27">
        <v>0.90110000000000001</v>
      </c>
      <c r="I40" s="27">
        <v>1.0266</v>
      </c>
      <c r="J40" s="27">
        <v>0.96489999999999998</v>
      </c>
      <c r="K40" s="36">
        <v>0.92810000000000004</v>
      </c>
      <c r="L40" s="27">
        <v>0.92300000000000004</v>
      </c>
      <c r="M40" s="45">
        <v>0.86070000000000002</v>
      </c>
      <c r="N40" s="27">
        <v>0.92600000000000005</v>
      </c>
      <c r="O40" s="27">
        <v>0.92200000000000004</v>
      </c>
      <c r="P40" s="27">
        <v>0.91579999999999995</v>
      </c>
      <c r="Q40" s="27">
        <v>0.93740000000000001</v>
      </c>
      <c r="R40" s="37">
        <v>0.78786</v>
      </c>
      <c r="S40" s="27">
        <f t="shared" si="0"/>
        <v>1.0224120000000003</v>
      </c>
      <c r="T40" s="22">
        <v>0.92887393939393903</v>
      </c>
      <c r="U40" s="8">
        <v>1.0118</v>
      </c>
      <c r="V40" s="16">
        <v>0.95760000000000001</v>
      </c>
      <c r="W40" s="52">
        <v>0.95388000000000051</v>
      </c>
      <c r="X40" s="52">
        <v>0.79659999999999997</v>
      </c>
    </row>
    <row r="41" spans="1:24" ht="22.5" customHeight="1" thickTop="1" thickBot="1">
      <c r="A41" s="46">
        <v>40</v>
      </c>
      <c r="B41" s="18">
        <v>0.76649999999999996</v>
      </c>
      <c r="C41" s="18">
        <v>1.0946</v>
      </c>
      <c r="D41" s="18">
        <v>1.0132000000000001</v>
      </c>
      <c r="E41" s="18">
        <v>0.76580000000000004</v>
      </c>
      <c r="F41" s="16">
        <v>0.91366000000000003</v>
      </c>
      <c r="G41" s="18">
        <v>0.94389999999999996</v>
      </c>
      <c r="H41" s="18">
        <v>0.9002</v>
      </c>
      <c r="I41" s="18">
        <v>1.0255000000000001</v>
      </c>
      <c r="J41" s="18">
        <v>0.96409999999999996</v>
      </c>
      <c r="K41" s="39">
        <v>0.92720000000000002</v>
      </c>
      <c r="L41" s="18">
        <v>0.92200000000000004</v>
      </c>
      <c r="M41" s="40">
        <v>0.85970000000000002</v>
      </c>
      <c r="N41" s="18">
        <v>0.92600000000000005</v>
      </c>
      <c r="O41" s="18">
        <v>0.92200000000000004</v>
      </c>
      <c r="P41" s="16">
        <v>0.91478000000000004</v>
      </c>
      <c r="Q41" s="27">
        <v>0.93681999999999999</v>
      </c>
      <c r="R41" s="41">
        <v>0.78712000000000004</v>
      </c>
      <c r="S41" s="18">
        <f t="shared" si="0"/>
        <v>1.0216800000000004</v>
      </c>
      <c r="T41" s="16">
        <v>0.92784969696969699</v>
      </c>
      <c r="U41" s="16">
        <v>1.0109999999999999</v>
      </c>
      <c r="V41" s="16">
        <v>0.95760000000000001</v>
      </c>
      <c r="W41" s="52">
        <v>0.95329000000000053</v>
      </c>
      <c r="X41" s="52">
        <v>0.79620000000000002</v>
      </c>
    </row>
    <row r="42" spans="1:24" ht="22.5" customHeight="1" thickTop="1" thickBot="1">
      <c r="A42" s="21">
        <v>41</v>
      </c>
      <c r="B42" s="22">
        <v>0.76559999999999995</v>
      </c>
      <c r="C42" s="22">
        <v>1.0935999999999999</v>
      </c>
      <c r="D42" s="22">
        <v>1.0123</v>
      </c>
      <c r="E42" s="22">
        <v>0.76459999999999995</v>
      </c>
      <c r="F42" s="22">
        <v>0.91269</v>
      </c>
      <c r="G42" s="22">
        <v>0.94289999999999996</v>
      </c>
      <c r="H42" s="22">
        <v>0.8992</v>
      </c>
      <c r="I42" s="22">
        <v>1.0244</v>
      </c>
      <c r="J42" s="22">
        <v>0.96330000000000005</v>
      </c>
      <c r="K42" s="22">
        <v>0.9264</v>
      </c>
      <c r="L42" s="22">
        <v>0.92100000000000004</v>
      </c>
      <c r="M42" s="44">
        <v>0.85870000000000002</v>
      </c>
      <c r="N42" s="22">
        <v>0.92600000000000005</v>
      </c>
      <c r="O42" s="22">
        <v>0.92200000000000004</v>
      </c>
      <c r="P42" s="22">
        <v>0.91374999999999995</v>
      </c>
      <c r="Q42" s="27">
        <v>0.93681999999999999</v>
      </c>
      <c r="R42" s="31">
        <v>0.78637999999999997</v>
      </c>
      <c r="S42" s="22">
        <f t="shared" si="0"/>
        <v>1.0209480000000004</v>
      </c>
      <c r="T42" s="22">
        <v>0.92682545454545395</v>
      </c>
      <c r="U42" s="8">
        <v>1.0098</v>
      </c>
      <c r="V42" s="16">
        <v>0.95760000000000001</v>
      </c>
      <c r="W42" s="52">
        <v>0.95329000000000053</v>
      </c>
      <c r="X42" s="52">
        <v>0.79620000000000002</v>
      </c>
    </row>
    <row r="43" spans="1:24" ht="22.5" customHeight="1" thickTop="1" thickBot="1">
      <c r="A43" s="26">
        <v>42</v>
      </c>
      <c r="B43" s="27">
        <v>0.76470000000000005</v>
      </c>
      <c r="C43" s="27">
        <v>1.0925</v>
      </c>
      <c r="D43" s="27">
        <v>1.0114000000000001</v>
      </c>
      <c r="E43" s="27">
        <v>0.76349999999999996</v>
      </c>
      <c r="F43" s="27">
        <v>0.91171999999999997</v>
      </c>
      <c r="G43" s="22">
        <v>0.94189999999999996</v>
      </c>
      <c r="H43" s="22">
        <v>0.8982</v>
      </c>
      <c r="I43" s="22">
        <v>1.0233000000000001</v>
      </c>
      <c r="J43" s="27">
        <v>0.96250000000000002</v>
      </c>
      <c r="K43" s="22">
        <v>0.92549999999999999</v>
      </c>
      <c r="L43" s="22">
        <v>0.92</v>
      </c>
      <c r="M43" s="45">
        <v>0.85770000000000002</v>
      </c>
      <c r="N43" s="22">
        <v>0.92600000000000005</v>
      </c>
      <c r="O43" s="27">
        <v>0.92200000000000004</v>
      </c>
      <c r="P43" s="27">
        <v>0.91273000000000004</v>
      </c>
      <c r="Q43" s="27">
        <v>0.93681999999999999</v>
      </c>
      <c r="R43" s="37">
        <v>0.78564000000000001</v>
      </c>
      <c r="S43" s="27">
        <f t="shared" si="0"/>
        <v>1.0202160000000005</v>
      </c>
      <c r="T43" s="22">
        <v>0.92580121212121202</v>
      </c>
      <c r="U43" s="8">
        <v>1.0085999999999999</v>
      </c>
      <c r="V43" s="16">
        <v>0.95760000000000001</v>
      </c>
      <c r="W43" s="52">
        <v>0.95329000000000053</v>
      </c>
      <c r="X43" s="52">
        <v>0.79620000000000002</v>
      </c>
    </row>
    <row r="44" spans="1:24" ht="22.5" customHeight="1" thickTop="1" thickBot="1">
      <c r="A44" s="26">
        <v>43</v>
      </c>
      <c r="B44" s="27">
        <v>0.76390000000000002</v>
      </c>
      <c r="C44" s="27">
        <v>1.0914999999999999</v>
      </c>
      <c r="D44" s="27">
        <v>1.0105999999999999</v>
      </c>
      <c r="E44" s="27">
        <v>0.76229999999999998</v>
      </c>
      <c r="F44" s="27">
        <v>0.91073000000000004</v>
      </c>
      <c r="G44" s="27">
        <v>0.94089999999999996</v>
      </c>
      <c r="H44" s="27">
        <v>0.8972</v>
      </c>
      <c r="I44" s="27">
        <v>1.0222</v>
      </c>
      <c r="J44" s="27">
        <v>0.9617</v>
      </c>
      <c r="K44" s="27">
        <v>0.92459999999999998</v>
      </c>
      <c r="L44" s="27">
        <v>0.91900000000000004</v>
      </c>
      <c r="M44" s="45">
        <v>0.85670000000000002</v>
      </c>
      <c r="N44" s="22">
        <v>0.92600000000000005</v>
      </c>
      <c r="O44" s="27">
        <v>0.92200000000000004</v>
      </c>
      <c r="P44" s="27">
        <v>0.91168000000000005</v>
      </c>
      <c r="Q44" s="27">
        <v>0.93681999999999999</v>
      </c>
      <c r="R44" s="37">
        <v>0.78490000000000004</v>
      </c>
      <c r="S44" s="27">
        <f t="shared" si="0"/>
        <v>1.0194840000000005</v>
      </c>
      <c r="T44" s="22">
        <v>0.92477696969696899</v>
      </c>
      <c r="U44" s="8">
        <v>1.0074000000000001</v>
      </c>
      <c r="V44" s="16">
        <v>0.95760000000000001</v>
      </c>
      <c r="W44" s="52">
        <v>0.95329000000000053</v>
      </c>
      <c r="X44" s="52">
        <v>0.79620000000000002</v>
      </c>
    </row>
    <row r="45" spans="1:24" ht="22.5" customHeight="1" thickTop="1" thickBot="1">
      <c r="A45" s="26">
        <v>44</v>
      </c>
      <c r="B45" s="27">
        <v>0.76300000000000001</v>
      </c>
      <c r="C45" s="27">
        <v>1.0904</v>
      </c>
      <c r="D45" s="27">
        <v>1.0097</v>
      </c>
      <c r="E45" s="27">
        <v>0.76119999999999999</v>
      </c>
      <c r="F45" s="27">
        <v>0.90983999999999998</v>
      </c>
      <c r="G45" s="27">
        <v>0.93389999999999995</v>
      </c>
      <c r="H45" s="22">
        <v>0.8962</v>
      </c>
      <c r="I45" s="22">
        <v>1.0209999999999999</v>
      </c>
      <c r="J45" s="27">
        <v>0.96089999999999998</v>
      </c>
      <c r="K45" s="27">
        <v>0.92369999999999997</v>
      </c>
      <c r="L45" s="27">
        <v>0.91800000000000004</v>
      </c>
      <c r="M45" s="45">
        <v>0.85570000000000002</v>
      </c>
      <c r="N45" s="22">
        <v>0.92600000000000005</v>
      </c>
      <c r="O45" s="27">
        <v>0.92200000000000004</v>
      </c>
      <c r="P45" s="27">
        <v>0.91064999999999996</v>
      </c>
      <c r="Q45" s="27">
        <v>0.93681999999999999</v>
      </c>
      <c r="R45" s="37">
        <v>0.78415999999999997</v>
      </c>
      <c r="S45" s="27">
        <f t="shared" si="0"/>
        <v>1.0187520000000005</v>
      </c>
      <c r="T45" s="22">
        <v>0.92375272727272695</v>
      </c>
      <c r="U45" s="8">
        <v>1.0062</v>
      </c>
      <c r="V45" s="16">
        <v>0.95760000000000001</v>
      </c>
      <c r="W45" s="52">
        <v>0.95329000000000053</v>
      </c>
      <c r="X45" s="52">
        <v>0.79620000000000002</v>
      </c>
    </row>
    <row r="46" spans="1:24" ht="22.5" customHeight="1" thickTop="1" thickBot="1">
      <c r="A46" s="46">
        <v>45</v>
      </c>
      <c r="B46" s="18">
        <v>0.7621</v>
      </c>
      <c r="C46" s="18">
        <v>1.0893999999999999</v>
      </c>
      <c r="D46" s="18">
        <v>1.0087999999999999</v>
      </c>
      <c r="E46" s="18">
        <v>0.76</v>
      </c>
      <c r="F46" s="16">
        <v>0.90878000000000003</v>
      </c>
      <c r="G46" s="18">
        <v>0.93889999999999996</v>
      </c>
      <c r="H46" s="18">
        <v>0.8952</v>
      </c>
      <c r="I46" s="18">
        <v>1.0199</v>
      </c>
      <c r="J46" s="18">
        <v>0.96009999999999995</v>
      </c>
      <c r="K46" s="18">
        <v>0.92279999999999995</v>
      </c>
      <c r="L46" s="18">
        <v>0.91700000000000004</v>
      </c>
      <c r="M46" s="40">
        <v>0.85470000000000002</v>
      </c>
      <c r="N46" s="16">
        <v>0.92600000000000005</v>
      </c>
      <c r="O46" s="18">
        <v>0.92200000000000004</v>
      </c>
      <c r="P46" s="16">
        <v>0.90963000000000005</v>
      </c>
      <c r="Q46" s="27">
        <v>0.93681999999999999</v>
      </c>
      <c r="R46" s="41">
        <v>0.78342000000000001</v>
      </c>
      <c r="S46" s="18">
        <f t="shared" si="0"/>
        <v>1.0180200000000006</v>
      </c>
      <c r="T46" s="16">
        <v>0.92272848484848502</v>
      </c>
      <c r="U46" s="16">
        <v>1.0049999999999999</v>
      </c>
      <c r="V46" s="16">
        <v>0.95760000000000001</v>
      </c>
      <c r="W46" s="52">
        <v>0.95329000000000053</v>
      </c>
      <c r="X46" s="52">
        <v>0.79620000000000002</v>
      </c>
    </row>
    <row r="47" spans="1:24" ht="17.399999999999999" thickTop="1" thickBot="1">
      <c r="A47" s="47">
        <v>46</v>
      </c>
      <c r="B47" s="22">
        <v>0.76124999999999998</v>
      </c>
      <c r="C47" s="22">
        <v>1.08833</v>
      </c>
      <c r="D47" s="22">
        <v>1.0079499999999999</v>
      </c>
      <c r="E47" s="22">
        <v>0.75887000000000004</v>
      </c>
      <c r="F47" s="22">
        <v>0.90781999999999996</v>
      </c>
      <c r="G47" s="22">
        <v>0.93489999999999995</v>
      </c>
      <c r="H47" s="22">
        <v>0.89419999999999999</v>
      </c>
      <c r="I47" s="22">
        <v>1.0187999999999999</v>
      </c>
      <c r="J47" s="22">
        <v>0.95930000000000004</v>
      </c>
      <c r="K47" s="22">
        <v>0.92190000000000005</v>
      </c>
      <c r="L47" s="22">
        <v>0.91600000000000004</v>
      </c>
      <c r="M47" s="44">
        <v>0.85370000000000001</v>
      </c>
      <c r="N47" s="22">
        <v>0.92600000000000005</v>
      </c>
      <c r="O47" s="22">
        <v>0.92200000000000004</v>
      </c>
      <c r="P47" s="22">
        <v>0.90856000000000003</v>
      </c>
      <c r="Q47" s="27">
        <v>0.93681999999999999</v>
      </c>
      <c r="R47" s="31">
        <v>0.78268000000000004</v>
      </c>
      <c r="S47" s="22">
        <f t="shared" si="0"/>
        <v>1.0172880000000006</v>
      </c>
      <c r="T47" s="22">
        <v>0.92170424242424398</v>
      </c>
      <c r="U47" s="8">
        <v>1.0038</v>
      </c>
      <c r="V47" s="16">
        <v>0.95760000000000001</v>
      </c>
      <c r="W47" s="52">
        <v>0.95329000000000053</v>
      </c>
      <c r="X47" s="52">
        <v>0.79620000000000002</v>
      </c>
    </row>
    <row r="48" spans="1:24" ht="17.399999999999999" thickTop="1" thickBot="1">
      <c r="A48" s="47">
        <v>47</v>
      </c>
      <c r="B48" s="27">
        <v>0.76037999999999994</v>
      </c>
      <c r="C48" s="27">
        <v>1.08728</v>
      </c>
      <c r="D48" s="27">
        <v>1.00708</v>
      </c>
      <c r="E48" s="27">
        <v>0.75771999999999995</v>
      </c>
      <c r="F48" s="27">
        <v>0.90683000000000002</v>
      </c>
      <c r="G48" s="22">
        <v>0.93330000000000002</v>
      </c>
      <c r="H48" s="22">
        <v>0.89319999999999999</v>
      </c>
      <c r="I48" s="22">
        <v>1.0177</v>
      </c>
      <c r="J48" s="27">
        <v>0.95850000000000002</v>
      </c>
      <c r="K48" s="22">
        <v>0.92100000000000004</v>
      </c>
      <c r="L48" s="22">
        <v>0.91500000000000004</v>
      </c>
      <c r="M48" s="45">
        <v>0.85270000000000001</v>
      </c>
      <c r="N48" s="22">
        <v>0.92600000000000005</v>
      </c>
      <c r="O48" s="27">
        <v>0.92200000000000004</v>
      </c>
      <c r="P48" s="27">
        <v>0.90751999999999999</v>
      </c>
      <c r="Q48" s="27">
        <v>0.93681999999999999</v>
      </c>
      <c r="R48" s="37">
        <v>0.78193999999999997</v>
      </c>
      <c r="S48" s="27">
        <f t="shared" si="0"/>
        <v>1.0165560000000007</v>
      </c>
      <c r="T48" s="22">
        <v>0.92068000000000205</v>
      </c>
      <c r="U48" s="8">
        <v>1.0025999999999999</v>
      </c>
      <c r="V48" s="16">
        <v>0.95760000000000001</v>
      </c>
      <c r="W48" s="52">
        <v>0.95329000000000053</v>
      </c>
      <c r="X48" s="52">
        <v>0.79620000000000002</v>
      </c>
    </row>
    <row r="49" spans="1:24" ht="17.399999999999999" thickTop="1" thickBot="1">
      <c r="A49" s="47">
        <v>48</v>
      </c>
      <c r="B49" s="27">
        <v>0.75951000000000002</v>
      </c>
      <c r="C49" s="27">
        <v>1.08623</v>
      </c>
      <c r="D49" s="27">
        <v>1.00621</v>
      </c>
      <c r="E49" s="27">
        <v>0.75656999999999996</v>
      </c>
      <c r="F49" s="27">
        <v>0.90585000000000004</v>
      </c>
      <c r="G49" s="27">
        <v>0.93169999999999997</v>
      </c>
      <c r="H49" s="27">
        <v>0.89219999999999999</v>
      </c>
      <c r="I49" s="27">
        <v>1.0165999999999999</v>
      </c>
      <c r="J49" s="27">
        <v>0.9577</v>
      </c>
      <c r="K49" s="27">
        <v>0.92010000000000003</v>
      </c>
      <c r="L49" s="27">
        <v>0.91400000000000003</v>
      </c>
      <c r="M49" s="45">
        <v>0.85170000000000001</v>
      </c>
      <c r="N49" s="22">
        <v>0.92600000000000005</v>
      </c>
      <c r="O49" s="27">
        <v>0.92200000000000004</v>
      </c>
      <c r="P49" s="27">
        <v>0.90647999999999995</v>
      </c>
      <c r="Q49" s="27">
        <v>0.93681999999999999</v>
      </c>
      <c r="R49" s="37">
        <v>0.78120000000000001</v>
      </c>
      <c r="S49" s="27">
        <f t="shared" si="0"/>
        <v>1.0158240000000007</v>
      </c>
      <c r="T49" s="22">
        <v>0.91965575757576001</v>
      </c>
      <c r="U49" s="8">
        <v>1.0014000000000001</v>
      </c>
      <c r="V49" s="16">
        <v>0.95760000000000001</v>
      </c>
      <c r="W49" s="52">
        <v>0.95329000000000053</v>
      </c>
      <c r="X49" s="52">
        <v>0.79620000000000002</v>
      </c>
    </row>
    <row r="50" spans="1:24" ht="17.399999999999999" thickTop="1" thickBot="1">
      <c r="A50" s="47">
        <v>49</v>
      </c>
      <c r="B50" s="27">
        <v>0.75863999999999998</v>
      </c>
      <c r="C50" s="27">
        <v>1.08518</v>
      </c>
      <c r="D50" s="27">
        <v>1.0053399999999999</v>
      </c>
      <c r="E50" s="27">
        <v>0.75541999999999998</v>
      </c>
      <c r="F50" s="27">
        <v>0.90488000000000002</v>
      </c>
      <c r="G50" s="27">
        <v>0.93010000000000004</v>
      </c>
      <c r="H50" s="22">
        <v>0.89119999999999999</v>
      </c>
      <c r="I50" s="22">
        <v>1.0154000000000001</v>
      </c>
      <c r="J50" s="27">
        <v>0.95689999999999997</v>
      </c>
      <c r="K50" s="27">
        <v>0.91920000000000002</v>
      </c>
      <c r="L50" s="27">
        <v>0.91300000000000003</v>
      </c>
      <c r="M50" s="45">
        <v>0.85070000000000001</v>
      </c>
      <c r="N50" s="22">
        <v>0.92600000000000005</v>
      </c>
      <c r="O50" s="27">
        <v>0.92200000000000004</v>
      </c>
      <c r="P50" s="27">
        <v>0.90542999999999996</v>
      </c>
      <c r="Q50" s="27">
        <v>0.93681999999999999</v>
      </c>
      <c r="R50" s="37">
        <v>0.78046000000000004</v>
      </c>
      <c r="S50" s="27">
        <f t="shared" si="0"/>
        <v>1.0150920000000008</v>
      </c>
      <c r="T50" s="22">
        <v>0.91863151515151897</v>
      </c>
      <c r="U50" s="8">
        <v>1.0002</v>
      </c>
      <c r="V50" s="16">
        <v>0.95760000000000001</v>
      </c>
      <c r="W50" s="52">
        <v>0.95329000000000053</v>
      </c>
      <c r="X50" s="52">
        <v>0.79620000000000002</v>
      </c>
    </row>
    <row r="51" spans="1:24" ht="17.399999999999999" thickTop="1" thickBot="1">
      <c r="A51" s="48">
        <v>50</v>
      </c>
      <c r="B51" s="18">
        <v>0.75777000000000005</v>
      </c>
      <c r="C51" s="18">
        <v>1.08413</v>
      </c>
      <c r="D51" s="18">
        <v>1.00447</v>
      </c>
      <c r="E51" s="18">
        <v>0.75427</v>
      </c>
      <c r="F51" s="16">
        <v>0.90390999999999999</v>
      </c>
      <c r="G51" s="18">
        <v>0.92849999999999999</v>
      </c>
      <c r="H51" s="18">
        <v>0.89019999999999999</v>
      </c>
      <c r="I51" s="18">
        <v>1.0143</v>
      </c>
      <c r="J51" s="18">
        <v>0.95609999999999995</v>
      </c>
      <c r="K51" s="18">
        <v>0.91830000000000001</v>
      </c>
      <c r="L51" s="18">
        <v>0.91200000000000003</v>
      </c>
      <c r="M51" s="40">
        <v>0.84970000000000001</v>
      </c>
      <c r="N51" s="16">
        <v>0.92600000000000005</v>
      </c>
      <c r="O51" s="18">
        <v>0.92200000000000004</v>
      </c>
      <c r="P51" s="16">
        <v>0.90439000000000003</v>
      </c>
      <c r="Q51" s="27">
        <v>0.93681999999999999</v>
      </c>
      <c r="R51" s="41">
        <v>0.77971999999999997</v>
      </c>
      <c r="S51" s="18">
        <f t="shared" si="0"/>
        <v>1.0143600000000008</v>
      </c>
      <c r="T51" s="16">
        <v>0.91760727272727705</v>
      </c>
      <c r="U51" s="16">
        <v>0.999</v>
      </c>
      <c r="V51" s="16">
        <v>0.95760000000000001</v>
      </c>
      <c r="W51" s="52">
        <v>0.95329000000000053</v>
      </c>
      <c r="X51" s="52">
        <v>0.79620000000000002</v>
      </c>
    </row>
    <row r="52" spans="1:24" ht="17.399999999999999" thickTop="1" thickBot="1">
      <c r="A52" s="48">
        <v>51</v>
      </c>
      <c r="B52" s="49"/>
      <c r="C52" s="49"/>
      <c r="D52" s="49"/>
      <c r="E52" s="49"/>
      <c r="F52" s="49"/>
      <c r="G52" s="49"/>
      <c r="H52" s="49"/>
      <c r="I52" s="49">
        <v>1.0132000000000001</v>
      </c>
      <c r="J52" s="49"/>
      <c r="U52" s="8"/>
    </row>
    <row r="53" spans="1:24" ht="17.399999999999999" thickTop="1" thickBot="1">
      <c r="A53" s="48">
        <v>52</v>
      </c>
      <c r="I53" s="47">
        <v>1.0121</v>
      </c>
      <c r="U53" s="8"/>
    </row>
    <row r="54" spans="1:24" ht="17.399999999999999" thickTop="1" thickBot="1">
      <c r="A54" s="48">
        <v>53</v>
      </c>
      <c r="I54" s="47">
        <v>1.0109999999999999</v>
      </c>
      <c r="U54" s="8"/>
    </row>
    <row r="55" spans="1:24" ht="17.399999999999999" thickTop="1" thickBot="1">
      <c r="A55" s="48">
        <v>54</v>
      </c>
      <c r="I55" s="47">
        <v>1.0098</v>
      </c>
      <c r="U55" s="8"/>
    </row>
    <row r="56" spans="1:24" ht="17.399999999999999" thickTop="1" thickBot="1">
      <c r="A56" s="48">
        <v>55</v>
      </c>
      <c r="I56" s="47">
        <v>1.0086999999999999</v>
      </c>
      <c r="U56" s="8"/>
    </row>
    <row r="57" spans="1:24" ht="17.399999999999999" thickTop="1" thickBot="1">
      <c r="A57" s="48">
        <v>56</v>
      </c>
      <c r="I57" s="47">
        <v>1.0076000000000001</v>
      </c>
      <c r="U57" s="8"/>
    </row>
    <row r="58" spans="1:24" ht="17.399999999999999" thickTop="1" thickBot="1">
      <c r="A58" s="48">
        <v>57</v>
      </c>
      <c r="I58" s="47">
        <v>1.0065</v>
      </c>
      <c r="U58" s="8"/>
    </row>
    <row r="59" spans="1:24" ht="17.399999999999999" thickTop="1" thickBot="1">
      <c r="A59" s="48">
        <v>58</v>
      </c>
      <c r="I59" s="47">
        <v>1.0054000000000001</v>
      </c>
      <c r="U59" s="8"/>
    </row>
    <row r="60" spans="1:24" ht="17.399999999999999" thickTop="1" thickBot="1">
      <c r="A60" s="48">
        <v>59</v>
      </c>
      <c r="I60" s="47">
        <v>1.0042</v>
      </c>
      <c r="U60" s="8"/>
    </row>
    <row r="61" spans="1:24" ht="17.399999999999999" thickTop="1" thickBot="1">
      <c r="A61" s="48">
        <v>60</v>
      </c>
      <c r="I61" s="47">
        <v>1.0031000000000001</v>
      </c>
      <c r="U61" s="8"/>
    </row>
    <row r="62" spans="1:24" ht="16.8" thickTop="1">
      <c r="U62" s="8"/>
    </row>
    <row r="63" spans="1:24">
      <c r="U63" s="8"/>
    </row>
    <row r="64" spans="1:24">
      <c r="U64" s="8"/>
    </row>
    <row r="65" spans="21:21">
      <c r="U65" s="8"/>
    </row>
    <row r="66" spans="21:21">
      <c r="U66" s="8"/>
    </row>
    <row r="67" spans="21:21">
      <c r="U67" s="8"/>
    </row>
    <row r="68" spans="21:21">
      <c r="U68" s="8"/>
    </row>
    <row r="69" spans="21:21">
      <c r="U69" s="8"/>
    </row>
    <row r="70" spans="21:21">
      <c r="U70" s="8"/>
    </row>
    <row r="71" spans="21:21">
      <c r="U71" s="8"/>
    </row>
    <row r="72" spans="21:21">
      <c r="U72" s="8"/>
    </row>
    <row r="73" spans="21:21">
      <c r="U73" s="8"/>
    </row>
    <row r="74" spans="21:21">
      <c r="U74" s="8"/>
    </row>
    <row r="75" spans="21:21">
      <c r="U75" s="8"/>
    </row>
    <row r="76" spans="21:21">
      <c r="U76" s="8"/>
    </row>
    <row r="77" spans="21:21">
      <c r="U77" s="8"/>
    </row>
    <row r="78" spans="21:21">
      <c r="U78" s="8"/>
    </row>
    <row r="79" spans="21:21">
      <c r="U79" s="8"/>
    </row>
    <row r="80" spans="21:21">
      <c r="U80" s="8"/>
    </row>
    <row r="81" spans="21:21">
      <c r="U81" s="8"/>
    </row>
    <row r="82" spans="21:21">
      <c r="U82" s="8"/>
    </row>
    <row r="83" spans="21:21">
      <c r="U83" s="8"/>
    </row>
    <row r="84" spans="21:21">
      <c r="U84" s="8"/>
    </row>
    <row r="85" spans="21:21">
      <c r="U85" s="8"/>
    </row>
    <row r="86" spans="21:21">
      <c r="U86" s="8"/>
    </row>
    <row r="87" spans="21:21">
      <c r="U87" s="8"/>
    </row>
    <row r="88" spans="21:21">
      <c r="U88" s="8"/>
    </row>
    <row r="89" spans="21:21">
      <c r="U89" s="8"/>
    </row>
    <row r="90" spans="21:21">
      <c r="U90" s="8"/>
    </row>
    <row r="91" spans="21:21">
      <c r="U91" s="8"/>
    </row>
    <row r="92" spans="21:21">
      <c r="U92" s="8"/>
    </row>
    <row r="93" spans="21:21">
      <c r="U93" s="8"/>
    </row>
  </sheetData>
  <phoneticPr fontId="2" type="noConversion"/>
  <pageMargins left="0.42" right="0.2" top="0.36" bottom="0.43" header="0.5" footer="0.5"/>
  <pageSetup paperSize="9" scale="41" orientation="landscape" verticalDpi="180"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19">
    <pageSetUpPr fitToPage="1"/>
  </sheetPr>
  <dimension ref="A1:BM223"/>
  <sheetViews>
    <sheetView view="pageBreakPreview" zoomScale="110" zoomScaleNormal="100" zoomScaleSheetLayoutView="110" workbookViewId="0">
      <selection activeCell="D7" sqref="D7"/>
    </sheetView>
  </sheetViews>
  <sheetFormatPr defaultColWidth="8.109375" defaultRowHeight="25.8"/>
  <cols>
    <col min="1" max="1" width="11.6640625" style="53" customWidth="1" phonetic="1"/>
    <col min="2" max="2" width="7.6640625" style="53" customWidth="1" phonetic="1"/>
    <col min="3" max="3" width="10.21875" style="53" bestFit="1" customWidth="1" phonetic="1"/>
    <col min="4"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65"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c r="V1" s="285" ph="1"/>
      <c r="W1" s="285" ph="1"/>
      <c r="X1" s="285" ph="1"/>
      <c r="Y1" s="285" ph="1"/>
      <c r="Z1" s="285" ph="1"/>
      <c r="AA1" s="285" ph="1"/>
      <c r="AB1" s="285" ph="1"/>
      <c r="AC1" s="285" ph="1"/>
      <c r="AD1" s="285" ph="1"/>
      <c r="AE1" s="285" ph="1"/>
    </row>
    <row r="2" spans="1:65" s="55" customFormat="1" ht="24" customHeight="1" ph="1">
      <c r="B2" s="286" t="s" ph="1">
        <v>35</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c r="V2" s="286" ph="1"/>
      <c r="W2" s="286" ph="1"/>
      <c r="X2" s="286" ph="1"/>
      <c r="Y2" s="286" ph="1"/>
      <c r="Z2" s="286" ph="1"/>
      <c r="AA2" s="286" ph="1"/>
      <c r="AB2" s="286" ph="1"/>
      <c r="AC2" s="286" ph="1"/>
      <c r="AD2" s="286" ph="1"/>
      <c r="AE2" s="286" ph="1"/>
    </row>
    <row r="3" spans="1:65" ht="21" customHeight="1" ph="1">
      <c r="B3" s="287" ph="1">
        <v>46084</v>
      </c>
      <c r="C3" s="287"/>
      <c r="D3" s="287"/>
      <c r="E3" s="287"/>
      <c r="F3" s="287"/>
      <c r="G3" s="287"/>
      <c r="H3" s="287"/>
      <c r="I3" s="287"/>
      <c r="J3" s="287"/>
      <c r="K3" s="287"/>
      <c r="L3" s="287"/>
      <c r="M3" s="287"/>
      <c r="N3" s="287"/>
      <c r="O3" s="287"/>
      <c r="P3" s="287"/>
      <c r="Q3" s="287"/>
      <c r="R3" s="287"/>
      <c r="S3" s="287"/>
      <c r="T3" s="287"/>
      <c r="U3" s="287"/>
      <c r="V3" s="287"/>
      <c r="W3" s="287"/>
      <c r="X3" s="287"/>
      <c r="Y3" s="287"/>
      <c r="Z3" s="287"/>
      <c r="AA3" s="287"/>
      <c r="AB3" s="287"/>
      <c r="AC3" s="287"/>
      <c r="AD3" s="287"/>
      <c r="AE3" s="287"/>
    </row>
    <row r="4" spans="1:65" s="58" customFormat="1" ph="1">
      <c r="A4" s="54" ph="1"/>
      <c r="B4" s="266" t="s" ph="1">
        <v>25</v>
      </c>
      <c r="C4" s="56" t="s" ph="1">
        <v>41</v>
      </c>
      <c r="D4" s="57" t="s" ph="1">
        <v>29</v>
      </c>
      <c r="E4" s="57" t="s" ph="1">
        <v>30</v>
      </c>
      <c r="F4" s="57" t="s" ph="1">
        <v>27</v>
      </c>
      <c r="G4" s="57" t="s" ph="1">
        <v>54</v>
      </c>
      <c r="H4" s="57" t="s" ph="1">
        <v>55</v>
      </c>
      <c r="I4" s="57" t="s" ph="1">
        <v>56</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c r="BB4" s="54" ph="1"/>
      <c r="BC4" s="54" ph="1"/>
      <c r="BD4" s="54" ph="1"/>
      <c r="BE4" s="54" ph="1"/>
      <c r="BF4" s="54" ph="1"/>
      <c r="BG4" s="54" ph="1"/>
      <c r="BH4" s="54" ph="1"/>
      <c r="BI4" s="54" ph="1"/>
      <c r="BJ4" s="54" ph="1"/>
      <c r="BK4" s="54" ph="1"/>
      <c r="BL4" s="54" ph="1"/>
      <c r="BM4" s="54" ph="1"/>
    </row>
    <row r="5" spans="1:65" s="58" customFormat="1" ht="29.2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59" t="s" ph="1">
        <v>51</v>
      </c>
      <c r="O5" s="59" t="s" ph="1">
        <v>66</v>
      </c>
      <c r="P5" s="59"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c r="BB5" s="54" ph="1"/>
      <c r="BC5" s="54" ph="1"/>
      <c r="BD5" s="54" ph="1"/>
      <c r="BE5" s="54" ph="1"/>
      <c r="BF5" s="54" ph="1"/>
      <c r="BG5" s="54" ph="1"/>
      <c r="BH5" s="54" ph="1"/>
      <c r="BI5" s="54" ph="1"/>
      <c r="BJ5" s="54" ph="1"/>
      <c r="BK5" s="54" ph="1"/>
      <c r="BL5" s="54" ph="1"/>
      <c r="BM5" s="54" ph="1"/>
    </row>
    <row r="6" spans="1:65" ph="1">
      <c r="B6" s="284" ph="1">
        <v>0.33333333333333331</v>
      </c>
      <c r="C6" s="117" t="s" ph="1">
        <v>42</v>
      </c>
      <c r="D6" s="118">
        <v>0.01</v>
      </c>
      <c r="E6" s="118">
        <v>0</v>
      </c>
      <c r="F6" s="118">
        <v>0</v>
      </c>
      <c r="G6" s="118">
        <v>0</v>
      </c>
      <c r="H6" s="60">
        <v>567</v>
      </c>
      <c r="I6" s="60">
        <v>500</v>
      </c>
      <c r="J6" s="60">
        <v>6.59</v>
      </c>
      <c r="K6" s="60">
        <v>7.45</v>
      </c>
      <c r="L6" s="60">
        <v>6750</v>
      </c>
      <c r="M6" s="60">
        <v>247</v>
      </c>
      <c r="N6" s="60">
        <v>2675</v>
      </c>
      <c r="O6" s="60">
        <v>12400</v>
      </c>
      <c r="P6" s="60">
        <v>5783</v>
      </c>
      <c r="Q6" s="60"/>
      <c r="R6" s="60"/>
      <c r="S6" s="60"/>
      <c r="T6" s="60"/>
      <c r="U6" s="60"/>
      <c r="V6" s="60"/>
      <c r="W6" s="60"/>
      <c r="X6" s="60"/>
      <c r="Y6" s="60"/>
      <c r="Z6" s="60"/>
      <c r="AA6" s="60"/>
      <c r="AB6" s="60"/>
      <c r="AC6" s="60"/>
      <c r="AD6" s="60"/>
      <c r="AE6" s="60"/>
    </row>
    <row r="7" spans="1:65" s="61" customFormat="1" ht="22.2" ph="1">
      <c r="B7" s="284" ph="1"/>
      <c r="C7" s="57" t="s" ph="1">
        <v>43</v>
      </c>
      <c r="D7" s="62" ph="1">
        <f>((D6*5200)*4.48+1790)*LOOKUP(D8,[1]密度!$A$2:$A$50,[1]密度!$B$2:$B$50)</f>
        <v>1577.099616</v>
      </c>
      <c r="E7" s="62" ph="1">
        <f>((E6*5200)*4.48+1790)*LOOKUP(E8,[1]密度!$A$2:$A$50,[1]密度!$B$2:$B$50)</f>
        <v>1403.539</v>
      </c>
      <c r="F7" s="62" ph="1">
        <f>((F6*5200)*4.48+1790)*LOOKUP(F8,[1]密度!$A$2:$A$50,[1]密度!$B$2:$B$50)</f>
        <v>1403.539</v>
      </c>
      <c r="G7" s="62" ph="1">
        <f>((G6*5200)*4.48+1790)*LOOKUP(G8,[1]密度!$A$2:$A$50,[1]密度!$B$2:$B$50)</f>
        <v>1403.539</v>
      </c>
      <c r="H7" s="62" ph="1">
        <f>IF(H6&lt;=0, 0, IF(H6&lt;=1100, 0.000011424*H6^2-0.000000004189*H6^3, 11.151+0.01520557*(H6-1100))) * LOOKUP(H8, 密度!$A$2:$A$50, 密度!$B$2:$B$50)*1000</f>
        <v>2267.9355748452222</v>
      </c>
      <c r="I7" s="62" ph="1">
        <f>IF(I6&lt;=0, 0, IF(I6&lt;=1100, 0.000011424*I6^2-0.000000004189*I6^3, 11.151+0.01520557*(I6-1100))) * LOOKUP(I8, 密度!$A$2:$A$50, 密度!$B$2:$B$50)*1000</f>
        <v>1818.3195499999997</v>
      </c>
      <c r="J7" s="62" ph="1">
        <f>IF(J6&lt;=0, 0, IF(J6&lt;=1100, 0.000011424*J6^2-0.000000004189*J6^3, 11.151+0.01520557*(J6-1100))) * LOOKUP(J8, 密度!$A$2:$A$50, 密度!$B$2:$B$50)*1000</f>
        <v>0.38584256294609121</v>
      </c>
      <c r="K7" s="62" ph="1">
        <f>IF(K6&lt;=0, 0, IF(K6&lt;=1100, 0.000011424*K6^2-0.000000004189*K6^3, 11.151+0.01520557*(K6-1100))) * LOOKUP(K8, 密度!$A$2:$A$50, 密度!$B$2:$B$50)*1000</f>
        <v>0.49296324808572051</v>
      </c>
      <c r="L7" s="62" ph="1">
        <f>L6*26.42*LOOKUP(L8,密度!$A$2:$A$50,密度!$B$2:$B$50)</f>
        <v>139029.96599999999</v>
      </c>
      <c r="M7" s="62" ph="1">
        <f>M6*26.42*1</f>
        <v>6525.7400000000007</v>
      </c>
      <c r="N7" s="62" ph="1">
        <f>N6*18.32*LOOKUP(N8,密度!$A$2:$A$50,密度!$B$2:$B$50)</f>
        <v>38381.499199999998</v>
      </c>
      <c r="O7" s="62" ph="1">
        <f>O6*81.71*LOOKUP(O8,密度!$A$2:$A$50,密度!$B$2:$B$50)</f>
        <v>789893.83839999989</v>
      </c>
      <c r="P7" s="62" ph="1">
        <f>P6*81.71*LOOKUP(P8,密度!$A$2:$A$50,密度!$B$2:$B$50)</f>
        <v>368383.55382799992</v>
      </c>
      <c r="Q7" s="62" ph="1"/>
      <c r="R7" s="62" ph="1"/>
      <c r="S7" s="62" ph="1"/>
      <c r="T7" s="62" ph="1"/>
      <c r="U7" s="62" ph="1"/>
      <c r="V7" s="62" ph="1"/>
      <c r="W7" s="62" ph="1"/>
      <c r="X7" s="62" ph="1"/>
      <c r="Y7" s="62" ph="1"/>
      <c r="Z7" s="62" ph="1"/>
      <c r="AA7" s="62" ph="1"/>
      <c r="AB7" s="62" ph="1"/>
      <c r="AC7" s="62" ph="1"/>
      <c r="AD7" s="62" ph="1"/>
      <c r="AE7" s="62" ph="1"/>
    </row>
    <row r="8" spans="1:65" ph="1">
      <c r="B8" s="284" ph="1"/>
      <c r="C8" s="57" t="s" ph="1">
        <v>44</v>
      </c>
      <c r="D8" s="63">
        <v>25</v>
      </c>
      <c r="E8" s="63">
        <v>20</v>
      </c>
      <c r="F8" s="63">
        <v>20</v>
      </c>
      <c r="G8" s="63">
        <v>20</v>
      </c>
      <c r="H8" s="63">
        <v>25</v>
      </c>
      <c r="I8" s="63">
        <v>25</v>
      </c>
      <c r="J8" s="63">
        <v>25</v>
      </c>
      <c r="K8" s="63">
        <v>25</v>
      </c>
      <c r="L8" s="63">
        <v>25</v>
      </c>
      <c r="M8" s="63">
        <v>19</v>
      </c>
      <c r="N8" s="63">
        <v>21</v>
      </c>
      <c r="O8" s="63">
        <v>25</v>
      </c>
      <c r="P8" s="63">
        <v>25</v>
      </c>
      <c r="Q8" s="63"/>
      <c r="R8" s="63"/>
      <c r="S8" s="63"/>
      <c r="T8" s="63"/>
      <c r="U8" s="63"/>
      <c r="V8" s="63"/>
      <c r="W8" s="63"/>
      <c r="X8" s="63"/>
      <c r="Y8" s="63"/>
      <c r="Z8" s="63"/>
      <c r="AA8" s="63"/>
      <c r="AB8" s="63"/>
      <c r="AC8" s="63"/>
      <c r="AD8" s="63"/>
      <c r="AE8" s="63"/>
    </row>
    <row r="9" spans="1:65" ht="26.4" ph="1">
      <c r="B9" s="284" ph="1">
        <v>0.66666666666666663</v>
      </c>
      <c r="C9" s="117" t="s" ph="1">
        <v>45</v>
      </c>
      <c r="D9" s="118">
        <v>0</v>
      </c>
      <c r="E9" s="118">
        <v>0</v>
      </c>
      <c r="F9" s="118">
        <v>0</v>
      </c>
      <c r="G9" s="118">
        <v>0</v>
      </c>
      <c r="H9" s="60">
        <v>1153</v>
      </c>
      <c r="I9" s="60">
        <v>0.08</v>
      </c>
      <c r="J9" s="60">
        <v>6.59</v>
      </c>
      <c r="K9" s="60">
        <v>55.61</v>
      </c>
      <c r="L9" s="60">
        <v>69.69</v>
      </c>
      <c r="M9" s="60">
        <v>792</v>
      </c>
      <c r="N9" s="60">
        <v>4331</v>
      </c>
      <c r="O9" s="60">
        <v>12200</v>
      </c>
      <c r="P9" s="60">
        <v>6479</v>
      </c>
      <c r="Q9" s="60"/>
      <c r="R9" s="60"/>
      <c r="S9" s="60"/>
      <c r="T9" s="60"/>
      <c r="U9" s="60"/>
      <c r="V9" s="60"/>
      <c r="W9" s="60"/>
      <c r="X9" s="60"/>
      <c r="Y9" s="60"/>
      <c r="Z9" s="60"/>
      <c r="AA9" s="60"/>
      <c r="AB9" s="60"/>
      <c r="AC9" s="60"/>
      <c r="AD9" s="60"/>
      <c r="AE9" s="60"/>
    </row>
    <row r="10" spans="1:65" s="61" customFormat="1" ht="22.2" ph="1">
      <c r="B10" s="284" ph="1"/>
      <c r="C10" s="117" t="s" ph="1">
        <v>43</v>
      </c>
      <c r="D10" s="62" ph="1">
        <f>((D9*5200)*4.48+1790)*LOOKUP(D11,[1]密度!$A$2:$A$50,[1]密度!$B$2:$B$50)</f>
        <v>1403.539</v>
      </c>
      <c r="E10" s="62" ph="1">
        <f>((E9*5200)*4.48+1790)*LOOKUP(E11,[1]密度!$A$2:$A$50,[1]密度!$B$2:$B$50)</f>
        <v>1403.539</v>
      </c>
      <c r="F10" s="62" ph="1">
        <f>((F9*5200)*4.48+1790)*LOOKUP(F11,[1]密度!$A$2:$A$50,[1]密度!$B$2:$B$50)</f>
        <v>1403.539</v>
      </c>
      <c r="G10" s="62" ph="1">
        <f>((G9*5200)*4.48+1790)*LOOKUP(G11,[1]密度!$A$2:$A$50,[1]密度!$B$2:$B$50)</f>
        <v>1403.539</v>
      </c>
      <c r="H10" s="62" ph="1">
        <f>IF(H9&lt;=0, 0, IF(H9&lt;=1100, 0.000011424*H9^2-0.000000004189*H9^3, 11.151+0.01520557*(H9-1100))) * LOOKUP(H11, 密度!$A$2:$A$50, 密度!$B$2:$B$50)*1000</f>
        <v>9412.4679093119994</v>
      </c>
      <c r="I10" s="62" ph="1">
        <f>IF(I9&lt;=0, 0, IF(I9&lt;=1100, 0.000011424*I9^2-0.000000004189*I9^3, 11.151+0.01520557*(I9-1100))) * LOOKUP(I11, 密度!$A$2:$A$50, 密度!$B$2:$B$50)*1000</f>
        <v>5.6997690498867187E-5</v>
      </c>
      <c r="J10" s="62" ph="1">
        <f>IF(J9&lt;=0, 0, IF(J9&lt;=1100, 0.000011424*J9^2-0.000000004189*J9^3, 11.151+0.01520557*(J9-1100))) * LOOKUP(J11, 密度!$A$2:$A$50, 密度!$B$2:$B$50)*1000</f>
        <v>0.38584256294609121</v>
      </c>
      <c r="K10" s="62" ph="1">
        <f>IF(K9&lt;=0, 0, IF(K9&lt;=1100, 0.000011424*K9^2-0.000000004189*K9^3, 11.151+0.01520557*(K9-1100))) * LOOKUP(K11, 密度!$A$2:$A$50, 密度!$B$2:$B$50)*1000</f>
        <v>26.980403814753554</v>
      </c>
      <c r="L10" s="62" ph="1">
        <f>L9*26.42*LOOKUP(L11,密度!$A$2:$A$50,密度!$B$2:$B$50)</f>
        <v>1435.40716008</v>
      </c>
      <c r="M10" s="62" ph="1">
        <f>M9*26.42*1</f>
        <v>20924.640000000003</v>
      </c>
      <c r="N10" s="62" ph="1">
        <f>N9*18.32*LOOKUP(N11,密度!$A$2:$A$50,密度!$B$2:$B$50)</f>
        <v>62277.042807999998</v>
      </c>
      <c r="O10" s="62" ph="1">
        <f>O9*81.71*LOOKUP(O11,密度!$A$2:$A$50,密度!$B$2:$B$50)</f>
        <v>777153.61519999988</v>
      </c>
      <c r="P10" s="62" ph="1">
        <f>P9*81.71*LOOKUP(P11,密度!$A$2:$A$50,密度!$B$2:$B$50)</f>
        <v>416742.96364799998</v>
      </c>
      <c r="Q10" s="62" ph="1"/>
      <c r="R10" s="62" ph="1"/>
      <c r="S10" s="62" ph="1"/>
      <c r="T10" s="62" ph="1"/>
      <c r="U10" s="62" ph="1"/>
      <c r="V10" s="62" ph="1"/>
      <c r="W10" s="62" ph="1"/>
      <c r="X10" s="62" ph="1"/>
      <c r="Y10" s="62" ph="1"/>
      <c r="Z10" s="62" ph="1"/>
      <c r="AA10" s="62" ph="1"/>
      <c r="AB10" s="62" ph="1"/>
      <c r="AC10" s="62" ph="1"/>
      <c r="AD10" s="62" ph="1"/>
      <c r="AE10" s="62" ph="1"/>
    </row>
    <row r="11" spans="1:65" ph="1">
      <c r="A11" s="53" t="s" ph="1">
        <v>40</v>
      </c>
      <c r="B11" s="284" ph="1"/>
      <c r="C11" s="117" t="s" ph="1">
        <v>44</v>
      </c>
      <c r="D11" s="63">
        <v>20</v>
      </c>
      <c r="E11" s="63">
        <v>20</v>
      </c>
      <c r="F11" s="63">
        <v>20</v>
      </c>
      <c r="G11" s="63">
        <v>20</v>
      </c>
      <c r="H11" s="63">
        <v>16</v>
      </c>
      <c r="I11" s="63">
        <v>25</v>
      </c>
      <c r="J11" s="63">
        <v>25</v>
      </c>
      <c r="K11" s="63">
        <v>25</v>
      </c>
      <c r="L11" s="63">
        <v>25</v>
      </c>
      <c r="M11" s="63">
        <v>19</v>
      </c>
      <c r="N11" s="63">
        <v>19</v>
      </c>
      <c r="O11" s="63">
        <v>25</v>
      </c>
      <c r="P11" s="63">
        <v>16</v>
      </c>
      <c r="Q11" s="63"/>
      <c r="R11" s="63"/>
      <c r="S11" s="63"/>
      <c r="T11" s="63"/>
      <c r="U11" s="63"/>
      <c r="V11" s="63"/>
      <c r="W11" s="63"/>
      <c r="X11" s="63"/>
      <c r="Y11" s="63"/>
      <c r="Z11" s="63"/>
      <c r="AA11" s="63"/>
      <c r="AB11" s="63"/>
      <c r="AC11" s="63"/>
      <c r="AD11" s="63"/>
      <c r="AE11" s="63"/>
    </row>
    <row r="12" spans="1:65" ht="9.9" customHeight="1" ph="1"/>
    <row r="13" spans="1:65" s="61" customFormat="1" ht="29.25" customHeight="1" ph="1">
      <c r="B13" s="261" t="s" ph="1">
        <v>25</v>
      </c>
      <c r="C13" s="117" t="s" ph="1">
        <v>41</v>
      </c>
      <c r="D13" s="65" ph="1"/>
      <c r="E13" s="65" ph="1"/>
      <c r="F13" s="65" ph="1"/>
      <c r="G13" s="65" ph="1"/>
      <c r="H13" s="65" ph="1"/>
      <c r="I13" s="65" ph="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65" s="61" customFormat="1" ht="24" ph="1">
      <c r="B14" s="262"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65" ph="1">
      <c r="B15" s="263" ph="1">
        <v>0.33333333333333331</v>
      </c>
      <c r="C15" s="117" t="s" ph="1">
        <v>42</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65" s="61" customFormat="1" ht="22.2" ph="1">
      <c r="B16" s="264" ph="1"/>
      <c r="C16" s="117"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62" ph="1"/>
      <c r="X16" s="62" ph="1"/>
      <c r="Y16" s="96" ph="1"/>
      <c r="Z16" s="62" ph="1"/>
      <c r="AA16" s="62" ph="1"/>
      <c r="AB16" s="62" ph="1"/>
      <c r="AC16" s="62" ph="1"/>
      <c r="AD16" s="62" ph="1"/>
      <c r="AE16" s="62" ph="1"/>
    </row>
    <row r="17" spans="1:32" ph="1">
      <c r="A17" s="53" t="s" ph="1">
        <v>33</v>
      </c>
      <c r="B17" s="265" ph="1"/>
      <c r="C17" s="68" t="s" ph="1">
        <v>44</v>
      </c>
      <c r="D17" s="63"/>
      <c r="E17" s="63"/>
      <c r="F17" s="63"/>
      <c r="G17" s="63"/>
      <c r="H17" s="63"/>
      <c r="I17" s="63"/>
      <c r="J17" s="63"/>
      <c r="K17" s="63"/>
      <c r="L17" s="63"/>
      <c r="M17" s="63"/>
      <c r="N17" s="63"/>
      <c r="O17" s="63"/>
      <c r="P17" s="63"/>
      <c r="Q17" s="63"/>
      <c r="R17" s="63"/>
      <c r="S17" s="63"/>
      <c r="T17" s="63"/>
      <c r="U17" s="63"/>
      <c r="V17" s="63"/>
      <c r="W17" s="63"/>
      <c r="X17" s="63"/>
      <c r="Y17" s="97"/>
      <c r="Z17" s="63"/>
      <c r="AA17" s="63"/>
      <c r="AB17" s="63"/>
      <c r="AC17" s="63"/>
      <c r="AD17" s="63"/>
      <c r="AE17" s="63"/>
    </row>
    <row r="18" spans="1:32" ht="26.4" ph="1">
      <c r="B18" s="263"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64" ph="1"/>
      <c r="C19" s="117"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64"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62"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72" t="s" ph="1">
        <v>31</v>
      </c>
      <c r="AA22" s="273"/>
      <c r="AB22" s="273"/>
      <c r="AC22" s="273"/>
      <c r="AD22" s="273"/>
      <c r="AE22" s="274"/>
    </row>
    <row r="23" spans="1:32" ph="1">
      <c r="A23" s="61" ph="1"/>
      <c r="B23" s="266"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75" t="s" ph="1">
        <v>67</v>
      </c>
      <c r="AA23" s="276"/>
      <c r="AB23" s="276"/>
      <c r="AC23" s="276"/>
      <c r="AD23" s="276"/>
      <c r="AE23" s="277"/>
    </row>
    <row r="24" spans="1:32" ph="1">
      <c r="A24" s="61" ph="1"/>
      <c r="B24" s="284" ph="1">
        <v>0.33333333333333331</v>
      </c>
      <c r="C24" s="117" t="s" ph="1">
        <v>42</v>
      </c>
      <c r="D24" s="60"/>
      <c r="E24" s="60"/>
      <c r="F24" s="60"/>
      <c r="G24" s="60"/>
      <c r="H24" s="60"/>
      <c r="I24" s="60"/>
      <c r="J24" s="60"/>
      <c r="K24" s="60"/>
      <c r="L24" s="60"/>
      <c r="M24" s="60"/>
      <c r="N24" s="60"/>
      <c r="O24" s="60"/>
      <c r="P24" s="60"/>
      <c r="Q24" s="79"/>
      <c r="R24" s="60"/>
      <c r="S24" s="60"/>
      <c r="T24" s="60"/>
      <c r="U24" s="60"/>
      <c r="V24" s="60"/>
      <c r="W24" s="60"/>
      <c r="X24" s="60"/>
      <c r="Y24" s="60"/>
      <c r="Z24" s="278"/>
      <c r="AA24" s="279"/>
      <c r="AB24" s="279"/>
      <c r="AC24" s="279"/>
      <c r="AD24" s="279"/>
      <c r="AE24" s="280"/>
    </row>
    <row r="25" spans="1:32" ph="1">
      <c r="A25" s="61" ph="1"/>
      <c r="B25" s="284"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78"/>
      <c r="AA25" s="279"/>
      <c r="AB25" s="279"/>
      <c r="AC25" s="279"/>
      <c r="AD25" s="279"/>
      <c r="AE25" s="280"/>
    </row>
    <row r="26" spans="1:32" ph="1">
      <c r="A26" s="61" ph="1"/>
      <c r="B26" s="284"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78"/>
      <c r="AA26" s="279"/>
      <c r="AB26" s="279"/>
      <c r="AC26" s="279"/>
      <c r="AD26" s="279"/>
      <c r="AE26" s="280"/>
    </row>
    <row r="27" spans="1:32" ht="26.4" ph="1">
      <c r="A27" s="61" ph="1"/>
      <c r="B27" s="284" ph="1">
        <v>0.66666666666666663</v>
      </c>
      <c r="C27" s="117" t="s" ph="1">
        <v>45</v>
      </c>
      <c r="D27" s="60"/>
      <c r="E27" s="60"/>
      <c r="F27" s="60"/>
      <c r="G27" s="60"/>
      <c r="H27" s="60"/>
      <c r="I27" s="60"/>
      <c r="J27" s="60"/>
      <c r="K27" s="60"/>
      <c r="L27" s="60"/>
      <c r="M27" s="60"/>
      <c r="N27" s="60"/>
      <c r="O27" s="60"/>
      <c r="P27" s="60"/>
      <c r="Q27" s="79"/>
      <c r="R27" s="60"/>
      <c r="S27" s="60"/>
      <c r="T27" s="60"/>
      <c r="U27" s="60"/>
      <c r="V27" s="60"/>
      <c r="W27" s="60"/>
      <c r="X27" s="60"/>
      <c r="Y27" s="60"/>
      <c r="Z27" s="278"/>
      <c r="AA27" s="279"/>
      <c r="AB27" s="279"/>
      <c r="AC27" s="279"/>
      <c r="AD27" s="279"/>
      <c r="AE27" s="280"/>
    </row>
    <row r="28" spans="1:32" ph="1">
      <c r="A28" s="61" ph="1"/>
      <c r="B28" s="284" ph="1"/>
      <c r="C28" s="117"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78"/>
      <c r="AA28" s="279"/>
      <c r="AB28" s="279"/>
      <c r="AC28" s="279"/>
      <c r="AD28" s="279"/>
      <c r="AE28" s="280"/>
    </row>
    <row r="29" spans="1:32" ph="1">
      <c r="A29" s="61" ph="1"/>
      <c r="B29" s="284" ph="1"/>
      <c r="C29" s="117" t="s" ph="1">
        <v>44</v>
      </c>
      <c r="D29" s="63"/>
      <c r="E29" s="63"/>
      <c r="F29" s="63"/>
      <c r="G29" s="63"/>
      <c r="H29" s="63"/>
      <c r="I29" s="63"/>
      <c r="J29" s="63"/>
      <c r="K29" s="63"/>
      <c r="L29" s="63"/>
      <c r="M29" s="63"/>
      <c r="N29" s="63"/>
      <c r="O29" s="63"/>
      <c r="P29" s="63"/>
      <c r="Q29" s="82"/>
      <c r="R29" s="63"/>
      <c r="S29" s="63"/>
      <c r="T29" s="63"/>
      <c r="U29" s="63"/>
      <c r="V29" s="63"/>
      <c r="W29" s="63"/>
      <c r="X29" s="63"/>
      <c r="Y29" s="63"/>
      <c r="Z29" s="281"/>
      <c r="AA29" s="282"/>
      <c r="AB29" s="282"/>
      <c r="AC29" s="282"/>
      <c r="AD29" s="282"/>
      <c r="AE29" s="283"/>
    </row>
    <row r="30" spans="1:32" ph="1">
      <c r="D30" s="83" ph="1"/>
      <c r="Z30" s="53" t="s" ph="1">
        <v>23</v>
      </c>
      <c r="AE30" s="84" ph="1"/>
    </row>
    <row r="31" spans="1:32" ht="28.2" ph="1">
      <c r="A31" s="53"/>
      <c r="B31" s="267" t="s" ph="1">
        <v>23</v>
      </c>
      <c r="C31" s="268" ph="1"/>
      <c r="D31" s="245" t="s" ph="1">
        <v>3</v>
      </c>
      <c r="E31" s="246" ph="1"/>
      <c r="F31" s="247" ph="1"/>
      <c r="G31" s="271" ph="1"/>
      <c r="H31" s="246" ph="1"/>
      <c r="I31" s="247" ph="1"/>
      <c r="J31" s="245" ph="1"/>
      <c r="K31" s="246" ph="1"/>
      <c r="L31" s="247" ph="1"/>
      <c r="M31" s="245" ph="1"/>
      <c r="N31" s="246" ph="1"/>
      <c r="O31" s="247" ph="1"/>
      <c r="P31" s="245" ph="1"/>
      <c r="Q31" s="246"/>
      <c r="R31" s="247"/>
      <c r="S31" s="245" ph="1"/>
      <c r="T31" s="246"/>
      <c r="U31" s="247"/>
      <c r="V31" s="245" ph="1"/>
      <c r="W31" s="246" ph="1"/>
      <c r="X31" s="247" ph="1"/>
      <c r="Y31" s="245" ph="1"/>
      <c r="Z31" s="246" ph="1"/>
      <c r="AA31" s="247" ph="1"/>
      <c r="AB31" s="248"/>
      <c r="AC31" s="249"/>
      <c r="AD31" s="249"/>
      <c r="AE31" s="250"/>
    </row>
    <row r="32" spans="1:32" ph="1">
      <c r="A32" s="53"/>
      <c r="B32" s="269" ph="1"/>
      <c r="C32" s="270" ph="1"/>
      <c r="D32" s="85" t="s" ph="1">
        <v>0</v>
      </c>
      <c r="E32" s="117" t="s" ph="1">
        <v>1</v>
      </c>
      <c r="F32" s="116" t="s" ph="1">
        <v>28</v>
      </c>
      <c r="G32" s="86" t="s" ph="1">
        <v>0</v>
      </c>
      <c r="H32" s="117" t="s" ph="1">
        <v>1</v>
      </c>
      <c r="I32" s="116" t="s" ph="1">
        <v>28</v>
      </c>
      <c r="J32" s="86" t="s" ph="1">
        <v>0</v>
      </c>
      <c r="K32" s="117" t="s" ph="1">
        <v>1</v>
      </c>
      <c r="L32" s="116" t="s" ph="1">
        <v>28</v>
      </c>
      <c r="M32" s="86" t="s" ph="1">
        <v>0</v>
      </c>
      <c r="N32" s="117" t="s" ph="1">
        <v>1</v>
      </c>
      <c r="O32" s="116" t="s" ph="1">
        <v>28</v>
      </c>
      <c r="P32" s="86" t="s" ph="1">
        <v>0</v>
      </c>
      <c r="Q32" s="87" t="s" ph="1">
        <v>1</v>
      </c>
      <c r="R32" s="88" t="s" ph="1">
        <v>28</v>
      </c>
      <c r="S32" s="86" t="s" ph="1">
        <v>0</v>
      </c>
      <c r="T32" s="117" t="s" ph="1">
        <v>1</v>
      </c>
      <c r="U32" s="88" t="s" ph="1">
        <v>28</v>
      </c>
      <c r="V32" s="86" t="s" ph="1">
        <v>0</v>
      </c>
      <c r="W32" s="117" t="s" ph="1">
        <v>1</v>
      </c>
      <c r="X32" s="88" t="s" ph="1">
        <v>28</v>
      </c>
      <c r="Y32" s="89" t="s" ph="1">
        <v>0</v>
      </c>
      <c r="Z32" s="117" t="s" ph="1">
        <v>1</v>
      </c>
      <c r="AA32" s="116" t="s" ph="1">
        <v>28</v>
      </c>
      <c r="AB32" s="86" t="s" ph="1">
        <v>38</v>
      </c>
      <c r="AC32" s="117" t="s" ph="1">
        <v>37</v>
      </c>
      <c r="AD32" s="251" t="s" ph="1">
        <v>36</v>
      </c>
      <c r="AE32" s="252"/>
    </row>
    <row r="33" spans="1:31" ph="1">
      <c r="A33" s="53"/>
      <c r="B33" s="253" t="s" ph="1">
        <v>46</v>
      </c>
      <c r="C33" s="254" ph="1"/>
      <c r="D33" s="233" ph="1">
        <f>O10+P10</f>
        <v>1193896.5788479999</v>
      </c>
      <c r="E33" s="233" ph="1">
        <f>H10+I10+J10+K10</f>
        <v>9439.8342126873904</v>
      </c>
      <c r="F33" s="257" ph="1">
        <f>L10+N10</f>
        <v>63712.44996808</v>
      </c>
      <c r="G33" s="259" ph="1">
        <v>0</v>
      </c>
      <c r="H33" s="233" ph="1">
        <v>0</v>
      </c>
      <c r="I33" s="237" ph="1">
        <v>0</v>
      </c>
      <c r="J33" s="241" ph="1">
        <v>0</v>
      </c>
      <c r="K33" s="233" ph="1">
        <v>0</v>
      </c>
      <c r="L33" s="243" ph="1">
        <v>0</v>
      </c>
      <c r="M33" s="241" ph="1">
        <v>0</v>
      </c>
      <c r="N33" s="233" ph="1">
        <v>0</v>
      </c>
      <c r="O33" s="237" ph="1">
        <f>G19</f>
        <v>0</v>
      </c>
      <c r="P33" s="241" ph="1">
        <v>0</v>
      </c>
      <c r="Q33" s="233" ph="1">
        <v>0</v>
      </c>
      <c r="R33" s="237" ph="1">
        <v>0</v>
      </c>
      <c r="S33" s="241" ph="1">
        <v>0</v>
      </c>
      <c r="T33" s="233" ph="1">
        <v>0</v>
      </c>
      <c r="U33" s="222" ph="1">
        <v>0</v>
      </c>
      <c r="V33" s="235" ph="1">
        <v>0</v>
      </c>
      <c r="W33" s="235" ph="1">
        <v>0</v>
      </c>
      <c r="X33" s="237" ph="1">
        <v>0</v>
      </c>
      <c r="Y33" s="239" ph="1">
        <v>0</v>
      </c>
      <c r="Z33" s="220" ph="1">
        <v>0</v>
      </c>
      <c r="AA33" s="222" ph="1">
        <v>0</v>
      </c>
      <c r="AB33" s="224" ph="1">
        <v>0</v>
      </c>
      <c r="AC33" s="226" ph="1">
        <v>0</v>
      </c>
      <c r="AD33" s="228" ph="1">
        <v>0</v>
      </c>
      <c r="AE33" s="229"/>
    </row>
    <row r="34" spans="1:31" ph="1">
      <c r="A34" s="53"/>
      <c r="B34" s="255" ph="1"/>
      <c r="C34" s="256" ph="1"/>
      <c r="D34" s="234" ph="1"/>
      <c r="E34" s="234" ph="1"/>
      <c r="F34" s="258" ph="1"/>
      <c r="G34" s="260" ph="1"/>
      <c r="H34" s="234" ph="1"/>
      <c r="I34" s="238" ph="1"/>
      <c r="J34" s="242" ph="1"/>
      <c r="K34" s="234" ph="1"/>
      <c r="L34" s="244" ph="1"/>
      <c r="M34" s="242" ph="1"/>
      <c r="N34" s="234" ph="1"/>
      <c r="O34" s="238" ph="1"/>
      <c r="P34" s="242" ph="1"/>
      <c r="Q34" s="234" ph="1"/>
      <c r="R34" s="238" ph="1"/>
      <c r="S34" s="242" ph="1"/>
      <c r="T34" s="234"/>
      <c r="U34" s="223"/>
      <c r="V34" s="236" ph="1"/>
      <c r="W34" s="236" ph="1"/>
      <c r="X34" s="238" ph="1"/>
      <c r="Y34" s="240" ph="1"/>
      <c r="Z34" s="221" ph="1"/>
      <c r="AA34" s="223" ph="1"/>
      <c r="AB34" s="225"/>
      <c r="AC34" s="227"/>
      <c r="AD34" s="230"/>
      <c r="AE34" s="231"/>
    </row>
    <row r="35" spans="1:31" ph="1">
      <c r="A35" s="53"/>
      <c r="AC35" s="232" t="s" ph="1">
        <v>52</v>
      </c>
      <c r="AD35" s="232"/>
      <c r="AE35" s="232"/>
    </row>
    <row r="36" spans="1:31" ht="28.2" ph="1">
      <c r="A36" s="53"/>
      <c r="B36" s="92" t="s" ph="1">
        <v>47</v>
      </c>
      <c r="I36" s="218" t="s" ph="1">
        <v>48</v>
      </c>
      <c r="J36" s="218" ph="1"/>
      <c r="K36" s="90" ph="1"/>
      <c r="P36" s="90" ph="1"/>
      <c r="R36" s="218" t="s" ph="1">
        <v>49</v>
      </c>
      <c r="S36" s="218" ph="1"/>
      <c r="Y36" s="91" ph="1"/>
      <c r="Z36" s="115" t="s" ph="1">
        <v>50</v>
      </c>
      <c r="AA36" s="115" ph="1"/>
      <c r="AB36" s="219" t="s" ph="1">
        <v>53</v>
      </c>
      <c r="AC36" s="219" ph="1"/>
      <c r="AD36" s="219" ph="1"/>
      <c r="AE36" s="219" ph="1"/>
    </row>
    <row r="37" spans="1:31" s="115"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Z22:AE22"/>
    <mergeCell ref="Z23:AE29"/>
    <mergeCell ref="B24:B26"/>
    <mergeCell ref="B27:B29"/>
    <mergeCell ref="B1:AE1"/>
    <mergeCell ref="B2:AE2"/>
    <mergeCell ref="B3:AE3"/>
    <mergeCell ref="B4:B5"/>
    <mergeCell ref="B6:B8"/>
    <mergeCell ref="B9:B11"/>
    <mergeCell ref="P31:R31"/>
    <mergeCell ref="B13:B14"/>
    <mergeCell ref="B15:B17"/>
    <mergeCell ref="B18:B20"/>
    <mergeCell ref="B22:B23"/>
    <mergeCell ref="B31:C32"/>
    <mergeCell ref="D31:F31"/>
    <mergeCell ref="G31:I31"/>
    <mergeCell ref="J31:L31"/>
    <mergeCell ref="M31:O31"/>
    <mergeCell ref="B33:C34"/>
    <mergeCell ref="D33:D34"/>
    <mergeCell ref="E33:E34"/>
    <mergeCell ref="F33:F34"/>
    <mergeCell ref="G33:G34"/>
    <mergeCell ref="S31:U31"/>
    <mergeCell ref="V31:X31"/>
    <mergeCell ref="Y31:AA31"/>
    <mergeCell ref="AB31:AE31"/>
    <mergeCell ref="AD32:AE32"/>
    <mergeCell ref="S33:S34"/>
    <mergeCell ref="H33:H34"/>
    <mergeCell ref="I33:I34"/>
    <mergeCell ref="J33:J34"/>
    <mergeCell ref="K33:K34"/>
    <mergeCell ref="L33:L34"/>
    <mergeCell ref="M33:M34"/>
    <mergeCell ref="N33:N34"/>
    <mergeCell ref="O33:O34"/>
    <mergeCell ref="P33:P34"/>
    <mergeCell ref="Q33:Q34"/>
    <mergeCell ref="R33:R34"/>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s>
  <phoneticPr fontId="2" type="noConversion"/>
  <conditionalFormatting sqref="D4 D6 D8:D9 D11">
    <cfRule type="expression" dxfId="2229" priority="118">
      <formula>ABS(D$7-D$10)&gt;=1000</formula>
    </cfRule>
  </conditionalFormatting>
  <conditionalFormatting sqref="E4 E6 E8:E9 E11 H7:L7 H10:L10">
    <cfRule type="expression" dxfId="2228" priority="117">
      <formula>ABS(E$7-E$10)&gt;=1000</formula>
    </cfRule>
  </conditionalFormatting>
  <conditionalFormatting sqref="F4 F6 F8:F9 F11">
    <cfRule type="expression" dxfId="2227" priority="116">
      <formula>ABS(F$7-F$10)&gt;=1000</formula>
    </cfRule>
  </conditionalFormatting>
  <conditionalFormatting sqref="G4 G6 G8:G9 G11">
    <cfRule type="expression" dxfId="2226" priority="115">
      <formula>ABS(G$7-G$10)&gt;=1000</formula>
    </cfRule>
  </conditionalFormatting>
  <conditionalFormatting sqref="H4:K4 H6 H8:H9 H11">
    <cfRule type="expression" dxfId="2225" priority="114">
      <formula>ABS(H$7-H$10)&gt;=1000</formula>
    </cfRule>
  </conditionalFormatting>
  <conditionalFormatting sqref="I8:I9 I11">
    <cfRule type="expression" dxfId="2224" priority="113">
      <formula>ABS(I$7-I$10)&gt;=1000</formula>
    </cfRule>
  </conditionalFormatting>
  <conditionalFormatting sqref="J6 J8:J9 J11">
    <cfRule type="expression" dxfId="2223" priority="112">
      <formula>ABS(J$7-J$10)&gt;=1000</formula>
    </cfRule>
  </conditionalFormatting>
  <conditionalFormatting sqref="K6 K8:K9 K11">
    <cfRule type="expression" dxfId="2222" priority="111">
      <formula>ABS(K$7-K$10)&gt;=1000</formula>
    </cfRule>
  </conditionalFormatting>
  <conditionalFormatting sqref="L4:L6 M4:N4 Q4:S4 L8:L9 L11">
    <cfRule type="expression" dxfId="2221" priority="110">
      <formula>ABS(L$7-L$10)&gt;=1000</formula>
    </cfRule>
  </conditionalFormatting>
  <conditionalFormatting sqref="M6:M11">
    <cfRule type="expression" dxfId="2220" priority="109">
      <formula>ABS(M$7-M$10)&gt;=1000</formula>
    </cfRule>
  </conditionalFormatting>
  <conditionalFormatting sqref="N6 N8:N9 N11">
    <cfRule type="expression" dxfId="2219" priority="108">
      <formula>ABS(N$7-N$10)&gt;=1000</formula>
    </cfRule>
  </conditionalFormatting>
  <conditionalFormatting sqref="Q5:Q11">
    <cfRule type="expression" dxfId="2218" priority="107">
      <formula>ABS(Q$7-Q$10)&gt;=1000</formula>
    </cfRule>
  </conditionalFormatting>
  <conditionalFormatting sqref="R5:R11">
    <cfRule type="expression" dxfId="2217" priority="106">
      <formula>ABS(R$7-R$10)&gt;=1000</formula>
    </cfRule>
  </conditionalFormatting>
  <conditionalFormatting sqref="S5:S11">
    <cfRule type="expression" dxfId="2216" priority="105">
      <formula>ABS(S$7-S$10)&gt;=1000</formula>
    </cfRule>
  </conditionalFormatting>
  <conditionalFormatting sqref="T4:T9 T11">
    <cfRule type="expression" dxfId="2215" priority="104">
      <formula>ABS(T$7-T$10)&gt;=1000</formula>
    </cfRule>
  </conditionalFormatting>
  <conditionalFormatting sqref="U4:U9 U11">
    <cfRule type="expression" dxfId="2214" priority="103">
      <formula>ABS(U$7-U$10)&gt;=1000</formula>
    </cfRule>
  </conditionalFormatting>
  <conditionalFormatting sqref="V4:V9 V11">
    <cfRule type="expression" dxfId="2213" priority="102">
      <formula>ABS(V$7-V$10)&gt;=1000</formula>
    </cfRule>
  </conditionalFormatting>
  <conditionalFormatting sqref="W4:W9 W11">
    <cfRule type="expression" dxfId="2212" priority="101">
      <formula>ABS(W$7-W$10)&gt;=1000</formula>
    </cfRule>
  </conditionalFormatting>
  <conditionalFormatting sqref="X4:X9 X11">
    <cfRule type="expression" dxfId="2211" priority="100">
      <formula>ABS(X$7-X$10)&gt;=1000</formula>
    </cfRule>
  </conditionalFormatting>
  <conditionalFormatting sqref="Y4:Y9 Y11">
    <cfRule type="expression" dxfId="2210" priority="99">
      <formula>ABS(Y$7-Y$10)&gt;=1000</formula>
    </cfRule>
  </conditionalFormatting>
  <conditionalFormatting sqref="Z4:Z11">
    <cfRule type="expression" dxfId="2209" priority="98">
      <formula>ABS(Z$7-Z$10)&gt;=1000</formula>
    </cfRule>
  </conditionalFormatting>
  <conditionalFormatting sqref="AA4:AA11">
    <cfRule type="expression" dxfId="2208" priority="97">
      <formula>ABS(AA$7-AA$10)&gt;=1000</formula>
    </cfRule>
  </conditionalFormatting>
  <conditionalFormatting sqref="AB4:AB11">
    <cfRule type="expression" dxfId="2207" priority="96">
      <formula>ABS(AB$7-AB$10)&gt;=1000</formula>
    </cfRule>
  </conditionalFormatting>
  <conditionalFormatting sqref="AC4 AC6:AC11">
    <cfRule type="expression" dxfId="2206" priority="95">
      <formula>ABS(AC$7-AC$10)&gt;=1000</formula>
    </cfRule>
  </conditionalFormatting>
  <conditionalFormatting sqref="AD4 AD6:AD11">
    <cfRule type="expression" dxfId="2205" priority="94">
      <formula>ABS(AD$7-AD$10)&gt;=1000</formula>
    </cfRule>
  </conditionalFormatting>
  <conditionalFormatting sqref="AE4 AE6:AE11">
    <cfRule type="expression" dxfId="2204" priority="93">
      <formula>ABS(AE$7-AE$10)&gt;=1000</formula>
    </cfRule>
  </conditionalFormatting>
  <conditionalFormatting sqref="D13:D20">
    <cfRule type="expression" dxfId="2203" priority="92">
      <formula>ABS(D$16-D$19)&gt;=1000</formula>
    </cfRule>
  </conditionalFormatting>
  <conditionalFormatting sqref="E13:E20">
    <cfRule type="expression" dxfId="2202" priority="91">
      <formula>ABS(E$16-E$19)&gt;=1000</formula>
    </cfRule>
  </conditionalFormatting>
  <conditionalFormatting sqref="F13 F15:F20">
    <cfRule type="expression" dxfId="2201" priority="90">
      <formula>ABS(F$16-F$19)&gt;=1000</formula>
    </cfRule>
  </conditionalFormatting>
  <conditionalFormatting sqref="G13:G20">
    <cfRule type="expression" dxfId="2200" priority="89">
      <formula>ABS(G$16-G$19)&gt;=1000</formula>
    </cfRule>
  </conditionalFormatting>
  <conditionalFormatting sqref="H13 H15:H20">
    <cfRule type="expression" dxfId="2199" priority="88">
      <formula>ABS(H$16-H$19)&gt;=1000</formula>
    </cfRule>
  </conditionalFormatting>
  <conditionalFormatting sqref="I13:I20">
    <cfRule type="expression" dxfId="2198" priority="87">
      <formula>ABS(I$16-I$19)&gt;=1000</formula>
    </cfRule>
  </conditionalFormatting>
  <conditionalFormatting sqref="J13:J20">
    <cfRule type="expression" dxfId="2197" priority="86">
      <formula>ABS(J$16-J$19)&gt;=1000</formula>
    </cfRule>
  </conditionalFormatting>
  <conditionalFormatting sqref="L13:L20">
    <cfRule type="expression" dxfId="2196" priority="85">
      <formula>ABS(L$16-L$19)&gt;=1000</formula>
    </cfRule>
  </conditionalFormatting>
  <conditionalFormatting sqref="M13 M15 M17:M18 M20">
    <cfRule type="expression" dxfId="2195" priority="84">
      <formula>ABS(M$16-M$19)&gt;=1000</formula>
    </cfRule>
  </conditionalFormatting>
  <conditionalFormatting sqref="N13:N20">
    <cfRule type="expression" dxfId="2194" priority="83">
      <formula>ABS(N$16-N$19)&gt;=1000</formula>
    </cfRule>
  </conditionalFormatting>
  <conditionalFormatting sqref="O13:O20">
    <cfRule type="expression" dxfId="2193" priority="82">
      <formula>ABS(O$16-O$19)&gt;=1000</formula>
    </cfRule>
  </conditionalFormatting>
  <conditionalFormatting sqref="P13:P20">
    <cfRule type="expression" dxfId="2192" priority="81">
      <formula>ABS(P$16-P$19)&gt;=1000</formula>
    </cfRule>
  </conditionalFormatting>
  <conditionalFormatting sqref="Q13 Q15:Q20">
    <cfRule type="expression" dxfId="2191" priority="80">
      <formula>ABS(Q$16-Q$19)&gt;=1000</formula>
    </cfRule>
  </conditionalFormatting>
  <conditionalFormatting sqref="R13:R20">
    <cfRule type="expression" dxfId="2190" priority="79">
      <formula>ABS(R$16-R$19)&gt;=1000</formula>
    </cfRule>
  </conditionalFormatting>
  <conditionalFormatting sqref="S13:S20">
    <cfRule type="expression" dxfId="2189" priority="78">
      <formula>ABS(S$16-S$19)&gt;=1000</formula>
    </cfRule>
  </conditionalFormatting>
  <conditionalFormatting sqref="T13:T20">
    <cfRule type="expression" dxfId="2188" priority="77">
      <formula>ABS(T$16-T$19)&gt;=1000</formula>
    </cfRule>
  </conditionalFormatting>
  <conditionalFormatting sqref="U13:U20">
    <cfRule type="expression" dxfId="2187" priority="76">
      <formula>ABS(U$16-U$19)&gt;=1000</formula>
    </cfRule>
  </conditionalFormatting>
  <conditionalFormatting sqref="V13:V20">
    <cfRule type="expression" dxfId="2186" priority="75">
      <formula>ABS(V$16-V$19)&gt;=1000</formula>
    </cfRule>
  </conditionalFormatting>
  <conditionalFormatting sqref="W13 W20 W15:W18">
    <cfRule type="expression" dxfId="2185" priority="74">
      <formula>ABS(W$16-W$19)&gt;=1000</formula>
    </cfRule>
  </conditionalFormatting>
  <conditionalFormatting sqref="X13 X15:X20 Y19">
    <cfRule type="expression" dxfId="2184" priority="73">
      <formula>ABS(X$16-X$19)&gt;=1000</formula>
    </cfRule>
  </conditionalFormatting>
  <conditionalFormatting sqref="Y13 Y15:Y18 Y20">
    <cfRule type="expression" dxfId="2183" priority="72">
      <formula>ABS(Y$16-Y$19)&gt;=1000</formula>
    </cfRule>
  </conditionalFormatting>
  <conditionalFormatting sqref="Z13:Z20">
    <cfRule type="expression" dxfId="2182" priority="71">
      <formula>ABS(Z$16-Z$19)&gt;=1000</formula>
    </cfRule>
  </conditionalFormatting>
  <conditionalFormatting sqref="AA13:AA20">
    <cfRule type="expression" dxfId="2181" priority="70">
      <formula>ABS(AA$16-AA$19)&gt;=1000</formula>
    </cfRule>
  </conditionalFormatting>
  <conditionalFormatting sqref="AB13 AB15:AB20">
    <cfRule type="expression" dxfId="2180" priority="69">
      <formula>ABS(AB$16-AB$19)&gt;=1000</formula>
    </cfRule>
  </conditionalFormatting>
  <conditionalFormatting sqref="AC13 AC15:AC20">
    <cfRule type="expression" dxfId="2179" priority="68">
      <formula>ABS(AC$16-AC$19)&gt;=1000</formula>
    </cfRule>
  </conditionalFormatting>
  <conditionalFormatting sqref="AD13:AD20">
    <cfRule type="expression" dxfId="2178" priority="67">
      <formula>ABS(AD$16-AD$19)&gt;=1000</formula>
    </cfRule>
  </conditionalFormatting>
  <conditionalFormatting sqref="AE13:AE20">
    <cfRule type="expression" dxfId="2177" priority="66">
      <formula>ABS(AE$16-AE$19)&gt;=1000</formula>
    </cfRule>
  </conditionalFormatting>
  <conditionalFormatting sqref="D22:D29">
    <cfRule type="expression" dxfId="2176" priority="65">
      <formula>ABS(D$25-D$28)&gt;=1000</formula>
    </cfRule>
  </conditionalFormatting>
  <conditionalFormatting sqref="E22:E29">
    <cfRule type="expression" dxfId="2175" priority="64">
      <formula>ABS(E$25-E$28)&gt;=1000</formula>
    </cfRule>
  </conditionalFormatting>
  <conditionalFormatting sqref="F22:F29">
    <cfRule type="expression" dxfId="2174" priority="63">
      <formula>ABS(F$25-F$28)&gt;=1000</formula>
    </cfRule>
  </conditionalFormatting>
  <conditionalFormatting sqref="G22:G29">
    <cfRule type="expression" dxfId="2173" priority="62">
      <formula>ABS(G$25-G$28)&gt;=1000</formula>
    </cfRule>
  </conditionalFormatting>
  <conditionalFormatting sqref="H22:H29">
    <cfRule type="expression" dxfId="2172" priority="61">
      <formula>ABS(H$25-H$28)&gt;=1000</formula>
    </cfRule>
  </conditionalFormatting>
  <conditionalFormatting sqref="I22 I24:I29">
    <cfRule type="expression" dxfId="2171" priority="60">
      <formula>ABS(I$25-I$28)&gt;=1000</formula>
    </cfRule>
  </conditionalFormatting>
  <conditionalFormatting sqref="J22:J29 K22">
    <cfRule type="expression" dxfId="2170" priority="59">
      <formula>ABS(J$25-J$28)&gt;=1000</formula>
    </cfRule>
  </conditionalFormatting>
  <conditionalFormatting sqref="K23:K29 L25 L28">
    <cfRule type="expression" dxfId="2169" priority="58">
      <formula>ABS(K$25-K$28)&gt;=1000</formula>
    </cfRule>
  </conditionalFormatting>
  <conditionalFormatting sqref="L22 L26:L27 L29 L24">
    <cfRule type="expression" dxfId="2168" priority="57">
      <formula>ABS(L$25-L$28)&gt;=1000</formula>
    </cfRule>
  </conditionalFormatting>
  <conditionalFormatting sqref="M22:M29">
    <cfRule type="expression" dxfId="2167" priority="56">
      <formula>ABS(M$25-M$28)&gt;=1000</formula>
    </cfRule>
  </conditionalFormatting>
  <conditionalFormatting sqref="N22:N29">
    <cfRule type="expression" dxfId="2166" priority="55">
      <formula>ABS(N$25-N$28)&gt;=1000</formula>
    </cfRule>
  </conditionalFormatting>
  <conditionalFormatting sqref="O22:O29">
    <cfRule type="expression" dxfId="2165" priority="54">
      <formula>ABS(O$25-O$28)&gt;=1000</formula>
    </cfRule>
  </conditionalFormatting>
  <conditionalFormatting sqref="P22:P29">
    <cfRule type="expression" dxfId="2164" priority="53">
      <formula>ABS(P$25-P$28)&gt;=1000</formula>
    </cfRule>
  </conditionalFormatting>
  <conditionalFormatting sqref="Q22:Q29">
    <cfRule type="expression" dxfId="2163" priority="52">
      <formula>ABS(Q$25-Q$28)&gt;=1000</formula>
    </cfRule>
  </conditionalFormatting>
  <conditionalFormatting sqref="R22:R29">
    <cfRule type="expression" dxfId="2162" priority="51">
      <formula>ABS(R$25-R$28)&gt;=1000</formula>
    </cfRule>
  </conditionalFormatting>
  <conditionalFormatting sqref="S22:S29">
    <cfRule type="expression" dxfId="2161" priority="50">
      <formula>ABS(S$25-S$28)&gt;=1000</formula>
    </cfRule>
  </conditionalFormatting>
  <conditionalFormatting sqref="T22:T29">
    <cfRule type="expression" dxfId="2160" priority="49">
      <formula>ABS(T$25-T$28)&gt;=1000</formula>
    </cfRule>
  </conditionalFormatting>
  <conditionalFormatting sqref="U22:U29">
    <cfRule type="expression" dxfId="2159" priority="48">
      <formula>ABS(U$25-U$28)&gt;=1000</formula>
    </cfRule>
  </conditionalFormatting>
  <conditionalFormatting sqref="V22:V29">
    <cfRule type="expression" dxfId="2158" priority="47">
      <formula>ABS(V$25-V$28)&gt;=1000</formula>
    </cfRule>
  </conditionalFormatting>
  <conditionalFormatting sqref="W22:W29">
    <cfRule type="expression" dxfId="2157" priority="46">
      <formula>ABS(W$25-W$28)&gt;=1000</formula>
    </cfRule>
  </conditionalFormatting>
  <conditionalFormatting sqref="X22:X29">
    <cfRule type="expression" dxfId="2156" priority="45">
      <formula>ABS(X$25-X$28)&gt;=1000</formula>
    </cfRule>
  </conditionalFormatting>
  <conditionalFormatting sqref="Y22:Y29">
    <cfRule type="expression" dxfId="2155" priority="44">
      <formula>ABS(Y$25-Y$28)&gt;=1000</formula>
    </cfRule>
  </conditionalFormatting>
  <conditionalFormatting sqref="I23">
    <cfRule type="expression" dxfId="2154" priority="43">
      <formula>ABS(I$25-I$28)&gt;=1000</formula>
    </cfRule>
  </conditionalFormatting>
  <conditionalFormatting sqref="Q14">
    <cfRule type="expression" dxfId="2153" priority="42">
      <formula>ABS(Q$16-Q$19)&gt;=1000</formula>
    </cfRule>
  </conditionalFormatting>
  <conditionalFormatting sqref="W14">
    <cfRule type="expression" dxfId="2152" priority="41">
      <formula>ABS(W$16-W$19)&gt;=1000</formula>
    </cfRule>
  </conditionalFormatting>
  <conditionalFormatting sqref="X14">
    <cfRule type="expression" dxfId="2151" priority="40">
      <formula>ABS(X$16-X$19)&gt;=1000</formula>
    </cfRule>
  </conditionalFormatting>
  <conditionalFormatting sqref="T10:Y10">
    <cfRule type="expression" dxfId="2150" priority="39">
      <formula>ABS(T$7-T$10)&gt;=1000</formula>
    </cfRule>
  </conditionalFormatting>
  <conditionalFormatting sqref="W19">
    <cfRule type="expression" dxfId="2149" priority="38">
      <formula>ABS(W$16-W$19)&gt;=1000</formula>
    </cfRule>
  </conditionalFormatting>
  <conditionalFormatting sqref="AC5">
    <cfRule type="expression" dxfId="2148" priority="37">
      <formula>ABS(AC$7-AC$10)&gt;=1000</formula>
    </cfRule>
  </conditionalFormatting>
  <conditionalFormatting sqref="M14">
    <cfRule type="expression" dxfId="2147" priority="36">
      <formula>ABS(M$16-M$19)&gt;=1000</formula>
    </cfRule>
  </conditionalFormatting>
  <conditionalFormatting sqref="M16">
    <cfRule type="expression" dxfId="2146" priority="35">
      <formula>ABS(M$16-M$19)&gt;=1000</formula>
    </cfRule>
  </conditionalFormatting>
  <conditionalFormatting sqref="M19">
    <cfRule type="expression" dxfId="2145" priority="34">
      <formula>ABS(M$16-M$19)&gt;=1000</formula>
    </cfRule>
  </conditionalFormatting>
  <conditionalFormatting sqref="K13:K20">
    <cfRule type="expression" dxfId="2144" priority="33">
      <formula>ABS(K$16-K$19)&gt;=1000</formula>
    </cfRule>
  </conditionalFormatting>
  <conditionalFormatting sqref="AB14:AC14">
    <cfRule type="expression" dxfId="2143" priority="32">
      <formula>ABS(AB$16-AB$19)&gt;=1000</formula>
    </cfRule>
  </conditionalFormatting>
  <conditionalFormatting sqref="M5">
    <cfRule type="expression" dxfId="2142" priority="31">
      <formula>ABS(M$7-M$10)&gt;=1000</formula>
    </cfRule>
  </conditionalFormatting>
  <conditionalFormatting sqref="N5">
    <cfRule type="expression" dxfId="2141" priority="30">
      <formula>ABS(N$7-N$10)&gt;=1000</formula>
    </cfRule>
  </conditionalFormatting>
  <conditionalFormatting sqref="L23">
    <cfRule type="expression" dxfId="2140" priority="29">
      <formula>ABS(L$25-L$28)&gt;=1000</formula>
    </cfRule>
  </conditionalFormatting>
  <conditionalFormatting sqref="Y14">
    <cfRule type="expression" dxfId="2139" priority="28">
      <formula>ABS(Y$16-Y$19)&gt;=1000</formula>
    </cfRule>
  </conditionalFormatting>
  <conditionalFormatting sqref="F14">
    <cfRule type="expression" dxfId="2138" priority="27">
      <formula>ABS(F$16-F$19)&gt;=1000</formula>
    </cfRule>
  </conditionalFormatting>
  <conditionalFormatting sqref="H14">
    <cfRule type="expression" dxfId="2137" priority="26">
      <formula>ABS(H$16-H$19)&gt;=1000</formula>
    </cfRule>
  </conditionalFormatting>
  <conditionalFormatting sqref="AD5">
    <cfRule type="expression" dxfId="2136" priority="25">
      <formula>ABS(AD$7-AD$10)&gt;=1000</formula>
    </cfRule>
  </conditionalFormatting>
  <conditionalFormatting sqref="AE5">
    <cfRule type="expression" dxfId="2135" priority="24">
      <formula>ABS(AE$7-AE$10)&gt;=1000</formula>
    </cfRule>
  </conditionalFormatting>
  <conditionalFormatting sqref="D5">
    <cfRule type="expression" dxfId="2134" priority="23">
      <formula>ABS(D$7-D$10)&gt;=1000</formula>
    </cfRule>
  </conditionalFormatting>
  <conditionalFormatting sqref="E5:G5">
    <cfRule type="expression" dxfId="2133" priority="22">
      <formula>ABS(E$7-E$10)&gt;=1000</formula>
    </cfRule>
  </conditionalFormatting>
  <conditionalFormatting sqref="H5:K5">
    <cfRule type="expression" dxfId="2132" priority="21">
      <formula>ABS(H$7-H$10)&gt;=1000</formula>
    </cfRule>
  </conditionalFormatting>
  <conditionalFormatting sqref="O4:P4">
    <cfRule type="expression" dxfId="2131" priority="20">
      <formula>ABS(O$7-O$10)&gt;=1000</formula>
    </cfRule>
  </conditionalFormatting>
  <conditionalFormatting sqref="O5:O6 O8:O9 O11">
    <cfRule type="expression" dxfId="2130" priority="19">
      <formula>ABS(O$7-O$10)&gt;=1000</formula>
    </cfRule>
  </conditionalFormatting>
  <conditionalFormatting sqref="P6 P8:P9 P11">
    <cfRule type="expression" dxfId="2129" priority="18">
      <formula>ABS(P$7-P$10)&gt;=1000</formula>
    </cfRule>
  </conditionalFormatting>
  <conditionalFormatting sqref="P5">
    <cfRule type="expression" dxfId="2128" priority="17">
      <formula>ABS(P$7-P$10)&gt;=1000</formula>
    </cfRule>
  </conditionalFormatting>
  <conditionalFormatting sqref="F7">
    <cfRule type="expression" dxfId="2127" priority="10">
      <formula>ABS(F$7-F$10)&gt;=1000</formula>
    </cfRule>
  </conditionalFormatting>
  <conditionalFormatting sqref="O7:P7">
    <cfRule type="expression" dxfId="2126" priority="16">
      <formula>ABS(O$7-O$10)&gt;=1000</formula>
    </cfRule>
  </conditionalFormatting>
  <conditionalFormatting sqref="N7">
    <cfRule type="expression" dxfId="2125" priority="14">
      <formula>ABS(N$7-N$10)&gt;=1000</formula>
    </cfRule>
  </conditionalFormatting>
  <conditionalFormatting sqref="N10">
    <cfRule type="expression" dxfId="2124" priority="13">
      <formula>ABS(N$7-N$10)&gt;=1000</formula>
    </cfRule>
  </conditionalFormatting>
  <conditionalFormatting sqref="D7">
    <cfRule type="expression" dxfId="2123" priority="12">
      <formula>ABS(D$7-D$10)&gt;=1000</formula>
    </cfRule>
  </conditionalFormatting>
  <conditionalFormatting sqref="D10">
    <cfRule type="expression" dxfId="2122" priority="8">
      <formula>ABS(D$7-D$10)&gt;=1000</formula>
    </cfRule>
  </conditionalFormatting>
  <conditionalFormatting sqref="E7">
    <cfRule type="expression" dxfId="2121" priority="11">
      <formula>ABS(E$7-E$10)&gt;=1000</formula>
    </cfRule>
  </conditionalFormatting>
  <conditionalFormatting sqref="G7">
    <cfRule type="expression" dxfId="2120" priority="9">
      <formula>ABS(G$7-G$10)&gt;=1000</formula>
    </cfRule>
  </conditionalFormatting>
  <conditionalFormatting sqref="E10">
    <cfRule type="expression" dxfId="2119" priority="7">
      <formula>ABS(E$7-E$10)&gt;=1000</formula>
    </cfRule>
  </conditionalFormatting>
  <conditionalFormatting sqref="F10">
    <cfRule type="expression" dxfId="2118" priority="6">
      <formula>ABS(F$7-F$10)&gt;=1000</formula>
    </cfRule>
  </conditionalFormatting>
  <conditionalFormatting sqref="G10">
    <cfRule type="expression" dxfId="2117" priority="5">
      <formula>ABS(G$7-G$10)&gt;=1000</formula>
    </cfRule>
  </conditionalFormatting>
  <conditionalFormatting sqref="I6">
    <cfRule type="expression" dxfId="2116" priority="3">
      <formula>ABS(I$7-I$10)&gt;=1000</formula>
    </cfRule>
  </conditionalFormatting>
  <conditionalFormatting sqref="O10">
    <cfRule type="expression" dxfId="2115" priority="2">
      <formula>ABS(O$7-O$10)&gt;=1000</formula>
    </cfRule>
  </conditionalFormatting>
  <conditionalFormatting sqref="P10">
    <cfRule type="expression" dxfId="2114" priority="1">
      <formula>ABS(P$7-P$10)&gt;=1000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92449"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18">
    <pageSetUpPr fitToPage="1"/>
  </sheetPr>
  <dimension ref="A1:BA223"/>
  <sheetViews>
    <sheetView view="pageBreakPreview" zoomScale="110" zoomScaleNormal="100" zoomScaleSheetLayoutView="110" workbookViewId="0">
      <selection activeCell="H10" sqref="H10"/>
    </sheetView>
  </sheetViews>
  <sheetFormatPr defaultColWidth="8.109375" defaultRowHeight="25.8"/>
  <cols>
    <col min="1" max="1" width="11.6640625" style="53" customWidth="1" phonetic="1"/>
    <col min="2" max="2" width="7.6640625" style="53" customWidth="1" phonetic="1"/>
    <col min="3" max="3" width="8" style="53" customWidth="1" phonetic="1"/>
    <col min="4"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c r="V1" s="285" ph="1"/>
      <c r="W1" s="285" ph="1"/>
      <c r="X1" s="285" ph="1"/>
      <c r="Y1" s="285" ph="1"/>
      <c r="Z1" s="285" ph="1"/>
      <c r="AA1" s="285" ph="1"/>
      <c r="AB1" s="285" ph="1"/>
      <c r="AC1" s="285" ph="1"/>
      <c r="AD1" s="285" ph="1"/>
      <c r="AE1" s="285" ph="1"/>
    </row>
    <row r="2" spans="1:53" s="55" customFormat="1" ht="24" customHeight="1" ph="1">
      <c r="B2" s="286" t="s" ph="1">
        <v>35</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c r="V2" s="286" ph="1"/>
      <c r="W2" s="286" ph="1"/>
      <c r="X2" s="286" ph="1"/>
      <c r="Y2" s="286" ph="1"/>
      <c r="Z2" s="286" ph="1"/>
      <c r="AA2" s="286" ph="1"/>
      <c r="AB2" s="286" ph="1"/>
      <c r="AC2" s="286" ph="1"/>
      <c r="AD2" s="286" ph="1"/>
      <c r="AE2" s="286" ph="1"/>
    </row>
    <row r="3" spans="1:53" ht="21" customHeight="1" ph="1">
      <c r="B3" s="287" ph="1">
        <v>46052</v>
      </c>
      <c r="C3" s="287"/>
      <c r="D3" s="287"/>
      <c r="E3" s="287"/>
      <c r="F3" s="287"/>
      <c r="G3" s="287"/>
      <c r="H3" s="287"/>
      <c r="I3" s="287"/>
      <c r="J3" s="287"/>
      <c r="K3" s="287"/>
      <c r="L3" s="287"/>
      <c r="M3" s="287"/>
      <c r="N3" s="287"/>
      <c r="O3" s="287"/>
      <c r="P3" s="287"/>
      <c r="Q3" s="287"/>
      <c r="R3" s="287"/>
      <c r="S3" s="287"/>
      <c r="T3" s="287"/>
      <c r="U3" s="287"/>
      <c r="V3" s="287"/>
      <c r="W3" s="287"/>
      <c r="X3" s="287"/>
      <c r="Y3" s="287"/>
      <c r="Z3" s="287"/>
      <c r="AA3" s="287"/>
      <c r="AB3" s="287"/>
      <c r="AC3" s="287"/>
      <c r="AD3" s="287"/>
      <c r="AE3" s="287"/>
    </row>
    <row r="4" spans="1:53" s="58" customFormat="1" ph="1">
      <c r="A4" s="54" ph="1"/>
      <c r="B4" s="266" t="s" ph="1">
        <v>25</v>
      </c>
      <c r="C4" s="56" t="s" ph="1">
        <v>41</v>
      </c>
      <c r="D4" s="57" t="s" ph="1">
        <v>29</v>
      </c>
      <c r="E4" s="57" t="s" ph="1">
        <v>30</v>
      </c>
      <c r="F4" s="57" t="s" ph="1">
        <v>27</v>
      </c>
      <c r="G4" s="57" t="s" ph="1">
        <v>54</v>
      </c>
      <c r="H4" s="57" t="s" ph="1">
        <v>55</v>
      </c>
      <c r="I4" s="57" t="s" ph="1">
        <v>56</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59" t="s" ph="1">
        <v>51</v>
      </c>
      <c r="O5" s="59" t="s" ph="1">
        <v>66</v>
      </c>
      <c r="P5" s="59"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84" ph="1">
        <v>0.33333333333333331</v>
      </c>
      <c r="C6" s="107" t="s" ph="1">
        <v>42</v>
      </c>
      <c r="D6" s="109">
        <v>1</v>
      </c>
      <c r="E6" s="109">
        <v>0.01</v>
      </c>
      <c r="F6" s="109">
        <v>0.01</v>
      </c>
      <c r="G6" s="109">
        <v>0.01</v>
      </c>
      <c r="H6" s="109">
        <v>0.09</v>
      </c>
      <c r="I6" s="109">
        <v>0</v>
      </c>
      <c r="J6" s="109">
        <v>0</v>
      </c>
      <c r="K6" s="109">
        <v>0</v>
      </c>
      <c r="L6" s="109">
        <v>0</v>
      </c>
      <c r="M6" s="109">
        <v>0</v>
      </c>
      <c r="N6" s="109">
        <v>0</v>
      </c>
      <c r="O6" s="109">
        <v>1</v>
      </c>
      <c r="P6" s="109">
        <v>5.5500000000000001E-2</v>
      </c>
      <c r="Q6" s="60"/>
      <c r="R6" s="60"/>
      <c r="S6" s="60"/>
      <c r="T6" s="60"/>
      <c r="U6" s="60"/>
      <c r="V6" s="60"/>
      <c r="W6" s="60"/>
      <c r="X6" s="60"/>
      <c r="Y6" s="60"/>
      <c r="Z6" s="60"/>
      <c r="AA6" s="60"/>
      <c r="AB6" s="60"/>
      <c r="AC6" s="60"/>
      <c r="AD6" s="60"/>
      <c r="AE6" s="60"/>
    </row>
    <row r="7" spans="1:53" s="61" customFormat="1" ht="22.2" ph="1">
      <c r="B7" s="284" ph="1"/>
      <c r="C7" s="57" t="s" ph="1">
        <v>43</v>
      </c>
      <c r="D7" s="62" ph="1">
        <f>((D6*5885)*4.4793)*LOOKUP(D8,密度!$A$2:$A$50,密度!$B$2:$B$50)</f>
        <v>20550.786517799999</v>
      </c>
      <c r="E7" s="62" ph="1">
        <f>((E6*5885)*4.4793)*LOOKUP(E8,密度!$A$2:$A$50,密度!$B$2:$B$50)</f>
        <v>207.511276896</v>
      </c>
      <c r="F7" s="62" ph="1">
        <f>((F6*5885)*4.4793)*LOOKUP(F8,密度!$A$2:$A$50,密度!$B$2:$B$50)</f>
        <v>207.511276896</v>
      </c>
      <c r="G7" s="62" ph="1">
        <f>((G6*5885)*4.4793)*LOOKUP(G8,密度!$A$2:$A$50,密度!$B$2:$B$50)</f>
        <v>207.511276896</v>
      </c>
      <c r="H7" s="62" ph="1">
        <f>IF(H6=0, 0, IF(H6*6.3&lt;=1.1, 13.823*(H6*6.3)^2-4.189*(H6*6.3)^3, 11.151+15.2058*(H6*6.3-1.1))) * LOOKUP(H8, 密度!$A$2:$A$50, 密度!$B$2:$B$50)*1000</f>
        <v>2903.4310097052476</v>
      </c>
      <c r="I7" s="62" ph="1">
        <f>((I6*6300)*18.322)*LOOKUP(I8,密度!$A$2:$A$50,密度!$B$2:$B$50)</f>
        <v>0</v>
      </c>
      <c r="J7" s="62" ph="1">
        <f>((J6*6300)*18.322)*LOOKUP(J8,密度!$A$2:$A$50,密度!$B$2:$B$50)</f>
        <v>0</v>
      </c>
      <c r="K7" s="62" ph="1">
        <f>((K6*6300)*18.322)*LOOKUP(K8,密度!$A$2:$A$50,密度!$B$2:$B$50)</f>
        <v>0</v>
      </c>
      <c r="L7" s="62" ph="1">
        <f>(L6*6650)*26.42*LOOKUP(L8,密度!$A$2:$A$50,密度!$B$2:$B$50)</f>
        <v>0</v>
      </c>
      <c r="M7" s="62" ph="1">
        <f>(M6*6650)*26.42*1</f>
        <v>0</v>
      </c>
      <c r="N7" s="62" ph="1">
        <f>(N6*5150)*18.32*LOOKUP(N8,密度!$A$2:$A$50,密度!$B$2:$B$50)</f>
        <v>0</v>
      </c>
      <c r="O7" s="62" ph="1">
        <f>(O6*12400)*81.71*LOOKUP(O8,密度!$A$2:$A$50,密度!$B$2:$B$50)</f>
        <v>789893.83839999989</v>
      </c>
      <c r="P7" s="62" ph="1">
        <f>(P6*12400)*81.71*LOOKUP(P8,密度!$A$2:$A$50,密度!$B$2:$B$50)</f>
        <v>44311.463736000005</v>
      </c>
      <c r="Q7" s="62" ph="1"/>
      <c r="R7" s="62" ph="1"/>
      <c r="S7" s="62" ph="1"/>
      <c r="T7" s="62" ph="1"/>
      <c r="U7" s="62" ph="1"/>
      <c r="V7" s="62" ph="1"/>
      <c r="W7" s="62" ph="1"/>
      <c r="X7" s="62" ph="1"/>
      <c r="Y7" s="62" ph="1"/>
      <c r="Z7" s="62" ph="1"/>
      <c r="AA7" s="62" ph="1"/>
      <c r="AB7" s="62" ph="1"/>
      <c r="AC7" s="62" ph="1"/>
      <c r="AD7" s="62" ph="1"/>
      <c r="AE7" s="62" ph="1"/>
    </row>
    <row r="8" spans="1:53" ph="1">
      <c r="B8" s="284" ph="1"/>
      <c r="C8" s="57" t="s" ph="1">
        <v>44</v>
      </c>
      <c r="D8" s="63">
        <v>25</v>
      </c>
      <c r="E8" s="63">
        <v>16</v>
      </c>
      <c r="F8" s="63">
        <v>16</v>
      </c>
      <c r="G8" s="63">
        <v>16</v>
      </c>
      <c r="H8" s="63">
        <v>14</v>
      </c>
      <c r="I8" s="63">
        <v>25</v>
      </c>
      <c r="J8" s="63">
        <v>25</v>
      </c>
      <c r="K8" s="63">
        <v>25</v>
      </c>
      <c r="L8" s="63">
        <v>25</v>
      </c>
      <c r="M8" s="63">
        <v>16</v>
      </c>
      <c r="N8" s="63">
        <v>18</v>
      </c>
      <c r="O8" s="63">
        <v>25</v>
      </c>
      <c r="P8" s="63">
        <v>15</v>
      </c>
      <c r="Q8" s="63"/>
      <c r="R8" s="63"/>
      <c r="S8" s="63"/>
      <c r="T8" s="63"/>
      <c r="U8" s="63"/>
      <c r="V8" s="63"/>
      <c r="W8" s="63"/>
      <c r="X8" s="63"/>
      <c r="Y8" s="63"/>
      <c r="Z8" s="63"/>
      <c r="AA8" s="63"/>
      <c r="AB8" s="63"/>
      <c r="AC8" s="63"/>
      <c r="AD8" s="63"/>
      <c r="AE8" s="63"/>
    </row>
    <row r="9" spans="1:53" ht="26.4" ph="1">
      <c r="B9" s="284" ph="1">
        <v>0.66666666666666663</v>
      </c>
      <c r="C9" s="107" t="s" ph="1">
        <v>45</v>
      </c>
      <c r="D9" s="109">
        <v>0.1</v>
      </c>
      <c r="E9" s="109">
        <v>0.05</v>
      </c>
      <c r="F9" s="109">
        <v>0.05</v>
      </c>
      <c r="G9" s="109">
        <v>0.05</v>
      </c>
      <c r="H9" s="109">
        <v>0</v>
      </c>
      <c r="I9" s="109">
        <v>0</v>
      </c>
      <c r="J9" s="109">
        <v>0</v>
      </c>
      <c r="K9" s="109">
        <v>0</v>
      </c>
      <c r="L9" s="109">
        <v>0</v>
      </c>
      <c r="M9" s="109">
        <v>0</v>
      </c>
      <c r="N9" s="109">
        <v>0</v>
      </c>
      <c r="O9" s="109">
        <v>2.2200000000000001E-2</v>
      </c>
      <c r="P9" s="109">
        <v>0.05</v>
      </c>
      <c r="Q9" s="60"/>
      <c r="R9" s="60"/>
      <c r="S9" s="60"/>
      <c r="T9" s="60"/>
      <c r="U9" s="60"/>
      <c r="V9" s="60"/>
      <c r="W9" s="60"/>
      <c r="X9" s="60"/>
      <c r="Y9" s="60"/>
      <c r="Z9" s="60"/>
      <c r="AA9" s="60"/>
      <c r="AB9" s="60"/>
      <c r="AC9" s="60"/>
      <c r="AD9" s="60"/>
      <c r="AE9" s="60"/>
    </row>
    <row r="10" spans="1:53" s="61" customFormat="1" ht="22.2" ph="1">
      <c r="B10" s="284" ph="1"/>
      <c r="C10" s="107" t="s" ph="1">
        <v>43</v>
      </c>
      <c r="D10" s="62" ph="1">
        <f>((D9*5885)*4.4793)*LOOKUP(D11,密度!$A$2:$A$50,密度!$B$2:$B$50)</f>
        <v>2064.5684967600005</v>
      </c>
      <c r="E10" s="62" ph="1">
        <f>((E9*5885)*4.4793)*LOOKUP(E11,密度!$A$2:$A$50,密度!$B$2:$B$50)</f>
        <v>1035.5793334425</v>
      </c>
      <c r="F10" s="62" ph="1">
        <f>((F9*5885)*4.4793)*LOOKUP(F11,密度!$A$2:$A$50,密度!$B$2:$B$50)</f>
        <v>1035.5793334425</v>
      </c>
      <c r="G10" s="62" ph="1">
        <f>((G9*5885)*4.4793)*LOOKUP(G11,密度!$A$2:$A$50,密度!$B$2:$B$50)</f>
        <v>1035.5793334425</v>
      </c>
      <c r="H10" s="62" ph="1">
        <f>((H9*6300)*18.322)*LOOKUP(H11,密度!$A$2:$A$50,密度!$B$2:$B$50)</f>
        <v>0</v>
      </c>
      <c r="I10" s="62" ph="1">
        <f>((I9*6300)*18.322)*LOOKUP(I11,密度!$A$2:$A$50,密度!$B$2:$B$50)</f>
        <v>0</v>
      </c>
      <c r="J10" s="62" ph="1">
        <f>((J9*6300)*18.322)*LOOKUP(J11,密度!$A$2:$A$50,密度!$B$2:$B$50)</f>
        <v>0</v>
      </c>
      <c r="K10" s="62" ph="1">
        <f>((K9*6300)*18.322)*LOOKUP(K11,密度!$A$2:$A$50,密度!$B$2:$B$50)</f>
        <v>0</v>
      </c>
      <c r="L10" s="62" ph="1">
        <f>(L9*6650)*26.42*LOOKUP(L11,密度!$A$2:$A$50,密度!$B$2:$B$50)</f>
        <v>0</v>
      </c>
      <c r="M10" s="62" ph="1">
        <f>(M9*6650)*26.42*1</f>
        <v>0</v>
      </c>
      <c r="N10" s="62" ph="1">
        <f>N9*18.32*LOOKUP(N11,密度!$A$2:$A$50,密度!$B$2:$B$50)</f>
        <v>0</v>
      </c>
      <c r="O10" s="62" ph="1">
        <f>(O9*12400)*81.71*LOOKUP(O11,密度!$A$2:$A$50,密度!$B$2:$B$50)</f>
        <v>17535.643212480001</v>
      </c>
      <c r="P10" s="62" ph="1">
        <f>(P9*12400)*81.71*LOOKUP(P11,密度!$A$2:$A$50,密度!$B$2:$B$50)</f>
        <v>39879.709439999999</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84" ph="1"/>
      <c r="C11" s="107" t="s" ph="1">
        <v>44</v>
      </c>
      <c r="D11" s="63">
        <v>21</v>
      </c>
      <c r="E11" s="63">
        <v>18</v>
      </c>
      <c r="F11" s="63">
        <v>18</v>
      </c>
      <c r="G11" s="63">
        <v>18</v>
      </c>
      <c r="H11" s="63">
        <v>25</v>
      </c>
      <c r="I11" s="63">
        <v>25</v>
      </c>
      <c r="J11" s="63">
        <v>25</v>
      </c>
      <c r="K11" s="63">
        <v>25</v>
      </c>
      <c r="L11" s="63">
        <v>25</v>
      </c>
      <c r="M11" s="63">
        <v>19</v>
      </c>
      <c r="N11" s="63">
        <v>19</v>
      </c>
      <c r="O11" s="63">
        <v>25</v>
      </c>
      <c r="P11" s="63">
        <v>16</v>
      </c>
      <c r="Q11" s="63"/>
      <c r="R11" s="63"/>
      <c r="S11" s="63"/>
      <c r="T11" s="63"/>
      <c r="U11" s="63"/>
      <c r="V11" s="63"/>
      <c r="W11" s="63"/>
      <c r="X11" s="63"/>
      <c r="Y11" s="63"/>
      <c r="Z11" s="63"/>
      <c r="AA11" s="63"/>
      <c r="AB11" s="63"/>
      <c r="AC11" s="63"/>
      <c r="AD11" s="63"/>
      <c r="AE11" s="63"/>
    </row>
    <row r="12" spans="1:53" ht="9.9" customHeight="1" ph="1"/>
    <row r="13" spans="1:53" s="61" customFormat="1" ht="29.25" customHeight="1" ph="1">
      <c r="B13" s="261" t="s" ph="1">
        <v>25</v>
      </c>
      <c r="C13" s="107" t="s" ph="1">
        <v>41</v>
      </c>
      <c r="D13" s="65" ph="1"/>
      <c r="E13" s="65" ph="1"/>
      <c r="F13" s="65" ph="1"/>
      <c r="G13" s="65" ph="1"/>
      <c r="H13" s="65" ph="1"/>
      <c r="I13" s="65" ph="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62"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ph="1">
      <c r="B15" s="263" ph="1">
        <v>0.33333333333333331</v>
      </c>
      <c r="C15" s="107" t="s" ph="1">
        <v>42</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2.2" ph="1">
      <c r="B16" s="264" ph="1"/>
      <c r="C16" s="107"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62" ph="1"/>
      <c r="X16" s="62" ph="1"/>
      <c r="Y16" s="96" ph="1"/>
      <c r="Z16" s="62" ph="1"/>
      <c r="AA16" s="62" ph="1"/>
      <c r="AB16" s="62" ph="1"/>
      <c r="AC16" s="62" ph="1"/>
      <c r="AD16" s="62" ph="1"/>
      <c r="AE16" s="62" ph="1"/>
    </row>
    <row r="17" spans="1:32" ph="1">
      <c r="A17" s="53" t="s" ph="1">
        <v>33</v>
      </c>
      <c r="B17" s="265" ph="1"/>
      <c r="C17" s="68" t="s" ph="1">
        <v>44</v>
      </c>
      <c r="D17" s="63"/>
      <c r="E17" s="63"/>
      <c r="F17" s="63"/>
      <c r="G17" s="63"/>
      <c r="H17" s="63"/>
      <c r="I17" s="63"/>
      <c r="J17" s="63"/>
      <c r="K17" s="63"/>
      <c r="L17" s="63"/>
      <c r="M17" s="63"/>
      <c r="N17" s="63"/>
      <c r="O17" s="63"/>
      <c r="P17" s="63"/>
      <c r="Q17" s="63"/>
      <c r="R17" s="63"/>
      <c r="S17" s="63"/>
      <c r="T17" s="63"/>
      <c r="U17" s="63"/>
      <c r="V17" s="63"/>
      <c r="W17" s="63"/>
      <c r="X17" s="63"/>
      <c r="Y17" s="97"/>
      <c r="Z17" s="63"/>
      <c r="AA17" s="63"/>
      <c r="AB17" s="63"/>
      <c r="AC17" s="63"/>
      <c r="AD17" s="63"/>
      <c r="AE17" s="63"/>
    </row>
    <row r="18" spans="1:32" ht="26.4" ph="1">
      <c r="B18" s="263"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64" ph="1"/>
      <c r="C19" s="107"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64"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62"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72" t="s" ph="1">
        <v>31</v>
      </c>
      <c r="AA22" s="273"/>
      <c r="AB22" s="273"/>
      <c r="AC22" s="273"/>
      <c r="AD22" s="273"/>
      <c r="AE22" s="274"/>
    </row>
    <row r="23" spans="1:32" ph="1">
      <c r="A23" s="61" ph="1"/>
      <c r="B23" s="266"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75" t="s" ph="1">
        <v>67</v>
      </c>
      <c r="AA23" s="276"/>
      <c r="AB23" s="276"/>
      <c r="AC23" s="276"/>
      <c r="AD23" s="276"/>
      <c r="AE23" s="277"/>
    </row>
    <row r="24" spans="1:32" ph="1">
      <c r="A24" s="61" ph="1"/>
      <c r="B24" s="284" ph="1">
        <v>0.33333333333333331</v>
      </c>
      <c r="C24" s="107" t="s" ph="1">
        <v>42</v>
      </c>
      <c r="D24" s="60"/>
      <c r="E24" s="60"/>
      <c r="F24" s="60"/>
      <c r="G24" s="60"/>
      <c r="H24" s="60"/>
      <c r="I24" s="60"/>
      <c r="J24" s="60"/>
      <c r="K24" s="60"/>
      <c r="L24" s="60"/>
      <c r="M24" s="60"/>
      <c r="N24" s="60"/>
      <c r="O24" s="60"/>
      <c r="P24" s="60"/>
      <c r="Q24" s="79"/>
      <c r="R24" s="60"/>
      <c r="S24" s="60"/>
      <c r="T24" s="60"/>
      <c r="U24" s="60"/>
      <c r="V24" s="60"/>
      <c r="W24" s="60"/>
      <c r="X24" s="60"/>
      <c r="Y24" s="60"/>
      <c r="Z24" s="278"/>
      <c r="AA24" s="279"/>
      <c r="AB24" s="279"/>
      <c r="AC24" s="279"/>
      <c r="AD24" s="279"/>
      <c r="AE24" s="280"/>
    </row>
    <row r="25" spans="1:32" ph="1">
      <c r="A25" s="61" ph="1"/>
      <c r="B25" s="284"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78"/>
      <c r="AA25" s="279"/>
      <c r="AB25" s="279"/>
      <c r="AC25" s="279"/>
      <c r="AD25" s="279"/>
      <c r="AE25" s="280"/>
    </row>
    <row r="26" spans="1:32" ph="1">
      <c r="A26" s="61" ph="1"/>
      <c r="B26" s="284"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78"/>
      <c r="AA26" s="279"/>
      <c r="AB26" s="279"/>
      <c r="AC26" s="279"/>
      <c r="AD26" s="279"/>
      <c r="AE26" s="280"/>
    </row>
    <row r="27" spans="1:32" ht="26.4" ph="1">
      <c r="A27" s="61" ph="1"/>
      <c r="B27" s="284" ph="1">
        <v>0.66666666666666663</v>
      </c>
      <c r="C27" s="107" t="s" ph="1">
        <v>45</v>
      </c>
      <c r="D27" s="60"/>
      <c r="E27" s="60"/>
      <c r="F27" s="60"/>
      <c r="G27" s="60"/>
      <c r="H27" s="60"/>
      <c r="I27" s="60"/>
      <c r="J27" s="60"/>
      <c r="K27" s="60"/>
      <c r="L27" s="60"/>
      <c r="M27" s="60"/>
      <c r="N27" s="60"/>
      <c r="O27" s="60"/>
      <c r="P27" s="60"/>
      <c r="Q27" s="79"/>
      <c r="R27" s="60"/>
      <c r="S27" s="60"/>
      <c r="T27" s="60"/>
      <c r="U27" s="60"/>
      <c r="V27" s="60"/>
      <c r="W27" s="60"/>
      <c r="X27" s="60"/>
      <c r="Y27" s="60"/>
      <c r="Z27" s="278"/>
      <c r="AA27" s="279"/>
      <c r="AB27" s="279"/>
      <c r="AC27" s="279"/>
      <c r="AD27" s="279"/>
      <c r="AE27" s="280"/>
    </row>
    <row r="28" spans="1:32" ph="1">
      <c r="A28" s="61" ph="1"/>
      <c r="B28" s="284" ph="1"/>
      <c r="C28" s="107"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78"/>
      <c r="AA28" s="279"/>
      <c r="AB28" s="279"/>
      <c r="AC28" s="279"/>
      <c r="AD28" s="279"/>
      <c r="AE28" s="280"/>
    </row>
    <row r="29" spans="1:32" ph="1">
      <c r="A29" s="61" ph="1"/>
      <c r="B29" s="284" ph="1"/>
      <c r="C29" s="107" t="s" ph="1">
        <v>44</v>
      </c>
      <c r="D29" s="63"/>
      <c r="E29" s="63"/>
      <c r="F29" s="63"/>
      <c r="G29" s="63"/>
      <c r="H29" s="63"/>
      <c r="I29" s="63"/>
      <c r="J29" s="63"/>
      <c r="K29" s="63"/>
      <c r="L29" s="63"/>
      <c r="M29" s="63"/>
      <c r="N29" s="63"/>
      <c r="O29" s="63"/>
      <c r="P29" s="63"/>
      <c r="Q29" s="82"/>
      <c r="R29" s="63"/>
      <c r="S29" s="63"/>
      <c r="T29" s="63"/>
      <c r="U29" s="63"/>
      <c r="V29" s="63"/>
      <c r="W29" s="63"/>
      <c r="X29" s="63"/>
      <c r="Y29" s="63"/>
      <c r="Z29" s="281"/>
      <c r="AA29" s="282"/>
      <c r="AB29" s="282"/>
      <c r="AC29" s="282"/>
      <c r="AD29" s="282"/>
      <c r="AE29" s="283"/>
    </row>
    <row r="30" spans="1:32" ph="1">
      <c r="D30" s="83" ph="1"/>
      <c r="Z30" s="53" t="s" ph="1">
        <v>23</v>
      </c>
      <c r="AE30" s="84" ph="1"/>
    </row>
    <row r="31" spans="1:32" ht="28.2" ph="1">
      <c r="A31" s="53"/>
      <c r="B31" s="267" t="s" ph="1">
        <v>23</v>
      </c>
      <c r="C31" s="268" ph="1"/>
      <c r="D31" s="245" t="s" ph="1">
        <v>3</v>
      </c>
      <c r="E31" s="246" ph="1"/>
      <c r="F31" s="247" ph="1"/>
      <c r="G31" s="271" ph="1"/>
      <c r="H31" s="246" ph="1"/>
      <c r="I31" s="247" ph="1"/>
      <c r="J31" s="245" ph="1"/>
      <c r="K31" s="246" ph="1"/>
      <c r="L31" s="247" ph="1"/>
      <c r="M31" s="245" ph="1"/>
      <c r="N31" s="246" ph="1"/>
      <c r="O31" s="247" ph="1"/>
      <c r="P31" s="245" ph="1"/>
      <c r="Q31" s="246"/>
      <c r="R31" s="247"/>
      <c r="S31" s="245" ph="1"/>
      <c r="T31" s="246"/>
      <c r="U31" s="247"/>
      <c r="V31" s="245" ph="1"/>
      <c r="W31" s="246" ph="1"/>
      <c r="X31" s="247" ph="1"/>
      <c r="Y31" s="245" ph="1"/>
      <c r="Z31" s="246" ph="1"/>
      <c r="AA31" s="247" ph="1"/>
      <c r="AB31" s="248"/>
      <c r="AC31" s="249"/>
      <c r="AD31" s="249"/>
      <c r="AE31" s="250"/>
    </row>
    <row r="32" spans="1:32" ph="1">
      <c r="A32" s="53"/>
      <c r="B32" s="269" ph="1"/>
      <c r="C32" s="270" ph="1"/>
      <c r="D32" s="85" t="s" ph="1">
        <v>0</v>
      </c>
      <c r="E32" s="107" t="s" ph="1">
        <v>1</v>
      </c>
      <c r="F32" s="106" t="s" ph="1">
        <v>28</v>
      </c>
      <c r="G32" s="86" t="s" ph="1">
        <v>0</v>
      </c>
      <c r="H32" s="107" t="s" ph="1">
        <v>1</v>
      </c>
      <c r="I32" s="106" t="s" ph="1">
        <v>28</v>
      </c>
      <c r="J32" s="86" t="s" ph="1">
        <v>0</v>
      </c>
      <c r="K32" s="107" t="s" ph="1">
        <v>1</v>
      </c>
      <c r="L32" s="106" t="s" ph="1">
        <v>28</v>
      </c>
      <c r="M32" s="86" t="s" ph="1">
        <v>0</v>
      </c>
      <c r="N32" s="107" t="s" ph="1">
        <v>1</v>
      </c>
      <c r="O32" s="106" t="s" ph="1">
        <v>28</v>
      </c>
      <c r="P32" s="86" t="s" ph="1">
        <v>0</v>
      </c>
      <c r="Q32" s="87" t="s" ph="1">
        <v>1</v>
      </c>
      <c r="R32" s="88" t="s" ph="1">
        <v>28</v>
      </c>
      <c r="S32" s="86" t="s" ph="1">
        <v>0</v>
      </c>
      <c r="T32" s="107" t="s" ph="1">
        <v>1</v>
      </c>
      <c r="U32" s="88" t="s" ph="1">
        <v>28</v>
      </c>
      <c r="V32" s="86" t="s" ph="1">
        <v>0</v>
      </c>
      <c r="W32" s="107" t="s" ph="1">
        <v>1</v>
      </c>
      <c r="X32" s="88" t="s" ph="1">
        <v>28</v>
      </c>
      <c r="Y32" s="89" t="s" ph="1">
        <v>0</v>
      </c>
      <c r="Z32" s="107" t="s" ph="1">
        <v>1</v>
      </c>
      <c r="AA32" s="106" t="s" ph="1">
        <v>28</v>
      </c>
      <c r="AB32" s="86" t="s" ph="1">
        <v>38</v>
      </c>
      <c r="AC32" s="107" t="s" ph="1">
        <v>37</v>
      </c>
      <c r="AD32" s="251" t="s" ph="1">
        <v>36</v>
      </c>
      <c r="AE32" s="252"/>
    </row>
    <row r="33" spans="1:31" ph="1">
      <c r="A33" s="53"/>
      <c r="B33" s="253" t="s" ph="1">
        <v>46</v>
      </c>
      <c r="C33" s="254" ph="1"/>
      <c r="D33" s="233" ph="1">
        <f>O10+P10</f>
        <v>57415.352652479996</v>
      </c>
      <c r="E33" s="233" ph="1">
        <f>H10+I10+J10+K10</f>
        <v>0</v>
      </c>
      <c r="F33" s="257" ph="1">
        <f>L10+N10</f>
        <v>0</v>
      </c>
      <c r="G33" s="259" ph="1">
        <v>0</v>
      </c>
      <c r="H33" s="233" ph="1">
        <v>0</v>
      </c>
      <c r="I33" s="237" ph="1">
        <v>0</v>
      </c>
      <c r="J33" s="241" ph="1">
        <v>0</v>
      </c>
      <c r="K33" s="233" ph="1">
        <v>0</v>
      </c>
      <c r="L33" s="243" ph="1">
        <v>0</v>
      </c>
      <c r="M33" s="241" ph="1">
        <v>0</v>
      </c>
      <c r="N33" s="233" ph="1">
        <v>0</v>
      </c>
      <c r="O33" s="237" ph="1">
        <f>G19</f>
        <v>0</v>
      </c>
      <c r="P33" s="241" ph="1">
        <v>0</v>
      </c>
      <c r="Q33" s="233" ph="1">
        <v>0</v>
      </c>
      <c r="R33" s="237" ph="1">
        <v>0</v>
      </c>
      <c r="S33" s="241" ph="1">
        <v>0</v>
      </c>
      <c r="T33" s="233" ph="1">
        <v>0</v>
      </c>
      <c r="U33" s="222" ph="1">
        <v>0</v>
      </c>
      <c r="V33" s="235" ph="1">
        <v>0</v>
      </c>
      <c r="W33" s="235" ph="1">
        <v>0</v>
      </c>
      <c r="X33" s="237" ph="1">
        <v>0</v>
      </c>
      <c r="Y33" s="239" ph="1">
        <v>0</v>
      </c>
      <c r="Z33" s="220" ph="1">
        <v>0</v>
      </c>
      <c r="AA33" s="222" ph="1">
        <v>0</v>
      </c>
      <c r="AB33" s="224" ph="1">
        <v>0</v>
      </c>
      <c r="AC33" s="226" ph="1">
        <v>0</v>
      </c>
      <c r="AD33" s="228" ph="1">
        <v>0</v>
      </c>
      <c r="AE33" s="229"/>
    </row>
    <row r="34" spans="1:31" ph="1">
      <c r="A34" s="53"/>
      <c r="B34" s="255" ph="1"/>
      <c r="C34" s="256" ph="1"/>
      <c r="D34" s="234" ph="1"/>
      <c r="E34" s="234" ph="1"/>
      <c r="F34" s="258" ph="1"/>
      <c r="G34" s="260" ph="1"/>
      <c r="H34" s="234" ph="1"/>
      <c r="I34" s="238" ph="1"/>
      <c r="J34" s="242" ph="1"/>
      <c r="K34" s="234" ph="1"/>
      <c r="L34" s="244" ph="1"/>
      <c r="M34" s="242" ph="1"/>
      <c r="N34" s="234" ph="1"/>
      <c r="O34" s="238" ph="1"/>
      <c r="P34" s="242" ph="1"/>
      <c r="Q34" s="234" ph="1"/>
      <c r="R34" s="238" ph="1"/>
      <c r="S34" s="242" ph="1"/>
      <c r="T34" s="234"/>
      <c r="U34" s="223"/>
      <c r="V34" s="236" ph="1"/>
      <c r="W34" s="236" ph="1"/>
      <c r="X34" s="238" ph="1"/>
      <c r="Y34" s="240" ph="1"/>
      <c r="Z34" s="221" ph="1"/>
      <c r="AA34" s="223" ph="1"/>
      <c r="AB34" s="225"/>
      <c r="AC34" s="227"/>
      <c r="AD34" s="230"/>
      <c r="AE34" s="231"/>
    </row>
    <row r="35" spans="1:31" ph="1">
      <c r="A35" s="53"/>
      <c r="AC35" s="232" t="s" ph="1">
        <v>52</v>
      </c>
      <c r="AD35" s="232"/>
      <c r="AE35" s="232"/>
    </row>
    <row r="36" spans="1:31" ht="28.2" ph="1">
      <c r="A36" s="53"/>
      <c r="B36" s="92" t="s" ph="1">
        <v>47</v>
      </c>
      <c r="I36" s="218" t="s" ph="1">
        <v>48</v>
      </c>
      <c r="J36" s="218" ph="1"/>
      <c r="K36" s="90" ph="1"/>
      <c r="P36" s="90" ph="1"/>
      <c r="R36" s="218" t="s" ph="1">
        <v>49</v>
      </c>
      <c r="S36" s="218" ph="1"/>
      <c r="Y36" s="91" ph="1"/>
      <c r="Z36" s="105" t="s" ph="1">
        <v>50</v>
      </c>
      <c r="AA36" s="105" ph="1"/>
      <c r="AB36" s="219" t="s" ph="1">
        <v>53</v>
      </c>
      <c r="AC36" s="219" ph="1"/>
      <c r="AD36" s="219" ph="1"/>
      <c r="AE36" s="219" ph="1"/>
    </row>
    <row r="37" spans="1:31" s="105"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Z22:AE22"/>
    <mergeCell ref="Z23:AE29"/>
    <mergeCell ref="B24:B26"/>
    <mergeCell ref="B27:B29"/>
    <mergeCell ref="B1:AE1"/>
    <mergeCell ref="B2:AE2"/>
    <mergeCell ref="B3:AE3"/>
    <mergeCell ref="B4:B5"/>
    <mergeCell ref="B6:B8"/>
    <mergeCell ref="B9:B11"/>
    <mergeCell ref="P31:R31"/>
    <mergeCell ref="B13:B14"/>
    <mergeCell ref="B15:B17"/>
    <mergeCell ref="B18:B20"/>
    <mergeCell ref="B22:B23"/>
    <mergeCell ref="B31:C32"/>
    <mergeCell ref="D31:F31"/>
    <mergeCell ref="G31:I31"/>
    <mergeCell ref="J31:L31"/>
    <mergeCell ref="M31:O31"/>
    <mergeCell ref="B33:C34"/>
    <mergeCell ref="D33:D34"/>
    <mergeCell ref="E33:E34"/>
    <mergeCell ref="F33:F34"/>
    <mergeCell ref="G33:G34"/>
    <mergeCell ref="S31:U31"/>
    <mergeCell ref="V31:X31"/>
    <mergeCell ref="Y31:AA31"/>
    <mergeCell ref="AB31:AE31"/>
    <mergeCell ref="AD32:AE32"/>
    <mergeCell ref="S33:S34"/>
    <mergeCell ref="H33:H34"/>
    <mergeCell ref="I33:I34"/>
    <mergeCell ref="J33:J34"/>
    <mergeCell ref="K33:K34"/>
    <mergeCell ref="L33:L34"/>
    <mergeCell ref="M33:M34"/>
    <mergeCell ref="N33:N34"/>
    <mergeCell ref="O33:O34"/>
    <mergeCell ref="P33:P34"/>
    <mergeCell ref="Q33:Q34"/>
    <mergeCell ref="R33:R34"/>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s>
  <phoneticPr fontId="2" type="noConversion"/>
  <conditionalFormatting sqref="D4 D6 D8:D9 D11">
    <cfRule type="expression" dxfId="2113" priority="140">
      <formula>ABS(D$7-D$10)&gt;=1000</formula>
    </cfRule>
  </conditionalFormatting>
  <conditionalFormatting sqref="E4 E6 E8:E9 E11 H7:L7 H10:L10">
    <cfRule type="expression" dxfId="2112" priority="139">
      <formula>ABS(E$7-E$10)&gt;=1000</formula>
    </cfRule>
  </conditionalFormatting>
  <conditionalFormatting sqref="F4 F6 F8:F9 F11">
    <cfRule type="expression" dxfId="2111" priority="138">
      <formula>ABS(F$7-F$10)&gt;=1000</formula>
    </cfRule>
  </conditionalFormatting>
  <conditionalFormatting sqref="G4 G6 G8:G9 G11">
    <cfRule type="expression" dxfId="2110" priority="137">
      <formula>ABS(G$7-G$10)&gt;=1000</formula>
    </cfRule>
  </conditionalFormatting>
  <conditionalFormatting sqref="H4:K4 H6 H8:H9 H11">
    <cfRule type="expression" dxfId="2109" priority="136">
      <formula>ABS(H$7-H$10)&gt;=1000</formula>
    </cfRule>
  </conditionalFormatting>
  <conditionalFormatting sqref="I6 I8:I9 I11">
    <cfRule type="expression" dxfId="2108" priority="135">
      <formula>ABS(I$7-I$10)&gt;=1000</formula>
    </cfRule>
  </conditionalFormatting>
  <conditionalFormatting sqref="J6 J8:J9 J11">
    <cfRule type="expression" dxfId="2107" priority="134">
      <formula>ABS(J$7-J$10)&gt;=1000</formula>
    </cfRule>
  </conditionalFormatting>
  <conditionalFormatting sqref="K6 K8:K9 K11">
    <cfRule type="expression" dxfId="2106" priority="133">
      <formula>ABS(K$7-K$10)&gt;=1000</formula>
    </cfRule>
  </conditionalFormatting>
  <conditionalFormatting sqref="L4:L6 M4:N4 Q4:S4 L8:L9 L11">
    <cfRule type="expression" dxfId="2105" priority="132">
      <formula>ABS(L$7-L$10)&gt;=1000</formula>
    </cfRule>
  </conditionalFormatting>
  <conditionalFormatting sqref="M6 M8:M9 M11">
    <cfRule type="expression" dxfId="2104" priority="131">
      <formula>ABS(M$7-M$10)&gt;=1000</formula>
    </cfRule>
  </conditionalFormatting>
  <conditionalFormatting sqref="N6 N8:N9 N11">
    <cfRule type="expression" dxfId="2103" priority="130">
      <formula>ABS(N$7-N$10)&gt;=1000</formula>
    </cfRule>
  </conditionalFormatting>
  <conditionalFormatting sqref="Q5:Q11">
    <cfRule type="expression" dxfId="2102" priority="127">
      <formula>ABS(Q$7-Q$10)&gt;=1000</formula>
    </cfRule>
  </conditionalFormatting>
  <conditionalFormatting sqref="R5:R11">
    <cfRule type="expression" dxfId="2101" priority="126">
      <formula>ABS(R$7-R$10)&gt;=1000</formula>
    </cfRule>
  </conditionalFormatting>
  <conditionalFormatting sqref="S5:S11">
    <cfRule type="expression" dxfId="2100" priority="125">
      <formula>ABS(S$7-S$10)&gt;=1000</formula>
    </cfRule>
  </conditionalFormatting>
  <conditionalFormatting sqref="T4:T9 T11">
    <cfRule type="expression" dxfId="2099" priority="124">
      <formula>ABS(T$7-T$10)&gt;=1000</formula>
    </cfRule>
  </conditionalFormatting>
  <conditionalFormatting sqref="U4:U9 U11">
    <cfRule type="expression" dxfId="2098" priority="123">
      <formula>ABS(U$7-U$10)&gt;=1000</formula>
    </cfRule>
  </conditionalFormatting>
  <conditionalFormatting sqref="V4:V9 V11">
    <cfRule type="expression" dxfId="2097" priority="122">
      <formula>ABS(V$7-V$10)&gt;=1000</formula>
    </cfRule>
  </conditionalFormatting>
  <conditionalFormatting sqref="W4:W9 W11">
    <cfRule type="expression" dxfId="2096" priority="121">
      <formula>ABS(W$7-W$10)&gt;=1000</formula>
    </cfRule>
  </conditionalFormatting>
  <conditionalFormatting sqref="X4:X9 X11">
    <cfRule type="expression" dxfId="2095" priority="120">
      <formula>ABS(X$7-X$10)&gt;=1000</formula>
    </cfRule>
  </conditionalFormatting>
  <conditionalFormatting sqref="Y4:Y9 Y11">
    <cfRule type="expression" dxfId="2094" priority="119">
      <formula>ABS(Y$7-Y$10)&gt;=1000</formula>
    </cfRule>
  </conditionalFormatting>
  <conditionalFormatting sqref="Z4:Z11">
    <cfRule type="expression" dxfId="2093" priority="118">
      <formula>ABS(Z$7-Z$10)&gt;=1000</formula>
    </cfRule>
  </conditionalFormatting>
  <conditionalFormatting sqref="AA4:AA11">
    <cfRule type="expression" dxfId="2092" priority="117">
      <formula>ABS(AA$7-AA$10)&gt;=1000</formula>
    </cfRule>
  </conditionalFormatting>
  <conditionalFormatting sqref="AB4:AB11">
    <cfRule type="expression" dxfId="2091" priority="116">
      <formula>ABS(AB$7-AB$10)&gt;=1000</formula>
    </cfRule>
  </conditionalFormatting>
  <conditionalFormatting sqref="AC4 AC6:AC11">
    <cfRule type="expression" dxfId="2090" priority="115">
      <formula>ABS(AC$7-AC$10)&gt;=1000</formula>
    </cfRule>
  </conditionalFormatting>
  <conditionalFormatting sqref="AD4 AD6:AD11">
    <cfRule type="expression" dxfId="2089" priority="114">
      <formula>ABS(AD$7-AD$10)&gt;=1000</formula>
    </cfRule>
  </conditionalFormatting>
  <conditionalFormatting sqref="AE4 AE6:AE11">
    <cfRule type="expression" dxfId="2088" priority="113">
      <formula>ABS(AE$7-AE$10)&gt;=1000</formula>
    </cfRule>
  </conditionalFormatting>
  <conditionalFormatting sqref="D13:D20">
    <cfRule type="expression" dxfId="2087" priority="112">
      <formula>ABS(D$16-D$19)&gt;=1000</formula>
    </cfRule>
  </conditionalFormatting>
  <conditionalFormatting sqref="E13:E20">
    <cfRule type="expression" dxfId="2086" priority="111">
      <formula>ABS(E$16-E$19)&gt;=1000</formula>
    </cfRule>
  </conditionalFormatting>
  <conditionalFormatting sqref="F13 F15:F20">
    <cfRule type="expression" dxfId="2085" priority="110">
      <formula>ABS(F$16-F$19)&gt;=1000</formula>
    </cfRule>
  </conditionalFormatting>
  <conditionalFormatting sqref="G13:G20">
    <cfRule type="expression" dxfId="2084" priority="109">
      <formula>ABS(G$16-G$19)&gt;=1000</formula>
    </cfRule>
  </conditionalFormatting>
  <conditionalFormatting sqref="H13 H15:H20">
    <cfRule type="expression" dxfId="2083" priority="108">
      <formula>ABS(H$16-H$19)&gt;=1000</formula>
    </cfRule>
  </conditionalFormatting>
  <conditionalFormatting sqref="I13:I20">
    <cfRule type="expression" dxfId="2082" priority="107">
      <formula>ABS(I$16-I$19)&gt;=1000</formula>
    </cfRule>
  </conditionalFormatting>
  <conditionalFormatting sqref="J13:J20">
    <cfRule type="expression" dxfId="2081" priority="106">
      <formula>ABS(J$16-J$19)&gt;=1000</formula>
    </cfRule>
  </conditionalFormatting>
  <conditionalFormatting sqref="L13:L20">
    <cfRule type="expression" dxfId="2080" priority="105">
      <formula>ABS(L$16-L$19)&gt;=1000</formula>
    </cfRule>
  </conditionalFormatting>
  <conditionalFormatting sqref="M13 M15 M17:M18 M20">
    <cfRule type="expression" dxfId="2079" priority="104">
      <formula>ABS(M$16-M$19)&gt;=1000</formula>
    </cfRule>
  </conditionalFormatting>
  <conditionalFormatting sqref="N13:N20">
    <cfRule type="expression" dxfId="2078" priority="103">
      <formula>ABS(N$16-N$19)&gt;=1000</formula>
    </cfRule>
  </conditionalFormatting>
  <conditionalFormatting sqref="O13:O20">
    <cfRule type="expression" dxfId="2077" priority="102">
      <formula>ABS(O$16-O$19)&gt;=1000</formula>
    </cfRule>
  </conditionalFormatting>
  <conditionalFormatting sqref="P13:P20">
    <cfRule type="expression" dxfId="2076" priority="101">
      <formula>ABS(P$16-P$19)&gt;=1000</formula>
    </cfRule>
  </conditionalFormatting>
  <conditionalFormatting sqref="Q13 Q15:Q20">
    <cfRule type="expression" dxfId="2075" priority="100">
      <formula>ABS(Q$16-Q$19)&gt;=1000</formula>
    </cfRule>
  </conditionalFormatting>
  <conditionalFormatting sqref="R13:R20">
    <cfRule type="expression" dxfId="2074" priority="99">
      <formula>ABS(R$16-R$19)&gt;=1000</formula>
    </cfRule>
  </conditionalFormatting>
  <conditionalFormatting sqref="S13:S20">
    <cfRule type="expression" dxfId="2073" priority="98">
      <formula>ABS(S$16-S$19)&gt;=1000</formula>
    </cfRule>
  </conditionalFormatting>
  <conditionalFormatting sqref="T13:T20">
    <cfRule type="expression" dxfId="2072" priority="97">
      <formula>ABS(T$16-T$19)&gt;=1000</formula>
    </cfRule>
  </conditionalFormatting>
  <conditionalFormatting sqref="U13:U20">
    <cfRule type="expression" dxfId="2071" priority="96">
      <formula>ABS(U$16-U$19)&gt;=1000</formula>
    </cfRule>
  </conditionalFormatting>
  <conditionalFormatting sqref="V13:V20">
    <cfRule type="expression" dxfId="2070" priority="95">
      <formula>ABS(V$16-V$19)&gt;=1000</formula>
    </cfRule>
  </conditionalFormatting>
  <conditionalFormatting sqref="W13 W20 W15:W18">
    <cfRule type="expression" dxfId="2069" priority="94">
      <formula>ABS(W$16-W$19)&gt;=1000</formula>
    </cfRule>
  </conditionalFormatting>
  <conditionalFormatting sqref="X13 X15:X20 Y19">
    <cfRule type="expression" dxfId="2068" priority="93">
      <formula>ABS(X$16-X$19)&gt;=1000</formula>
    </cfRule>
  </conditionalFormatting>
  <conditionalFormatting sqref="Y13 Y15:Y18 Y20">
    <cfRule type="expression" dxfId="2067" priority="92">
      <formula>ABS(Y$16-Y$19)&gt;=1000</formula>
    </cfRule>
  </conditionalFormatting>
  <conditionalFormatting sqref="Z13:Z20">
    <cfRule type="expression" dxfId="2066" priority="91">
      <formula>ABS(Z$16-Z$19)&gt;=1000</formula>
    </cfRule>
  </conditionalFormatting>
  <conditionalFormatting sqref="AA13:AA20">
    <cfRule type="expression" dxfId="2065" priority="90">
      <formula>ABS(AA$16-AA$19)&gt;=1000</formula>
    </cfRule>
  </conditionalFormatting>
  <conditionalFormatting sqref="AB13 AB15:AB20">
    <cfRule type="expression" dxfId="2064" priority="89">
      <formula>ABS(AB$16-AB$19)&gt;=1000</formula>
    </cfRule>
  </conditionalFormatting>
  <conditionalFormatting sqref="AC13 AC15:AC20">
    <cfRule type="expression" dxfId="2063" priority="88">
      <formula>ABS(AC$16-AC$19)&gt;=1000</formula>
    </cfRule>
  </conditionalFormatting>
  <conditionalFormatting sqref="AD13:AD20">
    <cfRule type="expression" dxfId="2062" priority="87">
      <formula>ABS(AD$16-AD$19)&gt;=1000</formula>
    </cfRule>
  </conditionalFormatting>
  <conditionalFormatting sqref="AE13:AE20">
    <cfRule type="expression" dxfId="2061" priority="86">
      <formula>ABS(AE$16-AE$19)&gt;=1000</formula>
    </cfRule>
  </conditionalFormatting>
  <conditionalFormatting sqref="D22:D29">
    <cfRule type="expression" dxfId="2060" priority="85">
      <formula>ABS(D$25-D$28)&gt;=1000</formula>
    </cfRule>
  </conditionalFormatting>
  <conditionalFormatting sqref="E22:E29">
    <cfRule type="expression" dxfId="2059" priority="84">
      <formula>ABS(E$25-E$28)&gt;=1000</formula>
    </cfRule>
  </conditionalFormatting>
  <conditionalFormatting sqref="F22:F29">
    <cfRule type="expression" dxfId="2058" priority="83">
      <formula>ABS(F$25-F$28)&gt;=1000</formula>
    </cfRule>
  </conditionalFormatting>
  <conditionalFormatting sqref="G22:G29">
    <cfRule type="expression" dxfId="2057" priority="82">
      <formula>ABS(G$25-G$28)&gt;=1000</formula>
    </cfRule>
  </conditionalFormatting>
  <conditionalFormatting sqref="H22:H29">
    <cfRule type="expression" dxfId="2056" priority="81">
      <formula>ABS(H$25-H$28)&gt;=1000</formula>
    </cfRule>
  </conditionalFormatting>
  <conditionalFormatting sqref="I22 I24:I29">
    <cfRule type="expression" dxfId="2055" priority="80">
      <formula>ABS(I$25-I$28)&gt;=1000</formula>
    </cfRule>
  </conditionalFormatting>
  <conditionalFormatting sqref="J22:J29 K22">
    <cfRule type="expression" dxfId="2054" priority="79">
      <formula>ABS(J$25-J$28)&gt;=1000</formula>
    </cfRule>
  </conditionalFormatting>
  <conditionalFormatting sqref="K23:K29 L25 L28">
    <cfRule type="expression" dxfId="2053" priority="78">
      <formula>ABS(K$25-K$28)&gt;=1000</formula>
    </cfRule>
  </conditionalFormatting>
  <conditionalFormatting sqref="L22 L26:L27 L29 L24">
    <cfRule type="expression" dxfId="2052" priority="77">
      <formula>ABS(L$25-L$28)&gt;=1000</formula>
    </cfRule>
  </conditionalFormatting>
  <conditionalFormatting sqref="M22:M29">
    <cfRule type="expression" dxfId="2051" priority="76">
      <formula>ABS(M$25-M$28)&gt;=1000</formula>
    </cfRule>
  </conditionalFormatting>
  <conditionalFormatting sqref="N22:N29">
    <cfRule type="expression" dxfId="2050" priority="75">
      <formula>ABS(N$25-N$28)&gt;=1000</formula>
    </cfRule>
  </conditionalFormatting>
  <conditionalFormatting sqref="O22:O29">
    <cfRule type="expression" dxfId="2049" priority="74">
      <formula>ABS(O$25-O$28)&gt;=1000</formula>
    </cfRule>
  </conditionalFormatting>
  <conditionalFormatting sqref="P22:P29">
    <cfRule type="expression" dxfId="2048" priority="73">
      <formula>ABS(P$25-P$28)&gt;=1000</formula>
    </cfRule>
  </conditionalFormatting>
  <conditionalFormatting sqref="Q22:Q29">
    <cfRule type="expression" dxfId="2047" priority="72">
      <formula>ABS(Q$25-Q$28)&gt;=1000</formula>
    </cfRule>
  </conditionalFormatting>
  <conditionalFormatting sqref="R22:R29">
    <cfRule type="expression" dxfId="2046" priority="71">
      <formula>ABS(R$25-R$28)&gt;=1000</formula>
    </cfRule>
  </conditionalFormatting>
  <conditionalFormatting sqref="S22:S29">
    <cfRule type="expression" dxfId="2045" priority="70">
      <formula>ABS(S$25-S$28)&gt;=1000</formula>
    </cfRule>
  </conditionalFormatting>
  <conditionalFormatting sqref="T22:T29">
    <cfRule type="expression" dxfId="2044" priority="69">
      <formula>ABS(T$25-T$28)&gt;=1000</formula>
    </cfRule>
  </conditionalFormatting>
  <conditionalFormatting sqref="U22:U29">
    <cfRule type="expression" dxfId="2043" priority="68">
      <formula>ABS(U$25-U$28)&gt;=1000</formula>
    </cfRule>
  </conditionalFormatting>
  <conditionalFormatting sqref="V22:V29">
    <cfRule type="expression" dxfId="2042" priority="67">
      <formula>ABS(V$25-V$28)&gt;=1000</formula>
    </cfRule>
  </conditionalFormatting>
  <conditionalFormatting sqref="W22:W29">
    <cfRule type="expression" dxfId="2041" priority="66">
      <formula>ABS(W$25-W$28)&gt;=1000</formula>
    </cfRule>
  </conditionalFormatting>
  <conditionalFormatting sqref="X22:X29">
    <cfRule type="expression" dxfId="2040" priority="65">
      <formula>ABS(X$25-X$28)&gt;=1000</formula>
    </cfRule>
  </conditionalFormatting>
  <conditionalFormatting sqref="Y22:Y29">
    <cfRule type="expression" dxfId="2039" priority="64">
      <formula>ABS(Y$25-Y$28)&gt;=1000</formula>
    </cfRule>
  </conditionalFormatting>
  <conditionalFormatting sqref="I23">
    <cfRule type="expression" dxfId="2038" priority="63">
      <formula>ABS(I$25-I$28)&gt;=1000</formula>
    </cfRule>
  </conditionalFormatting>
  <conditionalFormatting sqref="Q14">
    <cfRule type="expression" dxfId="2037" priority="62">
      <formula>ABS(Q$16-Q$19)&gt;=1000</formula>
    </cfRule>
  </conditionalFormatting>
  <conditionalFormatting sqref="W14">
    <cfRule type="expression" dxfId="2036" priority="61">
      <formula>ABS(W$16-W$19)&gt;=1000</formula>
    </cfRule>
  </conditionalFormatting>
  <conditionalFormatting sqref="X14">
    <cfRule type="expression" dxfId="2035" priority="60">
      <formula>ABS(X$16-X$19)&gt;=1000</formula>
    </cfRule>
  </conditionalFormatting>
  <conditionalFormatting sqref="T10:Y10">
    <cfRule type="expression" dxfId="2034" priority="59">
      <formula>ABS(T$7-T$10)&gt;=1000</formula>
    </cfRule>
  </conditionalFormatting>
  <conditionalFormatting sqref="W19">
    <cfRule type="expression" dxfId="2033" priority="58">
      <formula>ABS(W$16-W$19)&gt;=1000</formula>
    </cfRule>
  </conditionalFormatting>
  <conditionalFormatting sqref="AC5">
    <cfRule type="expression" dxfId="2032" priority="57">
      <formula>ABS(AC$7-AC$10)&gt;=1000</formula>
    </cfRule>
  </conditionalFormatting>
  <conditionalFormatting sqref="M14">
    <cfRule type="expression" dxfId="2031" priority="56">
      <formula>ABS(M$16-M$19)&gt;=1000</formula>
    </cfRule>
  </conditionalFormatting>
  <conditionalFormatting sqref="M16">
    <cfRule type="expression" dxfId="2030" priority="55">
      <formula>ABS(M$16-M$19)&gt;=1000</formula>
    </cfRule>
  </conditionalFormatting>
  <conditionalFormatting sqref="M19">
    <cfRule type="expression" dxfId="2029" priority="54">
      <formula>ABS(M$16-M$19)&gt;=1000</formula>
    </cfRule>
  </conditionalFormatting>
  <conditionalFormatting sqref="K13:K20">
    <cfRule type="expression" dxfId="2028" priority="53">
      <formula>ABS(K$16-K$19)&gt;=1000</formula>
    </cfRule>
  </conditionalFormatting>
  <conditionalFormatting sqref="AB14:AC14">
    <cfRule type="expression" dxfId="2027" priority="51">
      <formula>ABS(AB$16-AB$19)&gt;=1000</formula>
    </cfRule>
  </conditionalFormatting>
  <conditionalFormatting sqref="M5">
    <cfRule type="expression" dxfId="2026" priority="50">
      <formula>ABS(M$7-M$10)&gt;=1000</formula>
    </cfRule>
  </conditionalFormatting>
  <conditionalFormatting sqref="N5">
    <cfRule type="expression" dxfId="2025" priority="49">
      <formula>ABS(N$7-N$10)&gt;=1000</formula>
    </cfRule>
  </conditionalFormatting>
  <conditionalFormatting sqref="L23">
    <cfRule type="expression" dxfId="2024" priority="46">
      <formula>ABS(L$25-L$28)&gt;=1000</formula>
    </cfRule>
  </conditionalFormatting>
  <conditionalFormatting sqref="Y14">
    <cfRule type="expression" dxfId="2023" priority="45">
      <formula>ABS(Y$16-Y$19)&gt;=1000</formula>
    </cfRule>
  </conditionalFormatting>
  <conditionalFormatting sqref="F14">
    <cfRule type="expression" dxfId="2022" priority="44">
      <formula>ABS(F$16-F$19)&gt;=1000</formula>
    </cfRule>
  </conditionalFormatting>
  <conditionalFormatting sqref="H14">
    <cfRule type="expression" dxfId="2021" priority="43">
      <formula>ABS(H$16-H$19)&gt;=1000</formula>
    </cfRule>
  </conditionalFormatting>
  <conditionalFormatting sqref="AD5">
    <cfRule type="expression" dxfId="2020" priority="42">
      <formula>ABS(AD$7-AD$10)&gt;=1000</formula>
    </cfRule>
  </conditionalFormatting>
  <conditionalFormatting sqref="AE5">
    <cfRule type="expression" dxfId="2019" priority="41">
      <formula>ABS(AE$7-AE$10)&gt;=1000</formula>
    </cfRule>
  </conditionalFormatting>
  <conditionalFormatting sqref="D5">
    <cfRule type="expression" dxfId="2018" priority="40">
      <formula>ABS(D$7-D$10)&gt;=1000</formula>
    </cfRule>
  </conditionalFormatting>
  <conditionalFormatting sqref="E5:G5">
    <cfRule type="expression" dxfId="2017" priority="39">
      <formula>ABS(E$7-E$10)&gt;=1000</formula>
    </cfRule>
  </conditionalFormatting>
  <conditionalFormatting sqref="H5:K5">
    <cfRule type="expression" dxfId="2016" priority="38">
      <formula>ABS(H$7-H$10)&gt;=1000</formula>
    </cfRule>
  </conditionalFormatting>
  <conditionalFormatting sqref="O4:P4">
    <cfRule type="expression" dxfId="2015" priority="37">
      <formula>ABS(O$7-O$10)&gt;=1000</formula>
    </cfRule>
  </conditionalFormatting>
  <conditionalFormatting sqref="O5:O6 O8:O9 O11">
    <cfRule type="expression" dxfId="2014" priority="36">
      <formula>ABS(O$7-O$10)&gt;=1000</formula>
    </cfRule>
  </conditionalFormatting>
  <conditionalFormatting sqref="P6 P8:P9 P11">
    <cfRule type="expression" dxfId="2013" priority="35">
      <formula>ABS(P$7-P$10)&gt;=1000</formula>
    </cfRule>
  </conditionalFormatting>
  <conditionalFormatting sqref="P5">
    <cfRule type="expression" dxfId="2012" priority="34">
      <formula>ABS(P$7-P$10)&gt;=1000</formula>
    </cfRule>
  </conditionalFormatting>
  <conditionalFormatting sqref="O7:P7">
    <cfRule type="expression" dxfId="2011" priority="31">
      <formula>ABS(O$7-O$10)&gt;=1000</formula>
    </cfRule>
  </conditionalFormatting>
  <conditionalFormatting sqref="N7">
    <cfRule type="expression" dxfId="2010" priority="29">
      <formula>ABS(N$7-N$10)&gt;=1000</formula>
    </cfRule>
  </conditionalFormatting>
  <conditionalFormatting sqref="N10">
    <cfRule type="expression" dxfId="2009" priority="28">
      <formula>ABS(N$7-N$10)&gt;=1000</formula>
    </cfRule>
  </conditionalFormatting>
  <conditionalFormatting sqref="O10">
    <cfRule type="expression" dxfId="2008" priority="19">
      <formula>ABS(O$7-O$10)&gt;=1000</formula>
    </cfRule>
  </conditionalFormatting>
  <conditionalFormatting sqref="M7">
    <cfRule type="expression" dxfId="2007" priority="17">
      <formula>ABS(M$7-M$10)&gt;=1000</formula>
    </cfRule>
  </conditionalFormatting>
  <conditionalFormatting sqref="M10">
    <cfRule type="expression" dxfId="2006" priority="15">
      <formula>ABS(M$7-M$10)&gt;=1000</formula>
    </cfRule>
  </conditionalFormatting>
  <conditionalFormatting sqref="P10">
    <cfRule type="expression" dxfId="2005" priority="14">
      <formula>ABS(P$7-P$10)&gt;=1000</formula>
    </cfRule>
  </conditionalFormatting>
  <conditionalFormatting sqref="E10:G10">
    <cfRule type="expression" dxfId="2004" priority="3">
      <formula>ABS(E$7-E$10)&gt;=1000</formula>
    </cfRule>
  </conditionalFormatting>
  <conditionalFormatting sqref="D10">
    <cfRule type="expression" dxfId="2003" priority="2">
      <formula>ABS(D$7-D$10)&gt;=1000</formula>
    </cfRule>
  </conditionalFormatting>
  <conditionalFormatting sqref="D7:G7">
    <cfRule type="expression" dxfId="2002" priority="1">
      <formula>ABS(D$7-D$10)&gt;=1000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47393"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52">
    <pageSetUpPr fitToPage="1"/>
  </sheetPr>
  <dimension ref="A1:BA223"/>
  <sheetViews>
    <sheetView view="pageBreakPreview" zoomScaleNormal="100" zoomScaleSheetLayoutView="100" workbookViewId="0">
      <selection activeCell="B4" sqref="B4:B5"/>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85" t="s" ph="1">
        <v>87</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c r="V1" s="285" ph="1"/>
      <c r="W1" s="285" ph="1"/>
      <c r="X1" s="285" ph="1"/>
      <c r="Y1" s="285" ph="1"/>
      <c r="Z1" s="285" ph="1"/>
      <c r="AA1" s="285" ph="1"/>
      <c r="AB1" s="285" ph="1"/>
      <c r="AC1" s="285" ph="1"/>
      <c r="AD1" s="285" ph="1"/>
      <c r="AE1" s="285" ph="1"/>
    </row>
    <row r="2" spans="1:53" s="55" customFormat="1" ht="24" customHeight="1" ph="1">
      <c r="B2" s="286" t="s" ph="1">
        <v>88</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c r="V2" s="286" ph="1"/>
      <c r="W2" s="286" ph="1"/>
      <c r="X2" s="286" ph="1"/>
      <c r="Y2" s="286" ph="1"/>
      <c r="Z2" s="286" ph="1"/>
      <c r="AA2" s="286" ph="1"/>
      <c r="AB2" s="286" ph="1"/>
      <c r="AC2" s="286" ph="1"/>
      <c r="AD2" s="286" ph="1"/>
      <c r="AE2" s="286" ph="1"/>
    </row>
    <row r="3" spans="1:53" ht="21" customHeight="1" ph="1">
      <c r="B3" s="287" ph="1">
        <v>46171</v>
      </c>
      <c r="C3" s="287"/>
      <c r="D3" s="287"/>
      <c r="E3" s="287"/>
      <c r="F3" s="287"/>
      <c r="G3" s="287"/>
      <c r="H3" s="287"/>
      <c r="I3" s="287"/>
      <c r="J3" s="287"/>
      <c r="K3" s="287"/>
      <c r="L3" s="287"/>
      <c r="M3" s="287"/>
      <c r="N3" s="287"/>
      <c r="O3" s="287"/>
      <c r="P3" s="287"/>
      <c r="Q3" s="287"/>
      <c r="R3" s="287"/>
      <c r="S3" s="287"/>
      <c r="T3" s="287"/>
      <c r="U3" s="287"/>
      <c r="V3" s="287"/>
      <c r="W3" s="287"/>
      <c r="X3" s="287"/>
      <c r="Y3" s="287"/>
      <c r="Z3" s="287"/>
      <c r="AA3" s="287"/>
      <c r="AB3" s="287"/>
      <c r="AC3" s="287"/>
      <c r="AD3" s="287"/>
      <c r="AE3" s="287"/>
    </row>
    <row r="4" spans="1:53" s="58" customFormat="1" ph="1">
      <c r="A4" s="54" ph="1"/>
      <c r="B4" s="266" t="s" ph="1">
        <v>89</v>
      </c>
      <c r="C4" s="56" t="s" ph="1">
        <v>90</v>
      </c>
      <c r="D4" s="57" t="s" ph="1">
        <v>91</v>
      </c>
      <c r="E4" s="57" t="s" ph="1">
        <v>92</v>
      </c>
      <c r="F4" s="57" t="s" ph="1">
        <v>93</v>
      </c>
      <c r="G4" s="57" t="s" ph="1">
        <v>94</v>
      </c>
      <c r="H4" s="57" t="s" ph="1">
        <v>95</v>
      </c>
      <c r="I4" s="57" t="s" ph="1">
        <v>96</v>
      </c>
      <c r="J4" s="57" t="s" ph="1">
        <v>57</v>
      </c>
      <c r="K4" s="57" t="s" ph="1">
        <v>58</v>
      </c>
      <c r="L4" s="57" t="s" ph="1">
        <v>97</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66" ph="1"/>
      <c r="C5" s="56" t="s" ph="1">
        <v>99</v>
      </c>
      <c r="D5" s="103" t="s" ph="1">
        <v>100</v>
      </c>
      <c r="E5" s="103" t="s" ph="1">
        <v>100</v>
      </c>
      <c r="F5" s="103" t="s" ph="1">
        <v>101</v>
      </c>
      <c r="G5" s="103" t="s" ph="1">
        <v>101</v>
      </c>
      <c r="H5" s="103" t="s" ph="1">
        <v>100</v>
      </c>
      <c r="I5" s="103" t="s" ph="1">
        <v>100</v>
      </c>
      <c r="J5" s="103" t="s" ph="1">
        <v>101</v>
      </c>
      <c r="K5" s="103" t="s" ph="1">
        <v>101</v>
      </c>
      <c r="L5" s="102" t="s" ph="1">
        <v>102</v>
      </c>
      <c r="M5" s="102" t="s" ph="1">
        <v>103</v>
      </c>
      <c r="N5" s="102" t="s" ph="1">
        <v>102</v>
      </c>
      <c r="O5" s="102" t="s" ph="1">
        <v>104</v>
      </c>
      <c r="P5" s="102" t="s" ph="1">
        <v>104</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84" ph="1">
        <v>0.33333333333333331</v>
      </c>
      <c r="C6" s="122" t="s" ph="1">
        <v>105</v>
      </c>
      <c r="D6" s="109">
        <v>0.58150000000000002</v>
      </c>
      <c r="E6" s="109">
        <v>0.99519999999999997</v>
      </c>
      <c r="F6" s="109">
        <v>0</v>
      </c>
      <c r="G6" s="109">
        <v>0</v>
      </c>
      <c r="H6" s="60">
        <v>4018</v>
      </c>
      <c r="I6" s="60">
        <v>0</v>
      </c>
      <c r="J6" s="60">
        <v>6300</v>
      </c>
      <c r="K6" s="60">
        <v>0</v>
      </c>
      <c r="L6" s="60">
        <v>3491</v>
      </c>
      <c r="M6" s="60">
        <v>1904</v>
      </c>
      <c r="N6" s="60">
        <v>1182</v>
      </c>
      <c r="O6" s="60">
        <v>2893</v>
      </c>
      <c r="P6" s="60">
        <v>1406</v>
      </c>
      <c r="Q6" s="60"/>
      <c r="R6" s="60"/>
      <c r="S6" s="60"/>
      <c r="T6" s="60"/>
      <c r="U6" s="60"/>
      <c r="V6" s="60"/>
      <c r="W6" s="60"/>
      <c r="X6" s="60"/>
      <c r="Y6" s="60"/>
      <c r="Z6" s="60"/>
      <c r="AA6" s="60"/>
      <c r="AB6" s="60"/>
      <c r="AC6" s="60"/>
      <c r="AD6" s="60"/>
      <c r="AE6" s="60"/>
    </row>
    <row r="7" spans="1:53" s="61" customFormat="1" ht="22.2" ph="1">
      <c r="B7" s="284" ph="1"/>
      <c r="C7" s="57" t="s" ph="1">
        <v>86</v>
      </c>
      <c r="D7" s="62" ph="1">
        <f>((D6*5885)*4.48)*LOOKUP(D8,[2]密度!$A$2:$A$50,[2]密度!$B$2:$B$50)</f>
        <v>11872.428001280001</v>
      </c>
      <c r="E7" s="62" ph="1">
        <f>((E6*5885)*4.48)*LOOKUP(E8,[2]密度!$A$2:$A$50,[2]密度!$B$2:$B$50)</f>
        <v>20318.899994624</v>
      </c>
      <c r="F7" s="62" ph="1">
        <f>((F6*5885)*4.48)*LOOKUP(F8,[2]密度!$A$2:$A$50,[2]密度!$B$2:$B$50)</f>
        <v>0</v>
      </c>
      <c r="G7" s="62" ph="1">
        <f>((G6*5885)*4.48)*LOOKUP(G8,[2]密度!$A$2:$A$50,[2]密度!$B$2:$B$50)</f>
        <v>0</v>
      </c>
      <c r="H7" s="62" ph="1">
        <f>IF(H6&lt;=0,0,IF(H6&lt;=745,PI()*(5.3235*(H6/1000)^2-(4/3)*(H6/1000)^3),7.55+15.2053*((H6-745)/1000))*LOOKUP(H8,[2]密度!$A$2:$A$50,[2]密度!$B$2:$B$50)*1000)</f>
        <v>44288.804869629996</v>
      </c>
      <c r="I7" s="62" ph="1">
        <f>IF(I6&lt;=0,0,IF(I6&lt;=745,PI()*(5.3235*(I6/1000)^2-(4/3)*(I6/1000)^3),7.55+15.2053*((I6-745)/1000))*LOOKUP(I8,[2]密度!$A$2:$A$50,[2]密度!$B$2:$B$50)*1000)</f>
        <v>0</v>
      </c>
      <c r="J7" s="62" ph="1">
        <f>IF(J6&lt;=0,0,IF(J6&lt;=745,PI()*(5.3235*(J6/1000)^2-(4/3)*(J6/1000)^3),7.55+15.2053*((J6-745)/1000))*LOOKUP(J8,[2]密度!$A$2:$A$50,[2]密度!$B$2:$B$50)*1000)</f>
        <v>71735.2381934</v>
      </c>
      <c r="K7" s="62" ph="1">
        <f>IF(K6&lt;=0,0,IF(K6&lt;=745,PI()*(5.3235*(K6/1000)^2-(4/3)*(K6/1000)^3),7.55+15.2053*((K6-745)/1000))*LOOKUP(K8,[2]密度!$A$2:$A$50,[2]密度!$B$2:$B$50)*1000)</f>
        <v>0</v>
      </c>
      <c r="L7" s="62" ph="1">
        <f>L6*26.42*LOOKUP(L8,[2]密度!$A$2:$A$50,[2]密度!$B$2:$B$50)</f>
        <v>71507.640165999997</v>
      </c>
      <c r="M7" s="62" ph="1">
        <f>M6*26.42*1</f>
        <v>50303.68</v>
      </c>
      <c r="N7" s="62" ph="1">
        <f>N6*18.32*LOOKUP(N8,[2]密度!$A$2:$A$50,[2]密度!$B$2:$B$50)</f>
        <v>16788.532272</v>
      </c>
      <c r="O7" s="62" ph="1">
        <f>O6*81.71*LOOKUP(O8,[2]密度!$A$2:$A$50,[2]密度!$B$2:$B$50)</f>
        <v>183483.61268599998</v>
      </c>
      <c r="P7" s="62" ph="1">
        <f>P6*81.71*LOOKUP(P8,[2]密度!$A$2:$A$50,[2]密度!$B$2:$B$50)</f>
        <v>89069.76677799999</v>
      </c>
      <c r="Q7" s="62" ph="1"/>
      <c r="R7" s="62" ph="1"/>
      <c r="S7" s="62" ph="1"/>
      <c r="T7" s="62" ph="1"/>
      <c r="U7" s="62" ph="1"/>
      <c r="V7" s="62" ph="1"/>
      <c r="W7" s="62" ph="1"/>
      <c r="X7" s="62" ph="1"/>
      <c r="Y7" s="62" ph="1"/>
      <c r="Z7" s="62" ph="1"/>
      <c r="AA7" s="62" ph="1"/>
      <c r="AB7" s="62" ph="1"/>
      <c r="AC7" s="62" ph="1"/>
      <c r="AD7" s="62" ph="1"/>
      <c r="AE7" s="62" ph="1"/>
    </row>
    <row r="8" spans="1:53" ph="1">
      <c r="B8" s="284" ph="1"/>
      <c r="C8" s="57" t="s" ph="1">
        <v>85</v>
      </c>
      <c r="D8" s="63">
        <v>31</v>
      </c>
      <c r="E8" s="63">
        <v>31</v>
      </c>
      <c r="F8" s="63">
        <v>32</v>
      </c>
      <c r="G8" s="63">
        <v>28</v>
      </c>
      <c r="H8" s="63">
        <v>33</v>
      </c>
      <c r="I8" s="63">
        <v>28</v>
      </c>
      <c r="J8" s="63">
        <v>25</v>
      </c>
      <c r="K8" s="63">
        <v>28</v>
      </c>
      <c r="L8" s="63">
        <v>30</v>
      </c>
      <c r="M8" s="63">
        <v>29</v>
      </c>
      <c r="N8" s="63">
        <v>30</v>
      </c>
      <c r="O8" s="63">
        <v>29</v>
      </c>
      <c r="P8" s="63">
        <v>30</v>
      </c>
      <c r="Q8" s="63"/>
      <c r="R8" s="63"/>
      <c r="S8" s="63"/>
      <c r="T8" s="63"/>
      <c r="U8" s="63"/>
      <c r="V8" s="63"/>
      <c r="W8" s="63"/>
      <c r="X8" s="63"/>
      <c r="Y8" s="63"/>
      <c r="Z8" s="63"/>
      <c r="AA8" s="63"/>
      <c r="AB8" s="63"/>
      <c r="AC8" s="63"/>
      <c r="AD8" s="63"/>
      <c r="AE8" s="63"/>
    </row>
    <row r="9" spans="1:53" ht="26.4" ph="1">
      <c r="B9" s="284" ph="1">
        <v>0.66666666666666663</v>
      </c>
      <c r="C9" s="122" t="s" ph="1">
        <v>106</v>
      </c>
      <c r="D9" s="109">
        <v>0.89710000000000001</v>
      </c>
      <c r="E9" s="109">
        <v>4.1700000000000001E-2</v>
      </c>
      <c r="F9" s="109">
        <v>0</v>
      </c>
      <c r="G9" s="109">
        <v>0</v>
      </c>
      <c r="H9" s="60">
        <v>1025</v>
      </c>
      <c r="I9" s="60">
        <v>225</v>
      </c>
      <c r="J9" s="60">
        <v>4867</v>
      </c>
      <c r="K9" s="60">
        <v>285</v>
      </c>
      <c r="L9" s="60">
        <v>3532</v>
      </c>
      <c r="M9" s="60">
        <v>1904</v>
      </c>
      <c r="N9" s="60">
        <v>1247</v>
      </c>
      <c r="O9" s="60">
        <v>4475</v>
      </c>
      <c r="P9" s="60">
        <v>1703</v>
      </c>
      <c r="Q9" s="60"/>
      <c r="R9" s="60"/>
      <c r="S9" s="60"/>
      <c r="T9" s="60"/>
      <c r="U9" s="60"/>
      <c r="V9" s="60"/>
      <c r="W9" s="60"/>
      <c r="X9" s="60"/>
      <c r="Y9" s="60"/>
      <c r="Z9" s="60"/>
      <c r="AA9" s="60"/>
      <c r="AB9" s="60"/>
      <c r="AC9" s="60"/>
      <c r="AD9" s="60"/>
      <c r="AE9" s="60"/>
    </row>
    <row r="10" spans="1:53" s="61" customFormat="1" ht="22.2" ph="1">
      <c r="B10" s="284" ph="1"/>
      <c r="C10" s="122" t="s" ph="1">
        <v>107</v>
      </c>
      <c r="D10" s="62" ph="1">
        <f>((D9*5885)*4.48)*LOOKUP(D11,[2]密度!$A$2:$A$50,[2]密度!$B$2:$B$50)</f>
        <v>18294.71531888</v>
      </c>
      <c r="E10" s="62" ph="1">
        <f>((E9*5885)*4.48)*LOOKUP(E11,[2]密度!$A$2:$A$50,[2]密度!$B$2:$B$50)</f>
        <v>851.38477670400005</v>
      </c>
      <c r="F10" s="62" ph="1">
        <f>((F9*5885)*4.48)*LOOKUP(F11,[2]密度!$A$2:$A$50,[2]密度!$B$2:$B$50)</f>
        <v>0</v>
      </c>
      <c r="G10" s="62" ph="1">
        <f>((G9*5885)*4.48)*LOOKUP(G11,[2]密度!$A$2:$A$50,[2]密度!$B$2:$B$50)</f>
        <v>0</v>
      </c>
      <c r="H10" s="62" ph="1">
        <f>IF(H9&lt;=0,0,IF(H9&lt;=745,PI()*(5.3235*(H9/1000)^2-(4/3)*(H9/1000)^3),7.55+15.2053*((H9-745)/1000))*LOOKUP(H11,[2]密度!$A$2:$A$50,[2]密度!$B$2:$B$50)*1000)</f>
        <v>9113.0161511999995</v>
      </c>
      <c r="I10" s="62" ph="1">
        <f>IF(I9&lt;=0,0,IF(I9&lt;=745,PI()*(5.3235*(I9/1000)^2-(4/3)*(I9/1000)^3),7.55+15.2053*((I9-745)/1000))*LOOKUP(I11,[2]密度!$A$2:$A$50,[2]密度!$B$2:$B$50)*1000)</f>
        <v>618.70932241886771</v>
      </c>
      <c r="J10" s="62" ph="1">
        <f>IF(J9&lt;=0,0,IF(J9&lt;=745,PI()*(5.3235*(J9/1000)^2-(4/3)*(J9/1000)^3),7.55+15.2053*((J9-745)/1000))*LOOKUP(J11,[2]密度!$A$2:$A$50,[2]密度!$B$2:$B$50)*1000)</f>
        <v>54320.001745099995</v>
      </c>
      <c r="K10" s="62" ph="1">
        <f>IF(K9&lt;=0,0,IF(K9&lt;=745,PI()*(5.3235*(K9/1000)^2-(4/3)*(K9/1000)^3),7.55+15.2053*((K9-745)/1000))*LOOKUP(K11,[2]密度!$A$2:$A$50,[2]密度!$B$2:$B$50)*1000)</f>
        <v>975.74076430638377</v>
      </c>
      <c r="L10" s="62" ph="1">
        <f>L9*26.42*LOOKUP(L11,[2]密度!$A$2:$A$50,[2]密度!$B$2:$B$50)</f>
        <v>72347.460632000002</v>
      </c>
      <c r="M10" s="62" ph="1">
        <f>M9*26.42*1</f>
        <v>50303.68</v>
      </c>
      <c r="N10" s="62" ph="1">
        <f>N9*18.32*LOOKUP(N11,[2]密度!$A$2:$A$50,[2]密度!$B$2:$B$50)</f>
        <v>17691.198976</v>
      </c>
      <c r="O10" s="62" ph="1">
        <f>O9*81.71*LOOKUP(O11,[2]密度!$A$2:$A$50,[2]密度!$B$2:$B$50)</f>
        <v>284111.79824999999</v>
      </c>
      <c r="P10" s="62" ph="1">
        <f>P9*81.71*LOOKUP(P11,[2]密度!$A$2:$A$50,[2]密度!$B$2:$B$50)</f>
        <v>107759.40947199998</v>
      </c>
      <c r="Q10" s="62" ph="1"/>
      <c r="R10" s="62" ph="1"/>
      <c r="S10" s="62" ph="1"/>
      <c r="T10" s="62" ph="1"/>
      <c r="U10" s="62" ph="1"/>
      <c r="V10" s="62" ph="1"/>
      <c r="W10" s="62" ph="1"/>
      <c r="X10" s="62" ph="1"/>
      <c r="Y10" s="62" ph="1"/>
      <c r="Z10" s="62" ph="1"/>
      <c r="AA10" s="62" ph="1"/>
      <c r="AB10" s="62" ph="1"/>
      <c r="AC10" s="62" ph="1"/>
      <c r="AD10" s="62" ph="1"/>
      <c r="AE10" s="62" ph="1"/>
    </row>
    <row r="11" spans="1:53" ph="1">
      <c r="A11" s="53" t="s" ph="1">
        <v>108</v>
      </c>
      <c r="B11" s="284" ph="1"/>
      <c r="C11" s="122" t="s" ph="1">
        <v>109</v>
      </c>
      <c r="D11" s="63">
        <v>32</v>
      </c>
      <c r="E11" s="63">
        <v>31</v>
      </c>
      <c r="F11" s="63">
        <v>32</v>
      </c>
      <c r="G11" s="63">
        <v>33</v>
      </c>
      <c r="H11" s="63">
        <v>34</v>
      </c>
      <c r="I11" s="63">
        <v>31</v>
      </c>
      <c r="J11" s="63">
        <v>32</v>
      </c>
      <c r="K11" s="63">
        <v>32</v>
      </c>
      <c r="L11" s="63">
        <v>30</v>
      </c>
      <c r="M11" s="63">
        <v>30</v>
      </c>
      <c r="N11" s="63">
        <v>31</v>
      </c>
      <c r="O11" s="63">
        <v>28</v>
      </c>
      <c r="P11" s="63">
        <v>31</v>
      </c>
      <c r="Q11" s="63"/>
      <c r="R11" s="63"/>
      <c r="S11" s="63"/>
      <c r="T11" s="63"/>
      <c r="U11" s="63"/>
      <c r="V11" s="63"/>
      <c r="W11" s="63"/>
      <c r="X11" s="63"/>
      <c r="Y11" s="63"/>
      <c r="Z11" s="63"/>
      <c r="AA11" s="63"/>
      <c r="AB11" s="63"/>
      <c r="AC11" s="63"/>
      <c r="AD11" s="63"/>
      <c r="AE11" s="63"/>
    </row>
    <row r="12" spans="1:53" ht="9.9" customHeight="1" ph="1">
      <c r="U12" s="119" ph="1"/>
    </row>
    <row r="13" spans="1:53" s="61" customFormat="1" ht="29.25" customHeight="1" ph="1">
      <c r="B13" s="261" t="s" ph="1">
        <v>89</v>
      </c>
      <c r="C13" s="122" t="s" ph="1">
        <v>90</v>
      </c>
      <c r="D13" s="65" ph="1"/>
      <c r="E13" s="65" ph="1"/>
      <c r="F13" s="65" ph="1"/>
      <c r="G13" s="65" ph="1"/>
      <c r="H13" s="65" ph="1"/>
      <c r="I13" s="65" ph="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62" ph="1"/>
      <c r="C14" s="56" t="s" ph="1">
        <v>98</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63" ph="1">
        <v>0.33333333333333331</v>
      </c>
      <c r="C15" s="68" t="s" ph="1">
        <v>45</v>
      </c>
      <c r="D15" s="60"/>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64" ph="1"/>
      <c r="C16" s="122" t="s" ph="1">
        <v>86</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110</v>
      </c>
      <c r="B17" s="265" ph="1"/>
      <c r="C17" s="68" t="s" ph="1">
        <v>109</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63" ph="1">
        <v>0.66666666666666663</v>
      </c>
      <c r="C18" s="68" t="s" ph="1">
        <v>111</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64" ph="1"/>
      <c r="C19" s="122" t="s" ph="1">
        <v>107</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64" ph="1"/>
      <c r="C20" s="69" t="s" ph="1">
        <v>109</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113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62" t="s" ph="1">
        <v>89</v>
      </c>
      <c r="C22" s="74" t="s" ph="1">
        <v>90</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72" t="s" ph="1">
        <v>114</v>
      </c>
      <c r="AA22" s="273"/>
      <c r="AB22" s="273"/>
      <c r="AC22" s="273"/>
      <c r="AD22" s="273"/>
      <c r="AE22" s="274"/>
    </row>
    <row r="23" spans="1:32" ph="1">
      <c r="A23" s="61" ph="1"/>
      <c r="B23" s="266" ph="1"/>
      <c r="C23" s="56" t="s" ph="1">
        <v>99</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75" t="s" ph="1">
        <v>115</v>
      </c>
      <c r="AA23" s="276"/>
      <c r="AB23" s="276"/>
      <c r="AC23" s="276"/>
      <c r="AD23" s="276"/>
      <c r="AE23" s="277"/>
    </row>
    <row r="24" spans="1:32" ht="26.4" ph="1">
      <c r="A24" s="61" ph="1"/>
      <c r="B24" s="284"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78"/>
      <c r="AA24" s="279"/>
      <c r="AB24" s="279"/>
      <c r="AC24" s="279"/>
      <c r="AD24" s="279"/>
      <c r="AE24" s="280"/>
    </row>
    <row r="25" spans="1:32" ph="1">
      <c r="A25" s="61" ph="1"/>
      <c r="B25" s="284" ph="1"/>
      <c r="C25" s="57" t="s" ph="1">
        <v>86</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78"/>
      <c r="AA25" s="279"/>
      <c r="AB25" s="279"/>
      <c r="AC25" s="279"/>
      <c r="AD25" s="279"/>
      <c r="AE25" s="280"/>
    </row>
    <row r="26" spans="1:32" ph="1">
      <c r="A26" s="61" ph="1"/>
      <c r="B26" s="284" ph="1"/>
      <c r="C26" s="57" t="s" ph="1">
        <v>85</v>
      </c>
      <c r="D26" s="63"/>
      <c r="E26" s="63"/>
      <c r="F26" s="63"/>
      <c r="G26" s="63"/>
      <c r="H26" s="63"/>
      <c r="I26" s="63"/>
      <c r="J26" s="63"/>
      <c r="K26" s="63"/>
      <c r="L26" s="63"/>
      <c r="M26" s="63"/>
      <c r="N26" s="63"/>
      <c r="O26" s="63"/>
      <c r="P26" s="63"/>
      <c r="Q26" s="82"/>
      <c r="R26" s="63"/>
      <c r="S26" s="63"/>
      <c r="T26" s="63"/>
      <c r="U26" s="63"/>
      <c r="V26" s="63"/>
      <c r="W26" s="63"/>
      <c r="X26" s="63"/>
      <c r="Y26" s="63"/>
      <c r="Z26" s="278"/>
      <c r="AA26" s="279"/>
      <c r="AB26" s="279"/>
      <c r="AC26" s="279"/>
      <c r="AD26" s="279"/>
      <c r="AE26" s="280"/>
    </row>
    <row r="27" spans="1:32" ht="26.4" ph="1">
      <c r="A27" s="61" ph="1"/>
      <c r="B27" s="284" ph="1">
        <v>0.66666666666666663</v>
      </c>
      <c r="C27" s="122" t="s" ph="1">
        <v>106</v>
      </c>
      <c r="D27" s="60"/>
      <c r="E27" s="60"/>
      <c r="F27" s="60"/>
      <c r="G27" s="60"/>
      <c r="H27" s="60"/>
      <c r="I27" s="60"/>
      <c r="J27" s="60"/>
      <c r="K27" s="60"/>
      <c r="L27" s="60"/>
      <c r="M27" s="60"/>
      <c r="N27" s="60"/>
      <c r="O27" s="60"/>
      <c r="P27" s="60"/>
      <c r="Q27" s="79"/>
      <c r="R27" s="60"/>
      <c r="S27" s="60"/>
      <c r="T27" s="60"/>
      <c r="U27" s="60"/>
      <c r="V27" s="60"/>
      <c r="W27" s="60"/>
      <c r="X27" s="60"/>
      <c r="Y27" s="60"/>
      <c r="Z27" s="278"/>
      <c r="AA27" s="279"/>
      <c r="AB27" s="279"/>
      <c r="AC27" s="279"/>
      <c r="AD27" s="279"/>
      <c r="AE27" s="280"/>
    </row>
    <row r="28" spans="1:32" ph="1">
      <c r="A28" s="61" ph="1"/>
      <c r="B28" s="284" ph="1"/>
      <c r="C28" s="122" t="s" ph="1">
        <v>86</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78"/>
      <c r="AA28" s="279"/>
      <c r="AB28" s="279"/>
      <c r="AC28" s="279"/>
      <c r="AD28" s="279"/>
      <c r="AE28" s="280"/>
    </row>
    <row r="29" spans="1:32" ph="1">
      <c r="A29" s="61" ph="1"/>
      <c r="B29" s="284" ph="1"/>
      <c r="C29" s="122" t="s" ph="1">
        <v>109</v>
      </c>
      <c r="D29" s="63"/>
      <c r="E29" s="63"/>
      <c r="F29" s="63"/>
      <c r="G29" s="63"/>
      <c r="H29" s="63"/>
      <c r="I29" s="63"/>
      <c r="J29" s="63"/>
      <c r="K29" s="63"/>
      <c r="L29" s="63"/>
      <c r="M29" s="63"/>
      <c r="N29" s="63"/>
      <c r="O29" s="63"/>
      <c r="P29" s="63"/>
      <c r="Q29" s="82"/>
      <c r="R29" s="63"/>
      <c r="S29" s="63"/>
      <c r="T29" s="63"/>
      <c r="U29" s="63"/>
      <c r="V29" s="63"/>
      <c r="W29" s="63"/>
      <c r="X29" s="63"/>
      <c r="Y29" s="63"/>
      <c r="Z29" s="281"/>
      <c r="AA29" s="282"/>
      <c r="AB29" s="282"/>
      <c r="AC29" s="282"/>
      <c r="AD29" s="282"/>
      <c r="AE29" s="283"/>
    </row>
    <row r="30" spans="1:32" ph="1">
      <c r="D30" s="83" ph="1"/>
      <c r="Z30" s="53" t="s" ph="1">
        <v>113</v>
      </c>
      <c r="AE30" s="84" ph="1"/>
    </row>
    <row r="31" spans="1:32" ht="28.2" ph="1">
      <c r="A31" s="53"/>
      <c r="B31" s="267" t="s" ph="1">
        <v>112</v>
      </c>
      <c r="C31" s="268" ph="1"/>
      <c r="D31" s="245" t="s" ph="1">
        <v>116</v>
      </c>
      <c r="E31" s="246" ph="1"/>
      <c r="F31" s="247" ph="1"/>
      <c r="G31" s="271" ph="1"/>
      <c r="H31" s="246" ph="1"/>
      <c r="I31" s="247" ph="1"/>
      <c r="J31" s="245" ph="1"/>
      <c r="K31" s="246" ph="1"/>
      <c r="L31" s="247" ph="1"/>
      <c r="M31" s="245" ph="1"/>
      <c r="N31" s="246" ph="1"/>
      <c r="O31" s="247" ph="1"/>
      <c r="P31" s="245" ph="1"/>
      <c r="Q31" s="246"/>
      <c r="R31" s="247"/>
      <c r="S31" s="245" ph="1"/>
      <c r="T31" s="246"/>
      <c r="U31" s="247"/>
      <c r="V31" s="245" ph="1"/>
      <c r="W31" s="246" ph="1"/>
      <c r="X31" s="247" ph="1"/>
      <c r="Y31" s="245" ph="1"/>
      <c r="Z31" s="246" ph="1"/>
      <c r="AA31" s="247" ph="1"/>
      <c r="AB31" s="248"/>
      <c r="AC31" s="249"/>
      <c r="AD31" s="249"/>
      <c r="AE31" s="250"/>
    </row>
    <row r="32" spans="1:32" ph="1">
      <c r="A32" s="53"/>
      <c r="B32" s="269" ph="1"/>
      <c r="C32" s="270" ph="1"/>
      <c r="D32" s="85" t="s" ph="1">
        <v>117</v>
      </c>
      <c r="E32" s="122" t="s" ph="1">
        <v>118</v>
      </c>
      <c r="F32" s="123" t="s" ph="1">
        <v>119</v>
      </c>
      <c r="G32" s="86" t="s" ph="1">
        <v>120</v>
      </c>
      <c r="H32" s="122" t="s" ph="1">
        <v>121</v>
      </c>
      <c r="I32" s="123" t="s" ph="1">
        <v>122</v>
      </c>
      <c r="J32" s="86" t="s" ph="1">
        <v>117</v>
      </c>
      <c r="K32" s="122" t="s" ph="1">
        <v>118</v>
      </c>
      <c r="L32" s="123" t="s" ph="1">
        <v>123</v>
      </c>
      <c r="M32" s="86" t="s" ph="1">
        <v>120</v>
      </c>
      <c r="N32" s="122" t="s" ph="1">
        <v>118</v>
      </c>
      <c r="O32" s="123" t="s" ph="1">
        <v>119</v>
      </c>
      <c r="P32" s="86" t="s" ph="1">
        <v>120</v>
      </c>
      <c r="Q32" s="87" t="s" ph="1">
        <v>118</v>
      </c>
      <c r="R32" s="88" t="s" ph="1">
        <v>123</v>
      </c>
      <c r="S32" s="86" t="s" ph="1">
        <v>117</v>
      </c>
      <c r="T32" s="122" t="s" ph="1">
        <v>118</v>
      </c>
      <c r="U32" s="88" t="s" ph="1">
        <v>122</v>
      </c>
      <c r="V32" s="86" t="s" ph="1">
        <v>124</v>
      </c>
      <c r="W32" s="122" t="s" ph="1">
        <v>118</v>
      </c>
      <c r="X32" s="88" t="s" ph="1">
        <v>123</v>
      </c>
      <c r="Y32" s="89" t="s" ph="1">
        <v>120</v>
      </c>
      <c r="Z32" s="122" t="s" ph="1">
        <v>118</v>
      </c>
      <c r="AA32" s="123" t="s" ph="1">
        <v>119</v>
      </c>
      <c r="AB32" s="86" t="s" ph="1">
        <v>125</v>
      </c>
      <c r="AC32" s="122" t="s" ph="1">
        <v>126</v>
      </c>
      <c r="AD32" s="251" t="s" ph="1">
        <v>127</v>
      </c>
      <c r="AE32" s="252"/>
    </row>
    <row r="33" spans="1:31" ph="1">
      <c r="A33" s="53"/>
      <c r="B33" s="253" t="s" ph="1">
        <v>128</v>
      </c>
      <c r="C33" s="254" ph="1"/>
      <c r="D33" s="233" ph="1">
        <f>O10+P10</f>
        <v>391871.20772199996</v>
      </c>
      <c r="E33" s="233" ph="1">
        <f>H10+I10+J10+K10</f>
        <v>65027.46798302525</v>
      </c>
      <c r="F33" s="257" ph="1">
        <f>L10+N10</f>
        <v>90038.659608000002</v>
      </c>
      <c r="G33" s="259" ph="1">
        <v>0</v>
      </c>
      <c r="H33" s="233" ph="1">
        <v>0</v>
      </c>
      <c r="I33" s="237" ph="1">
        <v>0</v>
      </c>
      <c r="J33" s="241" ph="1">
        <v>0</v>
      </c>
      <c r="K33" s="233" ph="1">
        <v>0</v>
      </c>
      <c r="L33" s="243" ph="1">
        <v>0</v>
      </c>
      <c r="M33" s="241" ph="1">
        <v>0</v>
      </c>
      <c r="N33" s="233" ph="1">
        <v>0</v>
      </c>
      <c r="O33" s="237" ph="1">
        <f>G19</f>
        <v>0</v>
      </c>
      <c r="P33" s="241" ph="1">
        <v>0</v>
      </c>
      <c r="Q33" s="233" ph="1">
        <v>0</v>
      </c>
      <c r="R33" s="237" ph="1">
        <v>0</v>
      </c>
      <c r="S33" s="241" ph="1">
        <v>0</v>
      </c>
      <c r="T33" s="233" ph="1">
        <v>0</v>
      </c>
      <c r="U33" s="222" ph="1">
        <v>0</v>
      </c>
      <c r="V33" s="235" ph="1">
        <v>0</v>
      </c>
      <c r="W33" s="235" ph="1">
        <v>0</v>
      </c>
      <c r="X33" s="237" ph="1">
        <v>0</v>
      </c>
      <c r="Y33" s="239" ph="1">
        <v>0</v>
      </c>
      <c r="Z33" s="220" ph="1">
        <v>0</v>
      </c>
      <c r="AA33" s="222" ph="1">
        <v>0</v>
      </c>
      <c r="AB33" s="224" ph="1">
        <v>0</v>
      </c>
      <c r="AC33" s="226" ph="1">
        <v>0</v>
      </c>
      <c r="AD33" s="228" ph="1">
        <v>0</v>
      </c>
      <c r="AE33" s="229"/>
    </row>
    <row r="34" spans="1:31" ph="1">
      <c r="A34" s="53"/>
      <c r="B34" s="255" ph="1"/>
      <c r="C34" s="256" ph="1"/>
      <c r="D34" s="234" ph="1"/>
      <c r="E34" s="234" ph="1"/>
      <c r="F34" s="258" ph="1"/>
      <c r="G34" s="260" ph="1"/>
      <c r="H34" s="234" ph="1"/>
      <c r="I34" s="238" ph="1"/>
      <c r="J34" s="242" ph="1"/>
      <c r="K34" s="234" ph="1"/>
      <c r="L34" s="244" ph="1"/>
      <c r="M34" s="242" ph="1"/>
      <c r="N34" s="234" ph="1"/>
      <c r="O34" s="238" ph="1"/>
      <c r="P34" s="242" ph="1"/>
      <c r="Q34" s="234" ph="1"/>
      <c r="R34" s="238" ph="1"/>
      <c r="S34" s="242" ph="1"/>
      <c r="T34" s="234"/>
      <c r="U34" s="223"/>
      <c r="V34" s="236" ph="1"/>
      <c r="W34" s="236" ph="1"/>
      <c r="X34" s="238" ph="1"/>
      <c r="Y34" s="240" ph="1"/>
      <c r="Z34" s="221" ph="1"/>
      <c r="AA34" s="223" ph="1"/>
      <c r="AB34" s="225"/>
      <c r="AC34" s="227"/>
      <c r="AD34" s="230"/>
      <c r="AE34" s="231"/>
    </row>
    <row r="35" spans="1:31" ph="1">
      <c r="A35" s="53"/>
      <c r="AC35" s="232" t="s" ph="1">
        <v>129</v>
      </c>
      <c r="AD35" s="232"/>
      <c r="AE35" s="232"/>
    </row>
    <row r="36" spans="1:31" ht="28.2" ph="1">
      <c r="A36" s="53"/>
      <c r="B36" s="92" t="s" ph="1">
        <v>130</v>
      </c>
      <c r="I36" s="218" t="s" ph="1">
        <v>131</v>
      </c>
      <c r="J36" s="218" ph="1"/>
      <c r="K36" s="90" ph="1"/>
      <c r="P36" s="90" ph="1"/>
      <c r="R36" s="218" t="s" ph="1">
        <v>132</v>
      </c>
      <c r="S36" s="218" ph="1"/>
      <c r="Y36" s="91" ph="1"/>
      <c r="Z36" s="124" t="s" ph="1">
        <v>133</v>
      </c>
      <c r="AA36" s="124" ph="1"/>
      <c r="AB36" s="219" t="s" ph="1">
        <v>134</v>
      </c>
      <c r="AC36" s="219" ph="1"/>
      <c r="AD36" s="219" ph="1"/>
      <c r="AE36" s="219" ph="1"/>
    </row>
    <row r="37" spans="1:31" s="124"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 ref="S33:S34"/>
    <mergeCell ref="H33:H34"/>
    <mergeCell ref="I33:I34"/>
    <mergeCell ref="J33:J34"/>
    <mergeCell ref="K33:K34"/>
    <mergeCell ref="L33:L34"/>
    <mergeCell ref="M33:M34"/>
    <mergeCell ref="N33:N34"/>
    <mergeCell ref="O33:O34"/>
    <mergeCell ref="P33:P34"/>
    <mergeCell ref="Q33:Q34"/>
    <mergeCell ref="R33:R34"/>
    <mergeCell ref="S31:U31"/>
    <mergeCell ref="V31:X31"/>
    <mergeCell ref="Y31:AA31"/>
    <mergeCell ref="AB31:AE31"/>
    <mergeCell ref="AD32:AE32"/>
    <mergeCell ref="B33:C34"/>
    <mergeCell ref="D33:D34"/>
    <mergeCell ref="E33:E34"/>
    <mergeCell ref="F33:F34"/>
    <mergeCell ref="G33:G34"/>
    <mergeCell ref="P31:R31"/>
    <mergeCell ref="B13:B14"/>
    <mergeCell ref="B15:B17"/>
    <mergeCell ref="B18:B20"/>
    <mergeCell ref="B22:B23"/>
    <mergeCell ref="B31:C32"/>
    <mergeCell ref="D31:F31"/>
    <mergeCell ref="G31:I31"/>
    <mergeCell ref="J31:L31"/>
    <mergeCell ref="M31:O31"/>
    <mergeCell ref="Z22:AE22"/>
    <mergeCell ref="Z23:AE29"/>
    <mergeCell ref="B24:B26"/>
    <mergeCell ref="B27:B29"/>
    <mergeCell ref="B1:AE1"/>
    <mergeCell ref="B2:AE2"/>
    <mergeCell ref="B3:AE3"/>
    <mergeCell ref="B4:B5"/>
    <mergeCell ref="B6:B8"/>
    <mergeCell ref="B9:B11"/>
  </mergeCells>
  <phoneticPr fontId="2" type="noConversion"/>
  <conditionalFormatting sqref="D4 D6 D8:D9 D11">
    <cfRule type="expression" dxfId="2001" priority="135">
      <formula>ABS(D$7-D$10)&gt;=1000</formula>
    </cfRule>
  </conditionalFormatting>
  <conditionalFormatting sqref="E4 E6 E8:E9 E11">
    <cfRule type="expression" dxfId="2000" priority="134">
      <formula>ABS(E$7-E$10)&gt;=1000</formula>
    </cfRule>
  </conditionalFormatting>
  <conditionalFormatting sqref="F4 F6 F8:F9 F11">
    <cfRule type="expression" dxfId="1999" priority="133">
      <formula>ABS(F$7-F$10)&gt;=1000</formula>
    </cfRule>
  </conditionalFormatting>
  <conditionalFormatting sqref="G4 G6 G8:G9 G11">
    <cfRule type="expression" dxfId="1998" priority="132">
      <formula>ABS(G$7-G$10)&gt;=1000</formula>
    </cfRule>
  </conditionalFormatting>
  <conditionalFormatting sqref="H4:K4 H8 H11">
    <cfRule type="expression" dxfId="1997" priority="131">
      <formula>ABS(H$7-H$10)&gt;=1000</formula>
    </cfRule>
  </conditionalFormatting>
  <conditionalFormatting sqref="I8 I11">
    <cfRule type="expression" dxfId="1996" priority="130">
      <formula>ABS(I$7-I$10)&gt;=1000</formula>
    </cfRule>
  </conditionalFormatting>
  <conditionalFormatting sqref="J8 J11">
    <cfRule type="expression" dxfId="1995" priority="129">
      <formula>ABS(J$7-J$10)&gt;=1000</formula>
    </cfRule>
  </conditionalFormatting>
  <conditionalFormatting sqref="K8 K11">
    <cfRule type="expression" dxfId="1994" priority="128">
      <formula>ABS(K$7-K$10)&gt;=1000</formula>
    </cfRule>
  </conditionalFormatting>
  <conditionalFormatting sqref="L4:L5 M4:N4 Q4:S4 L8 L11">
    <cfRule type="expression" dxfId="1993" priority="127">
      <formula>ABS(L$7-L$10)&gt;=1000</formula>
    </cfRule>
  </conditionalFormatting>
  <conditionalFormatting sqref="M8 M11">
    <cfRule type="expression" dxfId="1992" priority="126">
      <formula>ABS(M$7-M$10)&gt;=1000</formula>
    </cfRule>
  </conditionalFormatting>
  <conditionalFormatting sqref="N8 N11">
    <cfRule type="expression" dxfId="1991" priority="125">
      <formula>ABS(N$7-N$10)&gt;=1000</formula>
    </cfRule>
  </conditionalFormatting>
  <conditionalFormatting sqref="Q5:Q11">
    <cfRule type="expression" dxfId="1990" priority="124">
      <formula>ABS(Q$7-Q$10)&gt;=1000</formula>
    </cfRule>
  </conditionalFormatting>
  <conditionalFormatting sqref="R5:R11">
    <cfRule type="expression" dxfId="1989" priority="123">
      <formula>ABS(R$7-R$10)&gt;=1000</formula>
    </cfRule>
  </conditionalFormatting>
  <conditionalFormatting sqref="S5:S11">
    <cfRule type="expression" dxfId="1988" priority="122">
      <formula>ABS(S$7-S$10)&gt;=1000</formula>
    </cfRule>
  </conditionalFormatting>
  <conditionalFormatting sqref="T4:T9 T11">
    <cfRule type="expression" dxfId="1987" priority="121">
      <formula>ABS(T$7-T$10)&gt;=1000</formula>
    </cfRule>
  </conditionalFormatting>
  <conditionalFormatting sqref="U4:U9 U11">
    <cfRule type="expression" dxfId="1986" priority="120">
      <formula>ABS(U$7-U$10)&gt;=1000</formula>
    </cfRule>
  </conditionalFormatting>
  <conditionalFormatting sqref="V4:V9 V11">
    <cfRule type="expression" dxfId="1985" priority="119">
      <formula>ABS(V$7-V$10)&gt;=1000</formula>
    </cfRule>
  </conditionalFormatting>
  <conditionalFormatting sqref="W4:W9 W11">
    <cfRule type="expression" dxfId="1984" priority="118">
      <formula>ABS(W$7-W$10)&gt;=1000</formula>
    </cfRule>
  </conditionalFormatting>
  <conditionalFormatting sqref="X4:X9 X11">
    <cfRule type="expression" dxfId="1983" priority="117">
      <formula>ABS(X$7-X$10)&gt;=1000</formula>
    </cfRule>
  </conditionalFormatting>
  <conditionalFormatting sqref="Y4:Y9 Y11">
    <cfRule type="expression" dxfId="1982" priority="116">
      <formula>ABS(Y$7-Y$10)&gt;=1000</formula>
    </cfRule>
  </conditionalFormatting>
  <conditionalFormatting sqref="Z4:Z11">
    <cfRule type="expression" dxfId="1981" priority="115">
      <formula>ABS(Z$7-Z$10)&gt;=1000</formula>
    </cfRule>
  </conditionalFormatting>
  <conditionalFormatting sqref="AA4:AA11">
    <cfRule type="expression" dxfId="1980" priority="114">
      <formula>ABS(AA$7-AA$10)&gt;=1000</formula>
    </cfRule>
  </conditionalFormatting>
  <conditionalFormatting sqref="AB4:AB11">
    <cfRule type="expression" dxfId="1979" priority="113">
      <formula>ABS(AB$7-AB$10)&gt;=1000</formula>
    </cfRule>
  </conditionalFormatting>
  <conditionalFormatting sqref="AC4 AC6:AC11">
    <cfRule type="expression" dxfId="1978" priority="112">
      <formula>ABS(AC$7-AC$10)&gt;=1000</formula>
    </cfRule>
  </conditionalFormatting>
  <conditionalFormatting sqref="AD4 AD6:AD11">
    <cfRule type="expression" dxfId="1977" priority="111">
      <formula>ABS(AD$7-AD$10)&gt;=1000</formula>
    </cfRule>
  </conditionalFormatting>
  <conditionalFormatting sqref="AE4 AE6:AE11">
    <cfRule type="expression" dxfId="1976" priority="110">
      <formula>ABS(AE$7-AE$10)&gt;=1000</formula>
    </cfRule>
  </conditionalFormatting>
  <conditionalFormatting sqref="D13:D14 D16:D20">
    <cfRule type="expression" dxfId="1975" priority="109">
      <formula>ABS(D$16-D$19)&gt;=1000</formula>
    </cfRule>
  </conditionalFormatting>
  <conditionalFormatting sqref="E13:E20">
    <cfRule type="expression" dxfId="1974" priority="108">
      <formula>ABS(E$16-E$19)&gt;=1000</formula>
    </cfRule>
  </conditionalFormatting>
  <conditionalFormatting sqref="F13 F15:F20">
    <cfRule type="expression" dxfId="1973" priority="107">
      <formula>ABS(F$16-F$19)&gt;=1000</formula>
    </cfRule>
  </conditionalFormatting>
  <conditionalFormatting sqref="G13:G20">
    <cfRule type="expression" dxfId="1972" priority="106">
      <formula>ABS(G$16-G$19)&gt;=1000</formula>
    </cfRule>
  </conditionalFormatting>
  <conditionalFormatting sqref="H13 H15:H20">
    <cfRule type="expression" dxfId="1971" priority="105">
      <formula>ABS(H$16-H$19)&gt;=1000</formula>
    </cfRule>
  </conditionalFormatting>
  <conditionalFormatting sqref="I13:I20">
    <cfRule type="expression" dxfId="1970" priority="104">
      <formula>ABS(I$16-I$19)&gt;=1000</formula>
    </cfRule>
  </conditionalFormatting>
  <conditionalFormatting sqref="J13:J20">
    <cfRule type="expression" dxfId="1969" priority="103">
      <formula>ABS(J$16-J$19)&gt;=1000</formula>
    </cfRule>
  </conditionalFormatting>
  <conditionalFormatting sqref="L13:L20">
    <cfRule type="expression" dxfId="1968" priority="102">
      <formula>ABS(L$16-L$19)&gt;=1000</formula>
    </cfRule>
  </conditionalFormatting>
  <conditionalFormatting sqref="M13 M15 M17:M18 M20">
    <cfRule type="expression" dxfId="1967" priority="101">
      <formula>ABS(M$16-M$19)&gt;=1000</formula>
    </cfRule>
  </conditionalFormatting>
  <conditionalFormatting sqref="N13:N20">
    <cfRule type="expression" dxfId="1966" priority="100">
      <formula>ABS(N$16-N$19)&gt;=1000</formula>
    </cfRule>
  </conditionalFormatting>
  <conditionalFormatting sqref="O13:O20">
    <cfRule type="expression" dxfId="1965" priority="99">
      <formula>ABS(O$16-O$19)&gt;=1000</formula>
    </cfRule>
  </conditionalFormatting>
  <conditionalFormatting sqref="P13:P20">
    <cfRule type="expression" dxfId="1964" priority="98">
      <formula>ABS(P$16-P$19)&gt;=1000</formula>
    </cfRule>
  </conditionalFormatting>
  <conditionalFormatting sqref="Q13 Q15:Q20">
    <cfRule type="expression" dxfId="1963" priority="97">
      <formula>ABS(Q$16-Q$19)&gt;=1000</formula>
    </cfRule>
  </conditionalFormatting>
  <conditionalFormatting sqref="R13:R20">
    <cfRule type="expression" dxfId="1962" priority="96">
      <formula>ABS(R$16-R$19)&gt;=1000</formula>
    </cfRule>
  </conditionalFormatting>
  <conditionalFormatting sqref="S13:S20">
    <cfRule type="expression" dxfId="1961" priority="95">
      <formula>ABS(S$16-S$19)&gt;=1000</formula>
    </cfRule>
  </conditionalFormatting>
  <conditionalFormatting sqref="T13:T20">
    <cfRule type="expression" dxfId="1960" priority="94">
      <formula>ABS(T$16-T$19)&gt;=1000</formula>
    </cfRule>
  </conditionalFormatting>
  <conditionalFormatting sqref="U13:U20">
    <cfRule type="expression" dxfId="1959" priority="93">
      <formula>ABS(U$16-U$19)&gt;=1000</formula>
    </cfRule>
  </conditionalFormatting>
  <conditionalFormatting sqref="V13:V20">
    <cfRule type="expression" dxfId="1958" priority="92">
      <formula>ABS(V$16-V$19)&gt;=1000</formula>
    </cfRule>
  </conditionalFormatting>
  <conditionalFormatting sqref="W13 W20 W15:W18">
    <cfRule type="expression" dxfId="1957" priority="91">
      <formula>ABS(W$16-W$19)&gt;=1000</formula>
    </cfRule>
  </conditionalFormatting>
  <conditionalFormatting sqref="X13 X15:X20 Y19">
    <cfRule type="expression" dxfId="1956" priority="90">
      <formula>ABS(X$16-X$19)&gt;=1000</formula>
    </cfRule>
  </conditionalFormatting>
  <conditionalFormatting sqref="Y13 Y15:Y18 Y20">
    <cfRule type="expression" dxfId="1955" priority="89">
      <formula>ABS(Y$16-Y$19)&gt;=1000</formula>
    </cfRule>
  </conditionalFormatting>
  <conditionalFormatting sqref="Z13:Z20">
    <cfRule type="expression" dxfId="1954" priority="88">
      <formula>ABS(Z$16-Z$19)&gt;=1000</formula>
    </cfRule>
  </conditionalFormatting>
  <conditionalFormatting sqref="AA13:AA20">
    <cfRule type="expression" dxfId="1953" priority="87">
      <formula>ABS(AA$16-AA$19)&gt;=1000</formula>
    </cfRule>
  </conditionalFormatting>
  <conditionalFormatting sqref="AB13 AB15:AB20">
    <cfRule type="expression" dxfId="1952" priority="86">
      <formula>ABS(AB$16-AB$19)&gt;=1000</formula>
    </cfRule>
  </conditionalFormatting>
  <conditionalFormatting sqref="AC13 AC15:AC20">
    <cfRule type="expression" dxfId="1951" priority="85">
      <formula>ABS(AC$16-AC$19)&gt;=1000</formula>
    </cfRule>
  </conditionalFormatting>
  <conditionalFormatting sqref="AD13:AD20">
    <cfRule type="expression" dxfId="1950" priority="84">
      <formula>ABS(AD$16-AD$19)&gt;=1000</formula>
    </cfRule>
  </conditionalFormatting>
  <conditionalFormatting sqref="AE13:AE20">
    <cfRule type="expression" dxfId="1949" priority="83">
      <formula>ABS(AE$16-AE$19)&gt;=1000</formula>
    </cfRule>
  </conditionalFormatting>
  <conditionalFormatting sqref="D22:D23 D25:D29">
    <cfRule type="expression" dxfId="1948" priority="82">
      <formula>ABS(D$25-D$28)&gt;=1000</formula>
    </cfRule>
  </conditionalFormatting>
  <conditionalFormatting sqref="E22:E29">
    <cfRule type="expression" dxfId="1947" priority="81">
      <formula>ABS(E$25-E$28)&gt;=1000</formula>
    </cfRule>
  </conditionalFormatting>
  <conditionalFormatting sqref="F22:F29">
    <cfRule type="expression" dxfId="1946" priority="80">
      <formula>ABS(F$25-F$28)&gt;=1000</formula>
    </cfRule>
  </conditionalFormatting>
  <conditionalFormatting sqref="G22:G29">
    <cfRule type="expression" dxfId="1945" priority="79">
      <formula>ABS(G$25-G$28)&gt;=1000</formula>
    </cfRule>
  </conditionalFormatting>
  <conditionalFormatting sqref="H22:H29">
    <cfRule type="expression" dxfId="1944" priority="78">
      <formula>ABS(H$25-H$28)&gt;=1000</formula>
    </cfRule>
  </conditionalFormatting>
  <conditionalFormatting sqref="I22 I24:I29">
    <cfRule type="expression" dxfId="1943" priority="77">
      <formula>ABS(I$25-I$28)&gt;=1000</formula>
    </cfRule>
  </conditionalFormatting>
  <conditionalFormatting sqref="J22:J29 K22">
    <cfRule type="expression" dxfId="1942" priority="76">
      <formula>ABS(J$25-J$28)&gt;=1000</formula>
    </cfRule>
  </conditionalFormatting>
  <conditionalFormatting sqref="K23:K29 L25 L28">
    <cfRule type="expression" dxfId="1941" priority="75">
      <formula>ABS(K$25-K$28)&gt;=1000</formula>
    </cfRule>
  </conditionalFormatting>
  <conditionalFormatting sqref="L22 L26:L27 L29 L24">
    <cfRule type="expression" dxfId="1940" priority="74">
      <formula>ABS(L$25-L$28)&gt;=1000</formula>
    </cfRule>
  </conditionalFormatting>
  <conditionalFormatting sqref="M22:M29">
    <cfRule type="expression" dxfId="1939" priority="73">
      <formula>ABS(M$25-M$28)&gt;=1000</formula>
    </cfRule>
  </conditionalFormatting>
  <conditionalFormatting sqref="N22:N29">
    <cfRule type="expression" dxfId="1938" priority="72">
      <formula>ABS(N$25-N$28)&gt;=1000</formula>
    </cfRule>
  </conditionalFormatting>
  <conditionalFormatting sqref="O22:O29">
    <cfRule type="expression" dxfId="1937" priority="71">
      <formula>ABS(O$25-O$28)&gt;=1000</formula>
    </cfRule>
  </conditionalFormatting>
  <conditionalFormatting sqref="P22:P29">
    <cfRule type="expression" dxfId="1936" priority="70">
      <formula>ABS(P$25-P$28)&gt;=1000</formula>
    </cfRule>
  </conditionalFormatting>
  <conditionalFormatting sqref="Q22:Q29">
    <cfRule type="expression" dxfId="1935" priority="69">
      <formula>ABS(Q$25-Q$28)&gt;=1000</formula>
    </cfRule>
  </conditionalFormatting>
  <conditionalFormatting sqref="R22:R29">
    <cfRule type="expression" dxfId="1934" priority="68">
      <formula>ABS(R$25-R$28)&gt;=1000</formula>
    </cfRule>
  </conditionalFormatting>
  <conditionalFormatting sqref="S22:S29">
    <cfRule type="expression" dxfId="1933" priority="67">
      <formula>ABS(S$25-S$28)&gt;=1000</formula>
    </cfRule>
  </conditionalFormatting>
  <conditionalFormatting sqref="T22:T29">
    <cfRule type="expression" dxfId="1932" priority="66">
      <formula>ABS(T$25-T$28)&gt;=1000</formula>
    </cfRule>
  </conditionalFormatting>
  <conditionalFormatting sqref="U22:U29">
    <cfRule type="expression" dxfId="1931" priority="65">
      <formula>ABS(U$25-U$28)&gt;=1000</formula>
    </cfRule>
  </conditionalFormatting>
  <conditionalFormatting sqref="V22:V29">
    <cfRule type="expression" dxfId="1930" priority="64">
      <formula>ABS(V$25-V$28)&gt;=1000</formula>
    </cfRule>
  </conditionalFormatting>
  <conditionalFormatting sqref="W22:W29">
    <cfRule type="expression" dxfId="1929" priority="63">
      <formula>ABS(W$25-W$28)&gt;=1000</formula>
    </cfRule>
  </conditionalFormatting>
  <conditionalFormatting sqref="X22:X29">
    <cfRule type="expression" dxfId="1928" priority="62">
      <formula>ABS(X$25-X$28)&gt;=1000</formula>
    </cfRule>
  </conditionalFormatting>
  <conditionalFormatting sqref="Y22:Y29">
    <cfRule type="expression" dxfId="1927" priority="61">
      <formula>ABS(Y$25-Y$28)&gt;=1000</formula>
    </cfRule>
  </conditionalFormatting>
  <conditionalFormatting sqref="I23">
    <cfRule type="expression" dxfId="1926" priority="60">
      <formula>ABS(I$25-I$28)&gt;=1000</formula>
    </cfRule>
  </conditionalFormatting>
  <conditionalFormatting sqref="Q14">
    <cfRule type="expression" dxfId="1925" priority="59">
      <formula>ABS(Q$16-Q$19)&gt;=1000</formula>
    </cfRule>
  </conditionalFormatting>
  <conditionalFormatting sqref="W14">
    <cfRule type="expression" dxfId="1924" priority="58">
      <formula>ABS(W$16-W$19)&gt;=1000</formula>
    </cfRule>
  </conditionalFormatting>
  <conditionalFormatting sqref="X14">
    <cfRule type="expression" dxfId="1923" priority="57">
      <formula>ABS(X$16-X$19)&gt;=1000</formula>
    </cfRule>
  </conditionalFormatting>
  <conditionalFormatting sqref="T10:Y10">
    <cfRule type="expression" dxfId="1922" priority="56">
      <formula>ABS(T$7-T$10)&gt;=1000</formula>
    </cfRule>
  </conditionalFormatting>
  <conditionalFormatting sqref="W19">
    <cfRule type="expression" dxfId="1921" priority="55">
      <formula>ABS(W$16-W$19)&gt;=1000</formula>
    </cfRule>
  </conditionalFormatting>
  <conditionalFormatting sqref="AC5">
    <cfRule type="expression" dxfId="1920" priority="54">
      <formula>ABS(AC$7-AC$10)&gt;=1000</formula>
    </cfRule>
  </conditionalFormatting>
  <conditionalFormatting sqref="M14">
    <cfRule type="expression" dxfId="1919" priority="53">
      <formula>ABS(M$16-M$19)&gt;=1000</formula>
    </cfRule>
  </conditionalFormatting>
  <conditionalFormatting sqref="M16">
    <cfRule type="expression" dxfId="1918" priority="52">
      <formula>ABS(M$16-M$19)&gt;=1000</formula>
    </cfRule>
  </conditionalFormatting>
  <conditionalFormatting sqref="M19">
    <cfRule type="expression" dxfId="1917" priority="51">
      <formula>ABS(M$16-M$19)&gt;=1000</formula>
    </cfRule>
  </conditionalFormatting>
  <conditionalFormatting sqref="K13:K20">
    <cfRule type="expression" dxfId="1916" priority="50">
      <formula>ABS(K$16-K$19)&gt;=1000</formula>
    </cfRule>
  </conditionalFormatting>
  <conditionalFormatting sqref="AB14:AC14">
    <cfRule type="expression" dxfId="1915" priority="49">
      <formula>ABS(AB$16-AB$19)&gt;=1000</formula>
    </cfRule>
  </conditionalFormatting>
  <conditionalFormatting sqref="M5">
    <cfRule type="expression" dxfId="1914" priority="48">
      <formula>ABS(M$7-M$10)&gt;=1000</formula>
    </cfRule>
  </conditionalFormatting>
  <conditionalFormatting sqref="N5">
    <cfRule type="expression" dxfId="1913" priority="47">
      <formula>ABS(N$7-N$10)&gt;=1000</formula>
    </cfRule>
  </conditionalFormatting>
  <conditionalFormatting sqref="L23">
    <cfRule type="expression" dxfId="1912" priority="46">
      <formula>ABS(L$25-L$28)&gt;=1000</formula>
    </cfRule>
  </conditionalFormatting>
  <conditionalFormatting sqref="Y14">
    <cfRule type="expression" dxfId="1911" priority="45">
      <formula>ABS(Y$16-Y$19)&gt;=1000</formula>
    </cfRule>
  </conditionalFormatting>
  <conditionalFormatting sqref="F14">
    <cfRule type="expression" dxfId="1910" priority="44">
      <formula>ABS(F$16-F$19)&gt;=1000</formula>
    </cfRule>
  </conditionalFormatting>
  <conditionalFormatting sqref="H14">
    <cfRule type="expression" dxfId="1909" priority="43">
      <formula>ABS(H$16-H$19)&gt;=1000</formula>
    </cfRule>
  </conditionalFormatting>
  <conditionalFormatting sqref="AD5">
    <cfRule type="expression" dxfId="1908" priority="42">
      <formula>ABS(AD$7-AD$10)&gt;=1000</formula>
    </cfRule>
  </conditionalFormatting>
  <conditionalFormatting sqref="AE5">
    <cfRule type="expression" dxfId="1907" priority="41">
      <formula>ABS(AE$7-AE$10)&gt;=1000</formula>
    </cfRule>
  </conditionalFormatting>
  <conditionalFormatting sqref="D5">
    <cfRule type="expression" dxfId="1906" priority="40">
      <formula>ABS(D$7-D$10)&gt;=1000</formula>
    </cfRule>
  </conditionalFormatting>
  <conditionalFormatting sqref="E5:G5">
    <cfRule type="expression" dxfId="1905" priority="39">
      <formula>ABS(E$7-E$10)&gt;=1000</formula>
    </cfRule>
  </conditionalFormatting>
  <conditionalFormatting sqref="H5">
    <cfRule type="expression" dxfId="1904" priority="38">
      <formula>ABS(H$7-H$10)&gt;=1000</formula>
    </cfRule>
  </conditionalFormatting>
  <conditionalFormatting sqref="O4:P4">
    <cfRule type="expression" dxfId="1903" priority="37">
      <formula>ABS(O$7-O$10)&gt;=1000</formula>
    </cfRule>
  </conditionalFormatting>
  <conditionalFormatting sqref="O5 O8 O11">
    <cfRule type="expression" dxfId="1902" priority="36">
      <formula>ABS(O$7-O$10)&gt;=1000</formula>
    </cfRule>
  </conditionalFormatting>
  <conditionalFormatting sqref="P8 P11">
    <cfRule type="expression" dxfId="1901" priority="35">
      <formula>ABS(P$7-P$10)&gt;=1000</formula>
    </cfRule>
  </conditionalFormatting>
  <conditionalFormatting sqref="J5">
    <cfRule type="expression" dxfId="1900" priority="34">
      <formula>ABS(J$7-J$10)&gt;=1000</formula>
    </cfRule>
  </conditionalFormatting>
  <conditionalFormatting sqref="K5">
    <cfRule type="expression" dxfId="1899" priority="33">
      <formula>ABS(K$7-K$10)&gt;=1000</formula>
    </cfRule>
  </conditionalFormatting>
  <conditionalFormatting sqref="D7:G7">
    <cfRule type="expression" dxfId="1898" priority="32">
      <formula>ABS(D$7-D$10)&gt;=1000</formula>
    </cfRule>
  </conditionalFormatting>
  <conditionalFormatting sqref="H7:L7">
    <cfRule type="expression" dxfId="1897" priority="31">
      <formula>ABS(H$7-H$10)&gt;=1000</formula>
    </cfRule>
  </conditionalFormatting>
  <conditionalFormatting sqref="M7">
    <cfRule type="expression" dxfId="1896" priority="30">
      <formula>ABS(M$7-M$10)&gt;=1000</formula>
    </cfRule>
  </conditionalFormatting>
  <conditionalFormatting sqref="O7:P7">
    <cfRule type="expression" dxfId="1895" priority="29">
      <formula>ABS(O$7-O$10)&gt;=1000</formula>
    </cfRule>
  </conditionalFormatting>
  <conditionalFormatting sqref="N7">
    <cfRule type="expression" dxfId="1894" priority="28">
      <formula>ABS(N$7-N$10)&gt;=1000</formula>
    </cfRule>
  </conditionalFormatting>
  <conditionalFormatting sqref="H6">
    <cfRule type="expression" dxfId="1893" priority="27">
      <formula>ABS(H$7-H$10)&gt;=1000</formula>
    </cfRule>
  </conditionalFormatting>
  <conditionalFormatting sqref="J6">
    <cfRule type="expression" dxfId="1892" priority="26">
      <formula>ABS(J$7-J$10)&gt;=1000</formula>
    </cfRule>
  </conditionalFormatting>
  <conditionalFormatting sqref="K6">
    <cfRule type="expression" dxfId="1891" priority="25">
      <formula>ABS(K$7-K$10)&gt;=1000</formula>
    </cfRule>
  </conditionalFormatting>
  <conditionalFormatting sqref="L6">
    <cfRule type="expression" dxfId="1890" priority="24">
      <formula>ABS(L$7-L$10)&gt;=1000</formula>
    </cfRule>
  </conditionalFormatting>
  <conditionalFormatting sqref="M6">
    <cfRule type="expression" dxfId="1889" priority="23">
      <formula>ABS(M$7-M$10)&gt;=1000</formula>
    </cfRule>
  </conditionalFormatting>
  <conditionalFormatting sqref="N6">
    <cfRule type="expression" dxfId="1888" priority="22">
      <formula>ABS(N$7-N$10)&gt;=1000</formula>
    </cfRule>
  </conditionalFormatting>
  <conditionalFormatting sqref="O6">
    <cfRule type="expression" dxfId="1887" priority="21">
      <formula>ABS(O$7-O$10)&gt;=1000</formula>
    </cfRule>
  </conditionalFormatting>
  <conditionalFormatting sqref="P6">
    <cfRule type="expression" dxfId="1886" priority="20">
      <formula>ABS(P$7-P$10)&gt;=1000</formula>
    </cfRule>
  </conditionalFormatting>
  <conditionalFormatting sqref="I6">
    <cfRule type="expression" dxfId="1885" priority="19">
      <formula>ABS(I$7-I$10)&gt;=1000</formula>
    </cfRule>
  </conditionalFormatting>
  <conditionalFormatting sqref="H9">
    <cfRule type="expression" dxfId="1884" priority="18">
      <formula>ABS(H$7-H$10)&gt;=1000</formula>
    </cfRule>
  </conditionalFormatting>
  <conditionalFormatting sqref="J9">
    <cfRule type="expression" dxfId="1883" priority="17">
      <formula>ABS(J$7-J$10)&gt;=1000</formula>
    </cfRule>
  </conditionalFormatting>
  <conditionalFormatting sqref="K9">
    <cfRule type="expression" dxfId="1882" priority="16">
      <formula>ABS(K$7-K$10)&gt;=1000</formula>
    </cfRule>
  </conditionalFormatting>
  <conditionalFormatting sqref="L9">
    <cfRule type="expression" dxfId="1881" priority="15">
      <formula>ABS(L$7-L$10)&gt;=1000</formula>
    </cfRule>
  </conditionalFormatting>
  <conditionalFormatting sqref="M9">
    <cfRule type="expression" dxfId="1880" priority="14">
      <formula>ABS(M$7-M$10)&gt;=1000</formula>
    </cfRule>
  </conditionalFormatting>
  <conditionalFormatting sqref="N9">
    <cfRule type="expression" dxfId="1879" priority="13">
      <formula>ABS(N$7-N$10)&gt;=1000</formula>
    </cfRule>
  </conditionalFormatting>
  <conditionalFormatting sqref="O9">
    <cfRule type="expression" dxfId="1878" priority="12">
      <formula>ABS(O$7-O$10)&gt;=1000</formula>
    </cfRule>
  </conditionalFormatting>
  <conditionalFormatting sqref="P9">
    <cfRule type="expression" dxfId="1877" priority="11">
      <formula>ABS(P$7-P$10)&gt;=1000</formula>
    </cfRule>
  </conditionalFormatting>
  <conditionalFormatting sqref="I9">
    <cfRule type="expression" dxfId="1876" priority="10">
      <formula>ABS(I$7-I$10)&gt;=1000</formula>
    </cfRule>
  </conditionalFormatting>
  <conditionalFormatting sqref="P5">
    <cfRule type="expression" dxfId="1875" priority="9">
      <formula>ABS(P$7-P$10)&gt;=1000</formula>
    </cfRule>
  </conditionalFormatting>
  <conditionalFormatting sqref="I5">
    <cfRule type="expression" dxfId="1874" priority="8">
      <formula>ABS(I$7-I$10)&gt;=1000</formula>
    </cfRule>
  </conditionalFormatting>
  <conditionalFormatting sqref="D10:G10">
    <cfRule type="expression" dxfId="1873" priority="7">
      <formula>ABS(D$7-D$10)&gt;=1000</formula>
    </cfRule>
  </conditionalFormatting>
  <conditionalFormatting sqref="H10:L10">
    <cfRule type="expression" dxfId="1872" priority="6">
      <formula>ABS(H$7-H$10)&gt;=1000</formula>
    </cfRule>
  </conditionalFormatting>
  <conditionalFormatting sqref="M10">
    <cfRule type="expression" dxfId="1871" priority="5">
      <formula>ABS(M$7-M$10)&gt;=1000</formula>
    </cfRule>
  </conditionalFormatting>
  <conditionalFormatting sqref="O10:P10">
    <cfRule type="expression" dxfId="1870" priority="4">
      <formula>ABS(O$7-O$10)&gt;=1000</formula>
    </cfRule>
  </conditionalFormatting>
  <conditionalFormatting sqref="N10">
    <cfRule type="expression" dxfId="1869" priority="3">
      <formula>ABS(N$7-N$10)&gt;=1000</formula>
    </cfRule>
  </conditionalFormatting>
  <conditionalFormatting sqref="D15">
    <cfRule type="expression" dxfId="1868" priority="2">
      <formula>ABS(D$16-D$19)&gt;=1000</formula>
    </cfRule>
  </conditionalFormatting>
  <conditionalFormatting sqref="D24">
    <cfRule type="expression" dxfId="1867" priority="1">
      <formula>ABS(D$16-D$19)&gt;=1000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201"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0">
    <pageSetUpPr fitToPage="1"/>
  </sheetPr>
  <dimension ref="A1:AQ205"/>
  <sheetViews>
    <sheetView view="pageBreakPreview" zoomScaleNormal="100" zoomScaleSheetLayoutView="100" workbookViewId="0">
      <selection activeCell="G7" sqref="G7"/>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46234</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71" t="s" ph="1">
        <v>42</v>
      </c>
      <c r="D6" s="151">
        <v>0.60260000000000002</v>
      </c>
      <c r="E6" s="151">
        <v>0</v>
      </c>
      <c r="F6" s="151">
        <v>0.73419999999999996</v>
      </c>
      <c r="G6" s="151">
        <v>1E-3</v>
      </c>
      <c r="H6" s="150">
        <v>1592</v>
      </c>
      <c r="I6" s="150">
        <v>2544</v>
      </c>
      <c r="J6" s="150">
        <v>5055</v>
      </c>
      <c r="K6" s="150">
        <v>6172</v>
      </c>
      <c r="L6" s="150">
        <v>6277</v>
      </c>
      <c r="M6" s="150">
        <v>1649</v>
      </c>
      <c r="N6" s="150">
        <v>4054</v>
      </c>
      <c r="O6" s="150">
        <v>4260</v>
      </c>
      <c r="P6" s="150">
        <v>2429</v>
      </c>
      <c r="Q6" s="294"/>
      <c r="R6" s="295"/>
      <c r="S6" s="295"/>
      <c r="T6" s="295"/>
      <c r="U6" s="296"/>
    </row>
    <row r="7" spans="1:43" s="61" customFormat="1" ht="25.95" customHeight="1" ph="1">
      <c r="B7" s="284" ph="1"/>
      <c r="C7" s="57" t="s" ph="1">
        <v>43</v>
      </c>
      <c r="D7" s="62" ph="1">
        <f>((D6*5885)*4.48)*LOOKUP(D8,密度!$A$2:$A$50,密度!$B$2:$B$50)</f>
        <v>12303.224614912</v>
      </c>
      <c r="E7" s="62" ph="1">
        <f>((E6*5885)*4.48)*LOOKUP(E8,密度!$A$2:$A$50,密度!$B$2:$B$50)</f>
        <v>0</v>
      </c>
      <c r="F7" s="62" ph="1">
        <f>((F6*5885)*4.48)*LOOKUP(F8,密度!$A$2:$A$50,密度!$B$2:$B$50)</f>
        <v>15007.510134848</v>
      </c>
      <c r="G7" s="62" ph="1">
        <f>((G6*5885)*4.48)*LOOKUP(G8,密度!$A$2:$A$50,密度!$B$2:$B$50)</f>
        <v>20.485449600000003</v>
      </c>
      <c r="H7" s="62" ph="1">
        <f>IF(H6&lt;=0,0,IF(H6&lt;=745,PI()*(5.3235*(H6/1000)^2-(4/3)*(H6/1000)^3),7.55+15.2053*((H6-745)/1000))*LOOKUP(H8,密度!$A$2:$A$50,密度!$B$2:$B$50)*1000)</f>
        <v>15820.131719039999</v>
      </c>
      <c r="I7" s="62" ph="1">
        <f>IF(I6&lt;=0,0,IF(I6&lt;=745,PI()*(5.3235*(I6/1000)^2-(4/3)*(I6/1000)^3),7.55+15.2053*((I6-745)/1000))*LOOKUP(I8,密度!$A$2:$A$50,密度!$B$2:$B$50)*1000)</f>
        <v>26970.57942269</v>
      </c>
      <c r="J7" s="62" ph="1">
        <f>IF(J6&lt;=0,0,IF(J6&lt;=745,PI()*(5.3235*(J6/1000)^2-(4/3)*(J6/1000)^3),7.55+15.2053*((J6-745)/1000))*LOOKUP(J8,密度!$A$2:$A$50,密度!$B$2:$B$50)*1000)</f>
        <v>56531.126060499992</v>
      </c>
      <c r="K7" s="62" ph="1">
        <f>IF(K6&lt;=0,0,IF(K6&lt;=745,PI()*(5.3235*(K6/1000)^2-(4/3)*(K6/1000)^3),7.55+15.2053*((K6-745)/1000))*LOOKUP(K8,密度!$A$2:$A$50,密度!$B$2:$B$50)*1000)</f>
        <v>69668.497657849977</v>
      </c>
      <c r="L7" s="62" ph="1">
        <f>L6*26.42*LOOKUP(L8,密度!$A$2:$A$50,密度!$B$2:$B$50)</f>
        <v>128574.465002</v>
      </c>
      <c r="M7" s="62" ph="1">
        <f>M6*26.42*1</f>
        <v>43566.58</v>
      </c>
      <c r="N7" s="62" ph="1">
        <f>N6*18.32*LOOKUP(N8,密度!$A$2:$A$50,密度!$B$2:$B$50)</f>
        <v>57580.972783999998</v>
      </c>
      <c r="O7" s="62" ph="1">
        <f>O6*81.71*LOOKUP(O8,密度!$A$2:$A$50,密度!$B$2:$B$50)</f>
        <v>269556.71424</v>
      </c>
      <c r="P7" s="62" ph="1">
        <f>P6*81.71*LOOKUP(P8,密度!$A$2:$A$50,密度!$B$2:$B$50)</f>
        <v>153697.94809599998</v>
      </c>
      <c r="Q7" s="294"/>
      <c r="R7" s="295"/>
      <c r="S7" s="295"/>
      <c r="T7" s="295"/>
      <c r="U7" s="296"/>
    </row>
    <row r="8" spans="1:43" ht="25.95" customHeight="1" ph="1">
      <c r="B8" s="284" ph="1"/>
      <c r="C8" s="57" t="s" ph="1">
        <v>44</v>
      </c>
      <c r="D8" s="149">
        <v>31</v>
      </c>
      <c r="E8" s="149">
        <v>28</v>
      </c>
      <c r="F8" s="149">
        <v>30</v>
      </c>
      <c r="G8" s="149">
        <v>28</v>
      </c>
      <c r="H8" s="149">
        <v>31</v>
      </c>
      <c r="I8" s="149">
        <v>33</v>
      </c>
      <c r="J8" s="149">
        <v>32</v>
      </c>
      <c r="K8" s="149">
        <v>32</v>
      </c>
      <c r="L8" s="149">
        <v>30</v>
      </c>
      <c r="M8" s="149">
        <v>30</v>
      </c>
      <c r="N8" s="149">
        <v>30</v>
      </c>
      <c r="O8" s="149">
        <v>31</v>
      </c>
      <c r="P8" s="149">
        <v>31</v>
      </c>
      <c r="Q8" s="294"/>
      <c r="R8" s="295"/>
      <c r="S8" s="295"/>
      <c r="T8" s="295"/>
      <c r="U8" s="296"/>
    </row>
    <row r="9" spans="1:43" ht="25.95" customHeight="1" ph="1">
      <c r="B9" s="284" ph="1">
        <v>0.66666666666666663</v>
      </c>
      <c r="C9" s="171" t="s" ph="1">
        <v>45</v>
      </c>
      <c r="D9" s="151">
        <v>0.60250000000000004</v>
      </c>
      <c r="E9" s="151">
        <v>0</v>
      </c>
      <c r="F9" s="151">
        <v>0.73260000000000003</v>
      </c>
      <c r="G9" s="151">
        <v>1E-3</v>
      </c>
      <c r="H9" s="150">
        <v>1592</v>
      </c>
      <c r="I9" s="150">
        <v>2543</v>
      </c>
      <c r="J9" s="150">
        <v>5054</v>
      </c>
      <c r="K9" s="150">
        <v>6172</v>
      </c>
      <c r="L9" s="150">
        <v>6276</v>
      </c>
      <c r="M9" s="150">
        <v>1646</v>
      </c>
      <c r="N9" s="150">
        <v>4055</v>
      </c>
      <c r="O9" s="150">
        <v>5077</v>
      </c>
      <c r="P9" s="150">
        <v>2970</v>
      </c>
      <c r="Q9" s="294"/>
      <c r="R9" s="295"/>
      <c r="S9" s="295"/>
      <c r="T9" s="295"/>
      <c r="U9" s="296"/>
    </row>
    <row r="10" spans="1:43" s="61" customFormat="1" ht="25.95" customHeight="1" ph="1">
      <c r="B10" s="284" ph="1"/>
      <c r="C10" s="171" t="s" ph="1">
        <v>43</v>
      </c>
      <c r="D10" s="62" ph="1">
        <f>((D9*5885)*4.48)*LOOKUP(D11,密度!$A$2:$A$50,密度!$B$2:$B$50)</f>
        <v>12301.182924800001</v>
      </c>
      <c r="E10" s="62" ph="1">
        <f>((E9*5885)*4.48)*LOOKUP(E11,密度!$A$2:$A$50,密度!$B$2:$B$50)</f>
        <v>0</v>
      </c>
      <c r="F10" s="62" ph="1">
        <f>((F9*5885)*4.48)*LOOKUP(F11,密度!$A$2:$A$50,密度!$B$2:$B$50)</f>
        <v>14974.805127744004</v>
      </c>
      <c r="G10" s="62" ph="1">
        <f>((G9*5885)*4.48)*LOOKUP(G11,密度!$A$2:$A$50,密度!$B$2:$B$50)</f>
        <v>20.416901120000002</v>
      </c>
      <c r="H10" s="62" ph="1">
        <f>IF(H9&lt;=0,0,IF(H9&lt;=745,PI()*(5.3235*(H9/1000)^2-(4/3)*(H9/1000)^3),7.55+15.2053*((H9-745)/1000))*LOOKUP(H11,密度!$A$2:$A$50,密度!$B$2:$B$50)*1000)</f>
        <v>15820.131719039999</v>
      </c>
      <c r="I10" s="62" ph="1">
        <f>IF(I9&lt;=0,0,IF(I9&lt;=745,PI()*(5.3235*(I9/1000)^2-(4/3)*(I9/1000)^3),7.55+15.2053*((I9-745)/1000))*LOOKUP(I11,密度!$A$2:$A$50,密度!$B$2:$B$50)*1000)</f>
        <v>26986.741590900001</v>
      </c>
      <c r="J10" s="62" ph="1">
        <f>IF(J9&lt;=0,0,IF(J9&lt;=745,PI()*(5.3235*(J9/1000)^2-(4/3)*(J9/1000)^3),7.55+15.2053*((J9-745)/1000))*LOOKUP(J11,密度!$A$2:$A$50,密度!$B$2:$B$50)*1000)</f>
        <v>56519.364760949997</v>
      </c>
      <c r="K10" s="62" ph="1">
        <f>IF(K9&lt;=0,0,IF(K9&lt;=745,PI()*(5.3235*(K9/1000)^2-(4/3)*(K9/1000)^3),7.55+15.2053*((K9-745)/1000))*LOOKUP(K11,密度!$A$2:$A$50,密度!$B$2:$B$50)*1000)</f>
        <v>69668.497657849977</v>
      </c>
      <c r="L10" s="62" ph="1">
        <f>L9*26.42*LOOKUP(L11,密度!$A$2:$A$50,密度!$B$2:$B$50)</f>
        <v>128553.98157600001</v>
      </c>
      <c r="M10" s="62" ph="1">
        <f>M9*26.42*1</f>
        <v>43487.32</v>
      </c>
      <c r="N10" s="62" ph="1">
        <f>N9*18.32*LOOKUP(N11,密度!$A$2:$A$50,密度!$B$2:$B$50)</f>
        <v>57595.176280000007</v>
      </c>
      <c r="O10" s="62" ph="1">
        <f>O9*81.71*LOOKUP(O11,密度!$A$2:$A$50,密度!$B$2:$B$50)</f>
        <v>321253.38924799999</v>
      </c>
      <c r="P10" s="62" ph="1">
        <f>P9*81.71*LOOKUP(P11,密度!$A$2:$A$50,密度!$B$2:$B$50)</f>
        <v>187930.38527999999</v>
      </c>
      <c r="Q10" s="294"/>
      <c r="R10" s="295"/>
      <c r="S10" s="295"/>
      <c r="T10" s="295"/>
      <c r="U10" s="296"/>
    </row>
    <row r="11" spans="1:43" ht="25.95" customHeight="1" ph="1">
      <c r="A11" s="53" t="s" ph="1">
        <v>40</v>
      </c>
      <c r="B11" s="284" ph="1"/>
      <c r="C11" s="171" t="s" ph="1">
        <v>44</v>
      </c>
      <c r="D11" s="149">
        <v>31</v>
      </c>
      <c r="E11" s="149">
        <v>31</v>
      </c>
      <c r="F11" s="149">
        <v>30</v>
      </c>
      <c r="G11" s="149">
        <v>31</v>
      </c>
      <c r="H11" s="149">
        <v>31</v>
      </c>
      <c r="I11" s="149">
        <v>32</v>
      </c>
      <c r="J11" s="149">
        <v>32</v>
      </c>
      <c r="K11" s="149">
        <v>32</v>
      </c>
      <c r="L11" s="149">
        <v>30</v>
      </c>
      <c r="M11" s="149">
        <v>30</v>
      </c>
      <c r="N11" s="149">
        <v>30</v>
      </c>
      <c r="O11" s="149">
        <v>31</v>
      </c>
      <c r="P11" s="149">
        <v>31</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71" t="s" ph="1">
        <v>1</v>
      </c>
      <c r="F14" s="88" t="s" ph="1">
        <v>28</v>
      </c>
      <c r="G14" s="86" t="s" ph="1">
        <v>0</v>
      </c>
      <c r="H14" s="171" t="s" ph="1">
        <v>1</v>
      </c>
      <c r="I14" s="172" t="s" ph="1">
        <v>28</v>
      </c>
      <c r="J14" s="86" t="s" ph="1">
        <v>0</v>
      </c>
      <c r="K14" s="171" t="s" ph="1">
        <v>1</v>
      </c>
      <c r="L14" s="172" t="s" ph="1">
        <v>28</v>
      </c>
      <c r="M14" s="86" t="s" ph="1">
        <v>0</v>
      </c>
      <c r="N14" s="171" t="s" ph="1">
        <v>1</v>
      </c>
      <c r="O14" s="172" t="s" ph="1">
        <v>28</v>
      </c>
      <c r="P14" s="86" t="s" ph="1">
        <v>0</v>
      </c>
      <c r="Q14" s="87" t="s" ph="1">
        <v>1</v>
      </c>
      <c r="R14" s="88" t="s" ph="1">
        <v>28</v>
      </c>
      <c r="S14" s="86" t="s" ph="1">
        <v>0</v>
      </c>
      <c r="T14" s="171" t="s" ph="1">
        <v>1</v>
      </c>
      <c r="U14" s="88" t="s" ph="1">
        <v>28</v>
      </c>
    </row>
    <row r="15" spans="1:43" ph="1">
      <c r="A15" s="53"/>
      <c r="B15" s="300" t="s" ph="1">
        <v>46</v>
      </c>
      <c r="C15" s="301" ph="1"/>
      <c r="D15" s="241" ph="1">
        <f>O10+P10</f>
        <v>509183.77452799998</v>
      </c>
      <c r="E15" s="233" ph="1">
        <f>H10+I10+J10+K10</f>
        <v>168994.73572873996</v>
      </c>
      <c r="F15" s="257" ph="1">
        <f>L10+N10</f>
        <v>186149.15785600001</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73" ph="1"/>
      <c r="P18" s="90" ph="1"/>
      <c r="Q18" s="173" t="s" ph="1">
        <v>50</v>
      </c>
      <c r="R18" s="218" ph="1"/>
      <c r="S18" s="218" ph="1"/>
    </row>
    <row r="19" spans="1:21" s="173"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1866" priority="72">
      <formula>ABS(D$7-D$10)&gt;=1000</formula>
    </cfRule>
  </conditionalFormatting>
  <conditionalFormatting sqref="E4">
    <cfRule type="expression" dxfId="1865" priority="71">
      <formula>ABS(E$7-E$10)&gt;=1000</formula>
    </cfRule>
  </conditionalFormatting>
  <conditionalFormatting sqref="F4">
    <cfRule type="expression" dxfId="1864" priority="70">
      <formula>ABS(F$7-F$10)&gt;=1000</formula>
    </cfRule>
  </conditionalFormatting>
  <conditionalFormatting sqref="G4">
    <cfRule type="expression" dxfId="1863" priority="69">
      <formula>ABS(G$7-G$10)&gt;=1000</formula>
    </cfRule>
  </conditionalFormatting>
  <conditionalFormatting sqref="H4:K4">
    <cfRule type="expression" dxfId="1862" priority="68">
      <formula>ABS(H$7-H$10)&gt;=1000</formula>
    </cfRule>
  </conditionalFormatting>
  <conditionalFormatting sqref="I8">
    <cfRule type="expression" dxfId="1861" priority="67">
      <formula>ABS(I$7-I$10)&gt;=1000</formula>
    </cfRule>
  </conditionalFormatting>
  <conditionalFormatting sqref="L4:L5 M4:N4">
    <cfRule type="expression" dxfId="1860" priority="66">
      <formula>ABS(L$7-L$10)&gt;=1000</formula>
    </cfRule>
  </conditionalFormatting>
  <conditionalFormatting sqref="M5">
    <cfRule type="expression" dxfId="1859" priority="65">
      <formula>ABS(M$7-M$10)&gt;=1000</formula>
    </cfRule>
  </conditionalFormatting>
  <conditionalFormatting sqref="N5">
    <cfRule type="expression" dxfId="1858" priority="64">
      <formula>ABS(N$7-N$10)&gt;=1000</formula>
    </cfRule>
  </conditionalFormatting>
  <conditionalFormatting sqref="D5">
    <cfRule type="expression" dxfId="1857" priority="63">
      <formula>ABS(D$7-D$10)&gt;=1000</formula>
    </cfRule>
  </conditionalFormatting>
  <conditionalFormatting sqref="E5:G5">
    <cfRule type="expression" dxfId="1856" priority="62">
      <formula>ABS(E$7-E$10)&gt;=1000</formula>
    </cfRule>
  </conditionalFormatting>
  <conditionalFormatting sqref="H5">
    <cfRule type="expression" dxfId="1855" priority="61">
      <formula>ABS(H$7-H$10)&gt;=1000</formula>
    </cfRule>
  </conditionalFormatting>
  <conditionalFormatting sqref="O4:P4">
    <cfRule type="expression" dxfId="1854" priority="60">
      <formula>ABS(O$7-O$10)&gt;=1000</formula>
    </cfRule>
  </conditionalFormatting>
  <conditionalFormatting sqref="O5">
    <cfRule type="expression" dxfId="1853" priority="59">
      <formula>ABS(O$7-O$10)&gt;=1000</formula>
    </cfRule>
  </conditionalFormatting>
  <conditionalFormatting sqref="I6">
    <cfRule type="expression" dxfId="1852" priority="58">
      <formula>ABS(I$7-I$10)&gt;=1000</formula>
    </cfRule>
  </conditionalFormatting>
  <conditionalFormatting sqref="P5">
    <cfRule type="expression" dxfId="1851" priority="57">
      <formula>ABS(P$7-P$10)&gt;=1000</formula>
    </cfRule>
  </conditionalFormatting>
  <conditionalFormatting sqref="I5">
    <cfRule type="expression" dxfId="1850" priority="56">
      <formula>ABS(I$7-I$10)&gt;=1000</formula>
    </cfRule>
  </conditionalFormatting>
  <conditionalFormatting sqref="D6 D8">
    <cfRule type="expression" dxfId="1849" priority="55">
      <formula>ABS(D$7-D$10)&gt;=1000</formula>
    </cfRule>
  </conditionalFormatting>
  <conditionalFormatting sqref="E6 E8">
    <cfRule type="expression" dxfId="1848" priority="54">
      <formula>ABS(E$7-E$10)&gt;=1000</formula>
    </cfRule>
  </conditionalFormatting>
  <conditionalFormatting sqref="F6 F8">
    <cfRule type="expression" dxfId="1847" priority="53">
      <formula>ABS(F$7-F$10)&gt;=1000</formula>
    </cfRule>
  </conditionalFormatting>
  <conditionalFormatting sqref="G6 G8">
    <cfRule type="expression" dxfId="1846" priority="52">
      <formula>ABS(G$7-G$10)&gt;=1000</formula>
    </cfRule>
  </conditionalFormatting>
  <conditionalFormatting sqref="H8">
    <cfRule type="expression" dxfId="1845" priority="51">
      <formula>ABS(H$7-H$10)&gt;=1000</formula>
    </cfRule>
  </conditionalFormatting>
  <conditionalFormatting sqref="H6">
    <cfRule type="expression" dxfId="1844" priority="50">
      <formula>ABS(H$7-H$10)&gt;=1000</formula>
    </cfRule>
  </conditionalFormatting>
  <conditionalFormatting sqref="J8">
    <cfRule type="expression" dxfId="1843" priority="49">
      <formula>ABS(J$7-J$10)&gt;=1000</formula>
    </cfRule>
  </conditionalFormatting>
  <conditionalFormatting sqref="K8">
    <cfRule type="expression" dxfId="1842" priority="48">
      <formula>ABS(K$7-K$10)&gt;=1000</formula>
    </cfRule>
  </conditionalFormatting>
  <conditionalFormatting sqref="L8">
    <cfRule type="expression" dxfId="1841" priority="47">
      <formula>ABS(L$7-L$10)&gt;=1000</formula>
    </cfRule>
  </conditionalFormatting>
  <conditionalFormatting sqref="M8">
    <cfRule type="expression" dxfId="1840" priority="46">
      <formula>ABS(M$7-M$10)&gt;=1000</formula>
    </cfRule>
  </conditionalFormatting>
  <conditionalFormatting sqref="N8">
    <cfRule type="expression" dxfId="1839" priority="45">
      <formula>ABS(N$7-N$10)&gt;=1000</formula>
    </cfRule>
  </conditionalFormatting>
  <conditionalFormatting sqref="O8">
    <cfRule type="expression" dxfId="1838" priority="44">
      <formula>ABS(O$7-O$10)&gt;=1000</formula>
    </cfRule>
  </conditionalFormatting>
  <conditionalFormatting sqref="P8">
    <cfRule type="expression" dxfId="1837" priority="43">
      <formula>ABS(P$7-P$10)&gt;=1000</formula>
    </cfRule>
  </conditionalFormatting>
  <conditionalFormatting sqref="J6">
    <cfRule type="expression" dxfId="1836" priority="42">
      <formula>ABS(J$7-J$10)&gt;=1000</formula>
    </cfRule>
  </conditionalFormatting>
  <conditionalFormatting sqref="K6">
    <cfRule type="expression" dxfId="1835" priority="41">
      <formula>ABS(K$7-K$10)&gt;=1000</formula>
    </cfRule>
  </conditionalFormatting>
  <conditionalFormatting sqref="L6">
    <cfRule type="expression" dxfId="1834" priority="40">
      <formula>ABS(L$7-L$10)&gt;=1000</formula>
    </cfRule>
  </conditionalFormatting>
  <conditionalFormatting sqref="M6">
    <cfRule type="expression" dxfId="1833" priority="39">
      <formula>ABS(M$7-M$10)&gt;=1000</formula>
    </cfRule>
  </conditionalFormatting>
  <conditionalFormatting sqref="N6">
    <cfRule type="expression" dxfId="1832" priority="38">
      <formula>ABS(N$7-N$10)&gt;=1000</formula>
    </cfRule>
  </conditionalFormatting>
  <conditionalFormatting sqref="O6">
    <cfRule type="expression" dxfId="1831" priority="37">
      <formula>ABS(O$7-O$10)&gt;=1000</formula>
    </cfRule>
  </conditionalFormatting>
  <conditionalFormatting sqref="P6">
    <cfRule type="expression" dxfId="1830" priority="36">
      <formula>ABS(P$7-P$10)&gt;=1000</formula>
    </cfRule>
  </conditionalFormatting>
  <conditionalFormatting sqref="L7">
    <cfRule type="expression" dxfId="1829" priority="35">
      <formula>ABS(L$7-L$10)&gt;=1000</formula>
    </cfRule>
  </conditionalFormatting>
  <conditionalFormatting sqref="M7">
    <cfRule type="expression" dxfId="1828" priority="34">
      <formula>ABS(M$7-M$10)&gt;=1000</formula>
    </cfRule>
  </conditionalFormatting>
  <conditionalFormatting sqref="O7:P7">
    <cfRule type="expression" dxfId="1827" priority="33">
      <formula>ABS(O$7-O$10)&gt;=1000</formula>
    </cfRule>
  </conditionalFormatting>
  <conditionalFormatting sqref="N7">
    <cfRule type="expression" dxfId="1826" priority="32">
      <formula>ABS(N$7-N$10)&gt;=1000</formula>
    </cfRule>
  </conditionalFormatting>
  <conditionalFormatting sqref="H7:K7">
    <cfRule type="expression" dxfId="1825" priority="31">
      <formula>ABS(H$7-H$10)&gt;=1000</formula>
    </cfRule>
  </conditionalFormatting>
  <conditionalFormatting sqref="D7:G7">
    <cfRule type="expression" dxfId="1824" priority="30">
      <formula>ABS(D$7-D$10)&gt;=1000</formula>
    </cfRule>
  </conditionalFormatting>
  <conditionalFormatting sqref="J5:K5">
    <cfRule type="expression" dxfId="1823" priority="29">
      <formula>ABS(J$7-J$10)&gt;=1000</formula>
    </cfRule>
  </conditionalFormatting>
  <conditionalFormatting sqref="D9 D11">
    <cfRule type="expression" dxfId="1822" priority="28">
      <formula>ABS(D$7-D$10)&gt;=1000</formula>
    </cfRule>
  </conditionalFormatting>
  <conditionalFormatting sqref="E9 E11">
    <cfRule type="expression" dxfId="1821" priority="27">
      <formula>ABS(E$7-E$10)&gt;=1000</formula>
    </cfRule>
  </conditionalFormatting>
  <conditionalFormatting sqref="F9 F11">
    <cfRule type="expression" dxfId="1820" priority="26">
      <formula>ABS(F$7-F$10)&gt;=1000</formula>
    </cfRule>
  </conditionalFormatting>
  <conditionalFormatting sqref="G9 G11">
    <cfRule type="expression" dxfId="1819" priority="25">
      <formula>ABS(G$7-G$10)&gt;=1000</formula>
    </cfRule>
  </conditionalFormatting>
  <conditionalFormatting sqref="H11">
    <cfRule type="expression" dxfId="1818" priority="24">
      <formula>ABS(H$7-H$10)&gt;=1000</formula>
    </cfRule>
  </conditionalFormatting>
  <conditionalFormatting sqref="I11">
    <cfRule type="expression" dxfId="1817" priority="23">
      <formula>ABS(I$7-I$10)&gt;=1000</formula>
    </cfRule>
  </conditionalFormatting>
  <conditionalFormatting sqref="J11">
    <cfRule type="expression" dxfId="1816" priority="22">
      <formula>ABS(J$7-J$10)&gt;=1000</formula>
    </cfRule>
  </conditionalFormatting>
  <conditionalFormatting sqref="K11">
    <cfRule type="expression" dxfId="1815" priority="21">
      <formula>ABS(K$7-K$10)&gt;=1000</formula>
    </cfRule>
  </conditionalFormatting>
  <conditionalFormatting sqref="L11">
    <cfRule type="expression" dxfId="1814" priority="20">
      <formula>ABS(L$7-L$10)&gt;=1000</formula>
    </cfRule>
  </conditionalFormatting>
  <conditionalFormatting sqref="M11">
    <cfRule type="expression" dxfId="1813" priority="19">
      <formula>ABS(M$7-M$10)&gt;=1000</formula>
    </cfRule>
  </conditionalFormatting>
  <conditionalFormatting sqref="N11">
    <cfRule type="expression" dxfId="1812" priority="18">
      <formula>ABS(N$7-N$10)&gt;=1000</formula>
    </cfRule>
  </conditionalFormatting>
  <conditionalFormatting sqref="O11">
    <cfRule type="expression" dxfId="1811" priority="17">
      <formula>ABS(O$7-O$10)&gt;=1000</formula>
    </cfRule>
  </conditionalFormatting>
  <conditionalFormatting sqref="P11">
    <cfRule type="expression" dxfId="1810" priority="16">
      <formula>ABS(P$7-P$10)&gt;=1000</formula>
    </cfRule>
  </conditionalFormatting>
  <conditionalFormatting sqref="H9">
    <cfRule type="expression" dxfId="1809" priority="15">
      <formula>ABS(H$7-H$10)&gt;=1000</formula>
    </cfRule>
  </conditionalFormatting>
  <conditionalFormatting sqref="J9">
    <cfRule type="expression" dxfId="1808" priority="14">
      <formula>ABS(J$7-J$10)&gt;=1000</formula>
    </cfRule>
  </conditionalFormatting>
  <conditionalFormatting sqref="K9">
    <cfRule type="expression" dxfId="1807" priority="13">
      <formula>ABS(K$7-K$10)&gt;=1000</formula>
    </cfRule>
  </conditionalFormatting>
  <conditionalFormatting sqref="L9">
    <cfRule type="expression" dxfId="1806" priority="12">
      <formula>ABS(L$7-L$10)&gt;=1000</formula>
    </cfRule>
  </conditionalFormatting>
  <conditionalFormatting sqref="M9">
    <cfRule type="expression" dxfId="1805" priority="11">
      <formula>ABS(M$7-M$10)&gt;=1000</formula>
    </cfRule>
  </conditionalFormatting>
  <conditionalFormatting sqref="N9">
    <cfRule type="expression" dxfId="1804" priority="10">
      <formula>ABS(N$7-N$10)&gt;=1000</formula>
    </cfRule>
  </conditionalFormatting>
  <conditionalFormatting sqref="O9">
    <cfRule type="expression" dxfId="1803" priority="9">
      <formula>ABS(O$7-O$10)&gt;=1000</formula>
    </cfRule>
  </conditionalFormatting>
  <conditionalFormatting sqref="P9">
    <cfRule type="expression" dxfId="1802" priority="8">
      <formula>ABS(P$7-P$10)&gt;=1000</formula>
    </cfRule>
  </conditionalFormatting>
  <conditionalFormatting sqref="I9">
    <cfRule type="expression" dxfId="1801" priority="7">
      <formula>ABS(I$7-I$10)&gt;=1000</formula>
    </cfRule>
  </conditionalFormatting>
  <conditionalFormatting sqref="L10">
    <cfRule type="expression" dxfId="1800" priority="6">
      <formula>ABS(L$7-L$10)&gt;=1000</formula>
    </cfRule>
  </conditionalFormatting>
  <conditionalFormatting sqref="M10">
    <cfRule type="expression" dxfId="1799" priority="5">
      <formula>ABS(M$7-M$10)&gt;=1000</formula>
    </cfRule>
  </conditionalFormatting>
  <conditionalFormatting sqref="O10:P10">
    <cfRule type="expression" dxfId="1798" priority="4">
      <formula>ABS(O$7-O$10)&gt;=1000</formula>
    </cfRule>
  </conditionalFormatting>
  <conditionalFormatting sqref="N10">
    <cfRule type="expression" dxfId="1797" priority="3">
      <formula>ABS(N$7-N$10)&gt;=1000</formula>
    </cfRule>
  </conditionalFormatting>
  <conditionalFormatting sqref="H10:K10">
    <cfRule type="expression" dxfId="1796" priority="2">
      <formula>ABS(H$7-H$10)&gt;=1000</formula>
    </cfRule>
  </conditionalFormatting>
  <conditionalFormatting sqref="D10:G10">
    <cfRule type="expression" dxfId="1795" priority="1">
      <formula>ABS(D$7-D$10)&gt;=1000</formula>
    </cfRule>
  </conditionalFormatting>
  <conditionalFormatting sqref="I12">
    <cfRule type="expression" dxfId="1794" priority="73">
      <formula>ABS(#REF!-#REF!)&gt;=1000</formula>
    </cfRule>
  </conditionalFormatting>
  <conditionalFormatting sqref="D6">
    <cfRule type="expression" dxfId="1793" priority="82" stopIfTrue="1">
      <formula>MOD(ROUND($D$6*100,2),1)=0</formula>
    </cfRule>
  </conditionalFormatting>
  <conditionalFormatting sqref="E6">
    <cfRule type="expression" dxfId="1792" priority="83" stopIfTrue="1">
      <formula>MOD(ROUND($E$6*100,2),1)=0</formula>
    </cfRule>
  </conditionalFormatting>
  <conditionalFormatting sqref="F6">
    <cfRule type="expression" dxfId="1791" priority="84" stopIfTrue="1">
      <formula>MOD(ROUND($F$6*100,2),1)=0</formula>
    </cfRule>
  </conditionalFormatting>
  <conditionalFormatting sqref="G6">
    <cfRule type="expression" dxfId="1790" priority="85" stopIfTrue="1">
      <formula>MOD(ROUND($G$6*100,2),1)=0</formula>
    </cfRule>
  </conditionalFormatting>
  <conditionalFormatting sqref="D9">
    <cfRule type="expression" dxfId="1789" priority="86" stopIfTrue="1">
      <formula>MOD(ROUND($D$9*100,2),1)=0</formula>
    </cfRule>
  </conditionalFormatting>
  <conditionalFormatting sqref="E9">
    <cfRule type="expression" dxfId="1788" priority="87" stopIfTrue="1">
      <formula>MOD(ROUND($E$9*100,2),1)=0</formula>
    </cfRule>
  </conditionalFormatting>
  <conditionalFormatting sqref="F9">
    <cfRule type="expression" dxfId="1787" priority="88" stopIfTrue="1">
      <formula>MOD(ROUND($F$9*100,2),1)=0</formula>
    </cfRule>
  </conditionalFormatting>
  <conditionalFormatting sqref="G9">
    <cfRule type="expression" dxfId="1786"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19777"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19777" r:id="rId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1">
    <pageSetUpPr fitToPage="1"/>
  </sheetPr>
  <dimension ref="A1:AQ205"/>
  <sheetViews>
    <sheetView view="pageBreakPreview" zoomScaleNormal="100" zoomScaleSheetLayoutView="100" workbookViewId="0">
      <selection activeCell="D4" sqref="D4"/>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46234</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76" t="s" ph="1">
        <v>42</v>
      </c>
      <c r="D6" s="151">
        <v>0</v>
      </c>
      <c r="E6" s="151">
        <v>0.73040000000000005</v>
      </c>
      <c r="F6" s="151">
        <v>0</v>
      </c>
      <c r="G6" s="151">
        <v>0.34799999999999998</v>
      </c>
      <c r="H6" s="150">
        <v>1591</v>
      </c>
      <c r="I6" s="150">
        <v>3536</v>
      </c>
      <c r="J6" s="150">
        <v>6258</v>
      </c>
      <c r="K6" s="150">
        <v>6169</v>
      </c>
      <c r="L6" s="150">
        <v>5903</v>
      </c>
      <c r="M6" s="150">
        <v>1645</v>
      </c>
      <c r="N6" s="150">
        <v>4211</v>
      </c>
      <c r="O6" s="150">
        <v>4836</v>
      </c>
      <c r="P6" s="150">
        <v>2964</v>
      </c>
      <c r="Q6" s="294"/>
      <c r="R6" s="295"/>
      <c r="S6" s="295"/>
      <c r="T6" s="295"/>
      <c r="U6" s="296"/>
    </row>
    <row r="7" spans="1:43" s="61" customFormat="1" ht="25.95" customHeight="1" ph="1">
      <c r="B7" s="284" ph="1"/>
      <c r="C7" s="57" t="s" ph="1">
        <v>43</v>
      </c>
      <c r="D7" s="62" ph="1">
        <f>((D6*5885)*4.48)*LOOKUP(D8,密度!$A$2:$A$50,密度!$B$2:$B$50)</f>
        <v>0</v>
      </c>
      <c r="E7" s="62" ph="1">
        <f>((E6*5885)*4.48)*LOOKUP(E8,密度!$A$2:$A$50,密度!$B$2:$B$50)</f>
        <v>14879.767933184005</v>
      </c>
      <c r="F7" s="62" ph="1">
        <f>((F6*5885)*4.48)*LOOKUP(F8,密度!$A$2:$A$50,密度!$B$2:$B$50)</f>
        <v>0</v>
      </c>
      <c r="G7" s="62" ph="1">
        <f>((G6*5885)*4.48)*LOOKUP(G8,密度!$A$2:$A$50,密度!$B$2:$B$50)</f>
        <v>7105.0815897599996</v>
      </c>
      <c r="H7" s="62" ph="1">
        <f>IF(H6&lt;=0,0,IF(H6&lt;=745,PI()*(5.3235*(H6/1000)^2-(4/3)*(H6/1000)^3),7.55+15.2053*((H6-745)/1000))*LOOKUP(H8,密度!$A$2:$A$50,密度!$B$2:$B$50)*1000)</f>
        <v>15826.729050139997</v>
      </c>
      <c r="I7" s="62" ph="1">
        <f>IF(I6&lt;=0,0,IF(I6&lt;=745,PI()*(5.3235*(I6/1000)^2-(4/3)*(I6/1000)^3),7.55+15.2053*((I6-745)/1000))*LOOKUP(I8,密度!$A$2:$A$50,密度!$B$2:$B$50)*1000)</f>
        <v>38710.701237119989</v>
      </c>
      <c r="J7" s="62" ph="1">
        <f>IF(J6&lt;=0,0,IF(J6&lt;=745,PI()*(5.3235*(J6/1000)^2-(4/3)*(J6/1000)^3),7.55+15.2053*((J6-745)/1000))*LOOKUP(J8,密度!$A$2:$A$50,密度!$B$2:$B$50)*1000)</f>
        <v>70762.208556159996</v>
      </c>
      <c r="K7" s="62" ph="1">
        <f>IF(K6&lt;=0,0,IF(K6&lt;=745,PI()*(5.3235*(K6/1000)^2-(4/3)*(K6/1000)^3),7.55+15.2053*((K6-745)/1000))*LOOKUP(K8,密度!$A$2:$A$50,密度!$B$2:$B$50)*1000)</f>
        <v>69714.234951680002</v>
      </c>
      <c r="L7" s="62" ph="1">
        <f>L6*26.42*LOOKUP(L8,密度!$A$2:$A$50,密度!$B$2:$B$50)</f>
        <v>120913.66367800001</v>
      </c>
      <c r="M7" s="62" ph="1">
        <f>M6*26.42*1</f>
        <v>43460.9</v>
      </c>
      <c r="N7" s="62" ph="1">
        <f>N6*18.32*LOOKUP(N8,密度!$A$2:$A$50,密度!$B$2:$B$50)</f>
        <v>59810.921656000006</v>
      </c>
      <c r="O7" s="62" ph="1">
        <f>O6*81.71*LOOKUP(O8,密度!$A$2:$A$50,密度!$B$2:$B$50)</f>
        <v>306003.81926399999</v>
      </c>
      <c r="P7" s="62" ph="1">
        <f>P6*81.71*LOOKUP(P8,密度!$A$2:$A$50,密度!$B$2:$B$50)</f>
        <v>187768.69753199999</v>
      </c>
      <c r="Q7" s="294"/>
      <c r="R7" s="295"/>
      <c r="S7" s="295"/>
      <c r="T7" s="295"/>
      <c r="U7" s="296"/>
    </row>
    <row r="8" spans="1:43" ht="25.95" customHeight="1" ph="1">
      <c r="B8" s="284" ph="1"/>
      <c r="C8" s="57" t="s" ph="1">
        <v>44</v>
      </c>
      <c r="D8" s="149">
        <v>28</v>
      </c>
      <c r="E8" s="149">
        <v>33</v>
      </c>
      <c r="F8" s="149">
        <v>28</v>
      </c>
      <c r="G8" s="149">
        <v>31</v>
      </c>
      <c r="H8" s="149">
        <v>30</v>
      </c>
      <c r="I8" s="149">
        <v>31</v>
      </c>
      <c r="J8" s="149">
        <v>31</v>
      </c>
      <c r="K8" s="149">
        <v>31</v>
      </c>
      <c r="L8" s="149">
        <v>30</v>
      </c>
      <c r="M8" s="149">
        <v>30</v>
      </c>
      <c r="N8" s="149">
        <v>30</v>
      </c>
      <c r="O8" s="149">
        <v>31</v>
      </c>
      <c r="P8" s="149">
        <v>30</v>
      </c>
      <c r="Q8" s="294"/>
      <c r="R8" s="295"/>
      <c r="S8" s="295"/>
      <c r="T8" s="295"/>
      <c r="U8" s="296"/>
    </row>
    <row r="9" spans="1:43" ht="25.95" customHeight="1" ph="1">
      <c r="B9" s="284" ph="1">
        <v>0.66666666666666663</v>
      </c>
      <c r="C9" s="176" t="s" ph="1">
        <v>45</v>
      </c>
      <c r="D9" s="151">
        <v>0.60250000000000004</v>
      </c>
      <c r="E9" s="151">
        <v>0</v>
      </c>
      <c r="F9" s="151">
        <v>0.73260000000000003</v>
      </c>
      <c r="G9" s="151">
        <v>1E-3</v>
      </c>
      <c r="H9" s="150">
        <v>1592</v>
      </c>
      <c r="I9" s="150">
        <v>2543</v>
      </c>
      <c r="J9" s="150">
        <v>5054</v>
      </c>
      <c r="K9" s="150">
        <v>6172</v>
      </c>
      <c r="L9" s="150">
        <v>6276</v>
      </c>
      <c r="M9" s="150">
        <v>1646</v>
      </c>
      <c r="N9" s="150">
        <v>4055</v>
      </c>
      <c r="O9" s="150">
        <v>5077</v>
      </c>
      <c r="P9" s="150">
        <v>2970</v>
      </c>
      <c r="Q9" s="294"/>
      <c r="R9" s="295"/>
      <c r="S9" s="295"/>
      <c r="T9" s="295"/>
      <c r="U9" s="296"/>
    </row>
    <row r="10" spans="1:43" s="61" customFormat="1" ht="25.95" customHeight="1" ph="1">
      <c r="B10" s="284" ph="1"/>
      <c r="C10" s="176" t="s" ph="1">
        <v>43</v>
      </c>
      <c r="D10" s="62" ph="1">
        <f>((D9*5885)*4.48)*LOOKUP(D11,密度!$A$2:$A$50,密度!$B$2:$B$50)</f>
        <v>12301.182924800001</v>
      </c>
      <c r="E10" s="62" ph="1">
        <f>((E9*5885)*4.48)*LOOKUP(E11,密度!$A$2:$A$50,密度!$B$2:$B$50)</f>
        <v>0</v>
      </c>
      <c r="F10" s="62" ph="1">
        <f>((F9*5885)*4.48)*LOOKUP(F11,密度!$A$2:$A$50,密度!$B$2:$B$50)</f>
        <v>14974.805127744004</v>
      </c>
      <c r="G10" s="62" ph="1">
        <f>((G9*5885)*4.48)*LOOKUP(G11,密度!$A$2:$A$50,密度!$B$2:$B$50)</f>
        <v>20.416901120000002</v>
      </c>
      <c r="H10" s="62" ph="1">
        <f>IF(H9&lt;=0,0,IF(H9&lt;=745,PI()*(5.3235*(H9/1000)^2-(4/3)*(H9/1000)^3),7.55+15.2053*((H9-745)/1000))*LOOKUP(H11,密度!$A$2:$A$50,密度!$B$2:$B$50)*1000)</f>
        <v>15820.131719039999</v>
      </c>
      <c r="I10" s="62" ph="1">
        <f>IF(I9&lt;=0,0,IF(I9&lt;=745,PI()*(5.3235*(I9/1000)^2-(4/3)*(I9/1000)^3),7.55+15.2053*((I9-745)/1000))*LOOKUP(I11,密度!$A$2:$A$50,密度!$B$2:$B$50)*1000)</f>
        <v>26986.741590900001</v>
      </c>
      <c r="J10" s="62" ph="1">
        <f>IF(J9&lt;=0,0,IF(J9&lt;=745,PI()*(5.3235*(J9/1000)^2-(4/3)*(J9/1000)^3),7.55+15.2053*((J9-745)/1000))*LOOKUP(J11,密度!$A$2:$A$50,密度!$B$2:$B$50)*1000)</f>
        <v>56519.364760949997</v>
      </c>
      <c r="K10" s="62" ph="1">
        <f>IF(K9&lt;=0,0,IF(K9&lt;=745,PI()*(5.3235*(K9/1000)^2-(4/3)*(K9/1000)^3),7.55+15.2053*((K9-745)/1000))*LOOKUP(K11,密度!$A$2:$A$50,密度!$B$2:$B$50)*1000)</f>
        <v>69668.497657849977</v>
      </c>
      <c r="L10" s="62" ph="1">
        <f>L9*26.42*LOOKUP(L11,密度!$A$2:$A$50,密度!$B$2:$B$50)</f>
        <v>128553.98157600001</v>
      </c>
      <c r="M10" s="62" ph="1">
        <f>M9*26.42*1</f>
        <v>43487.32</v>
      </c>
      <c r="N10" s="62" ph="1">
        <f>N9*18.32*LOOKUP(N11,密度!$A$2:$A$50,密度!$B$2:$B$50)</f>
        <v>57595.176280000007</v>
      </c>
      <c r="O10" s="62" ph="1">
        <f>O9*81.71*LOOKUP(O11,密度!$A$2:$A$50,密度!$B$2:$B$50)</f>
        <v>321253.38924799999</v>
      </c>
      <c r="P10" s="62" ph="1">
        <f>P9*81.71*LOOKUP(P11,密度!$A$2:$A$50,密度!$B$2:$B$50)</f>
        <v>187930.38527999999</v>
      </c>
      <c r="Q10" s="294"/>
      <c r="R10" s="295"/>
      <c r="S10" s="295"/>
      <c r="T10" s="295"/>
      <c r="U10" s="296"/>
    </row>
    <row r="11" spans="1:43" ht="25.95" customHeight="1" ph="1">
      <c r="A11" s="53" t="s" ph="1">
        <v>40</v>
      </c>
      <c r="B11" s="284" ph="1"/>
      <c r="C11" s="176" t="s" ph="1">
        <v>44</v>
      </c>
      <c r="D11" s="149">
        <v>31</v>
      </c>
      <c r="E11" s="149">
        <v>31</v>
      </c>
      <c r="F11" s="149">
        <v>30</v>
      </c>
      <c r="G11" s="149">
        <v>31</v>
      </c>
      <c r="H11" s="149">
        <v>31</v>
      </c>
      <c r="I11" s="149">
        <v>32</v>
      </c>
      <c r="J11" s="149">
        <v>32</v>
      </c>
      <c r="K11" s="149">
        <v>32</v>
      </c>
      <c r="L11" s="149">
        <v>30</v>
      </c>
      <c r="M11" s="149">
        <v>30</v>
      </c>
      <c r="N11" s="149">
        <v>30</v>
      </c>
      <c r="O11" s="149">
        <v>31</v>
      </c>
      <c r="P11" s="149">
        <v>31</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76" t="s" ph="1">
        <v>1</v>
      </c>
      <c r="F14" s="88" t="s" ph="1">
        <v>28</v>
      </c>
      <c r="G14" s="86" t="s" ph="1">
        <v>0</v>
      </c>
      <c r="H14" s="176" t="s" ph="1">
        <v>1</v>
      </c>
      <c r="I14" s="175" t="s" ph="1">
        <v>28</v>
      </c>
      <c r="J14" s="86" t="s" ph="1">
        <v>0</v>
      </c>
      <c r="K14" s="176" t="s" ph="1">
        <v>1</v>
      </c>
      <c r="L14" s="175" t="s" ph="1">
        <v>28</v>
      </c>
      <c r="M14" s="86" t="s" ph="1">
        <v>0</v>
      </c>
      <c r="N14" s="176" t="s" ph="1">
        <v>1</v>
      </c>
      <c r="O14" s="175" t="s" ph="1">
        <v>28</v>
      </c>
      <c r="P14" s="86" t="s" ph="1">
        <v>0</v>
      </c>
      <c r="Q14" s="87" t="s" ph="1">
        <v>1</v>
      </c>
      <c r="R14" s="88" t="s" ph="1">
        <v>28</v>
      </c>
      <c r="S14" s="86" t="s" ph="1">
        <v>0</v>
      </c>
      <c r="T14" s="176" t="s" ph="1">
        <v>1</v>
      </c>
      <c r="U14" s="88" t="s" ph="1">
        <v>28</v>
      </c>
    </row>
    <row r="15" spans="1:43" ph="1">
      <c r="A15" s="53"/>
      <c r="B15" s="300" t="s" ph="1">
        <v>46</v>
      </c>
      <c r="C15" s="301" ph="1"/>
      <c r="D15" s="241" ph="1">
        <f>O10+P10</f>
        <v>509183.77452799998</v>
      </c>
      <c r="E15" s="233" ph="1">
        <f>H10+I10+J10+K10</f>
        <v>168994.73572873996</v>
      </c>
      <c r="F15" s="257" ph="1">
        <f>L10+N10</f>
        <v>186149.15785600001</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74" ph="1"/>
      <c r="P18" s="90" ph="1"/>
      <c r="Q18" s="174" t="s" ph="1">
        <v>50</v>
      </c>
      <c r="R18" s="218" ph="1"/>
      <c r="S18" s="218" ph="1"/>
    </row>
    <row r="19" spans="1:21" s="174"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1785" priority="72">
      <formula>ABS(D$7-D$10)&gt;=1000</formula>
    </cfRule>
  </conditionalFormatting>
  <conditionalFormatting sqref="E4">
    <cfRule type="expression" dxfId="1784" priority="71">
      <formula>ABS(E$7-E$10)&gt;=1000</formula>
    </cfRule>
  </conditionalFormatting>
  <conditionalFormatting sqref="F4">
    <cfRule type="expression" dxfId="1783" priority="70">
      <formula>ABS(F$7-F$10)&gt;=1000</formula>
    </cfRule>
  </conditionalFormatting>
  <conditionalFormatting sqref="G4">
    <cfRule type="expression" dxfId="1782" priority="69">
      <formula>ABS(G$7-G$10)&gt;=1000</formula>
    </cfRule>
  </conditionalFormatting>
  <conditionalFormatting sqref="H4:K4">
    <cfRule type="expression" dxfId="1781" priority="68">
      <formula>ABS(H$7-H$10)&gt;=1000</formula>
    </cfRule>
  </conditionalFormatting>
  <conditionalFormatting sqref="I8">
    <cfRule type="expression" dxfId="1780" priority="67">
      <formula>ABS(I$7-I$10)&gt;=1000</formula>
    </cfRule>
  </conditionalFormatting>
  <conditionalFormatting sqref="L4:L5 M4:N4">
    <cfRule type="expression" dxfId="1779" priority="66">
      <formula>ABS(L$7-L$10)&gt;=1000</formula>
    </cfRule>
  </conditionalFormatting>
  <conditionalFormatting sqref="M5">
    <cfRule type="expression" dxfId="1778" priority="65">
      <formula>ABS(M$7-M$10)&gt;=1000</formula>
    </cfRule>
  </conditionalFormatting>
  <conditionalFormatting sqref="N5">
    <cfRule type="expression" dxfId="1777" priority="64">
      <formula>ABS(N$7-N$10)&gt;=1000</formula>
    </cfRule>
  </conditionalFormatting>
  <conditionalFormatting sqref="D5">
    <cfRule type="expression" dxfId="1776" priority="63">
      <formula>ABS(D$7-D$10)&gt;=1000</formula>
    </cfRule>
  </conditionalFormatting>
  <conditionalFormatting sqref="E5:G5">
    <cfRule type="expression" dxfId="1775" priority="62">
      <formula>ABS(E$7-E$10)&gt;=1000</formula>
    </cfRule>
  </conditionalFormatting>
  <conditionalFormatting sqref="H5">
    <cfRule type="expression" dxfId="1774" priority="61">
      <formula>ABS(H$7-H$10)&gt;=1000</formula>
    </cfRule>
  </conditionalFormatting>
  <conditionalFormatting sqref="O4:P4">
    <cfRule type="expression" dxfId="1773" priority="60">
      <formula>ABS(O$7-O$10)&gt;=1000</formula>
    </cfRule>
  </conditionalFormatting>
  <conditionalFormatting sqref="O5">
    <cfRule type="expression" dxfId="1772" priority="59">
      <formula>ABS(O$7-O$10)&gt;=1000</formula>
    </cfRule>
  </conditionalFormatting>
  <conditionalFormatting sqref="I6">
    <cfRule type="expression" dxfId="1771" priority="58">
      <formula>ABS(I$7-I$10)&gt;=1000</formula>
    </cfRule>
  </conditionalFormatting>
  <conditionalFormatting sqref="P5">
    <cfRule type="expression" dxfId="1770" priority="57">
      <formula>ABS(P$7-P$10)&gt;=1000</formula>
    </cfRule>
  </conditionalFormatting>
  <conditionalFormatting sqref="I5">
    <cfRule type="expression" dxfId="1769" priority="56">
      <formula>ABS(I$7-I$10)&gt;=1000</formula>
    </cfRule>
  </conditionalFormatting>
  <conditionalFormatting sqref="D6 D8">
    <cfRule type="expression" dxfId="1768" priority="55">
      <formula>ABS(D$7-D$10)&gt;=1000</formula>
    </cfRule>
  </conditionalFormatting>
  <conditionalFormatting sqref="E6 E8">
    <cfRule type="expression" dxfId="1767" priority="54">
      <formula>ABS(E$7-E$10)&gt;=1000</formula>
    </cfRule>
  </conditionalFormatting>
  <conditionalFormatting sqref="F6 F8">
    <cfRule type="expression" dxfId="1766" priority="53">
      <formula>ABS(F$7-F$10)&gt;=1000</formula>
    </cfRule>
  </conditionalFormatting>
  <conditionalFormatting sqref="G6 G8">
    <cfRule type="expression" dxfId="1765" priority="52">
      <formula>ABS(G$7-G$10)&gt;=1000</formula>
    </cfRule>
  </conditionalFormatting>
  <conditionalFormatting sqref="H8">
    <cfRule type="expression" dxfId="1764" priority="51">
      <formula>ABS(H$7-H$10)&gt;=1000</formula>
    </cfRule>
  </conditionalFormatting>
  <conditionalFormatting sqref="H6">
    <cfRule type="expression" dxfId="1763" priority="50">
      <formula>ABS(H$7-H$10)&gt;=1000</formula>
    </cfRule>
  </conditionalFormatting>
  <conditionalFormatting sqref="J8">
    <cfRule type="expression" dxfId="1762" priority="49">
      <formula>ABS(J$7-J$10)&gt;=1000</formula>
    </cfRule>
  </conditionalFormatting>
  <conditionalFormatting sqref="K8">
    <cfRule type="expression" dxfId="1761" priority="48">
      <formula>ABS(K$7-K$10)&gt;=1000</formula>
    </cfRule>
  </conditionalFormatting>
  <conditionalFormatting sqref="L8">
    <cfRule type="expression" dxfId="1760" priority="47">
      <formula>ABS(L$7-L$10)&gt;=1000</formula>
    </cfRule>
  </conditionalFormatting>
  <conditionalFormatting sqref="M8">
    <cfRule type="expression" dxfId="1759" priority="46">
      <formula>ABS(M$7-M$10)&gt;=1000</formula>
    </cfRule>
  </conditionalFormatting>
  <conditionalFormatting sqref="N8">
    <cfRule type="expression" dxfId="1758" priority="45">
      <formula>ABS(N$7-N$10)&gt;=1000</formula>
    </cfRule>
  </conditionalFormatting>
  <conditionalFormatting sqref="O8">
    <cfRule type="expression" dxfId="1757" priority="44">
      <formula>ABS(O$7-O$10)&gt;=1000</formula>
    </cfRule>
  </conditionalFormatting>
  <conditionalFormatting sqref="P8">
    <cfRule type="expression" dxfId="1756" priority="43">
      <formula>ABS(P$7-P$10)&gt;=1000</formula>
    </cfRule>
  </conditionalFormatting>
  <conditionalFormatting sqref="J6">
    <cfRule type="expression" dxfId="1755" priority="42">
      <formula>ABS(J$7-J$10)&gt;=1000</formula>
    </cfRule>
  </conditionalFormatting>
  <conditionalFormatting sqref="K6">
    <cfRule type="expression" dxfId="1754" priority="41">
      <formula>ABS(K$7-K$10)&gt;=1000</formula>
    </cfRule>
  </conditionalFormatting>
  <conditionalFormatting sqref="L6">
    <cfRule type="expression" dxfId="1753" priority="40">
      <formula>ABS(L$7-L$10)&gt;=1000</formula>
    </cfRule>
  </conditionalFormatting>
  <conditionalFormatting sqref="M6">
    <cfRule type="expression" dxfId="1752" priority="39">
      <formula>ABS(M$7-M$10)&gt;=1000</formula>
    </cfRule>
  </conditionalFormatting>
  <conditionalFormatting sqref="N6">
    <cfRule type="expression" dxfId="1751" priority="38">
      <formula>ABS(N$7-N$10)&gt;=1000</formula>
    </cfRule>
  </conditionalFormatting>
  <conditionalFormatting sqref="O6">
    <cfRule type="expression" dxfId="1750" priority="37">
      <formula>ABS(O$7-O$10)&gt;=1000</formula>
    </cfRule>
  </conditionalFormatting>
  <conditionalFormatting sqref="P6">
    <cfRule type="expression" dxfId="1749" priority="36">
      <formula>ABS(P$7-P$10)&gt;=1000</formula>
    </cfRule>
  </conditionalFormatting>
  <conditionalFormatting sqref="L7">
    <cfRule type="expression" dxfId="1748" priority="35">
      <formula>ABS(L$7-L$10)&gt;=1000</formula>
    </cfRule>
  </conditionalFormatting>
  <conditionalFormatting sqref="M7">
    <cfRule type="expression" dxfId="1747" priority="34">
      <formula>ABS(M$7-M$10)&gt;=1000</formula>
    </cfRule>
  </conditionalFormatting>
  <conditionalFormatting sqref="O7:P7">
    <cfRule type="expression" dxfId="1746" priority="33">
      <formula>ABS(O$7-O$10)&gt;=1000</formula>
    </cfRule>
  </conditionalFormatting>
  <conditionalFormatting sqref="N7">
    <cfRule type="expression" dxfId="1745" priority="32">
      <formula>ABS(N$7-N$10)&gt;=1000</formula>
    </cfRule>
  </conditionalFormatting>
  <conditionalFormatting sqref="H7:K7">
    <cfRule type="expression" dxfId="1744" priority="31">
      <formula>ABS(H$7-H$10)&gt;=1000</formula>
    </cfRule>
  </conditionalFormatting>
  <conditionalFormatting sqref="D7:G7">
    <cfRule type="expression" dxfId="1743" priority="30">
      <formula>ABS(D$7-D$10)&gt;=1000</formula>
    </cfRule>
  </conditionalFormatting>
  <conditionalFormatting sqref="J5:K5">
    <cfRule type="expression" dxfId="1742" priority="29">
      <formula>ABS(J$7-J$10)&gt;=1000</formula>
    </cfRule>
  </conditionalFormatting>
  <conditionalFormatting sqref="D9 D11">
    <cfRule type="expression" dxfId="1741" priority="28">
      <formula>ABS(D$7-D$10)&gt;=1000</formula>
    </cfRule>
  </conditionalFormatting>
  <conditionalFormatting sqref="E9 E11">
    <cfRule type="expression" dxfId="1740" priority="27">
      <formula>ABS(E$7-E$10)&gt;=1000</formula>
    </cfRule>
  </conditionalFormatting>
  <conditionalFormatting sqref="F9 F11">
    <cfRule type="expression" dxfId="1739" priority="26">
      <formula>ABS(F$7-F$10)&gt;=1000</formula>
    </cfRule>
  </conditionalFormatting>
  <conditionalFormatting sqref="G9 G11">
    <cfRule type="expression" dxfId="1738" priority="25">
      <formula>ABS(G$7-G$10)&gt;=1000</formula>
    </cfRule>
  </conditionalFormatting>
  <conditionalFormatting sqref="H11">
    <cfRule type="expression" dxfId="1737" priority="24">
      <formula>ABS(H$7-H$10)&gt;=1000</formula>
    </cfRule>
  </conditionalFormatting>
  <conditionalFormatting sqref="I11">
    <cfRule type="expression" dxfId="1736" priority="23">
      <formula>ABS(I$7-I$10)&gt;=1000</formula>
    </cfRule>
  </conditionalFormatting>
  <conditionalFormatting sqref="J11">
    <cfRule type="expression" dxfId="1735" priority="22">
      <formula>ABS(J$7-J$10)&gt;=1000</formula>
    </cfRule>
  </conditionalFormatting>
  <conditionalFormatting sqref="K11">
    <cfRule type="expression" dxfId="1734" priority="21">
      <formula>ABS(K$7-K$10)&gt;=1000</formula>
    </cfRule>
  </conditionalFormatting>
  <conditionalFormatting sqref="L11">
    <cfRule type="expression" dxfId="1733" priority="20">
      <formula>ABS(L$7-L$10)&gt;=1000</formula>
    </cfRule>
  </conditionalFormatting>
  <conditionalFormatting sqref="M11">
    <cfRule type="expression" dxfId="1732" priority="19">
      <formula>ABS(M$7-M$10)&gt;=1000</formula>
    </cfRule>
  </conditionalFormatting>
  <conditionalFormatting sqref="N11">
    <cfRule type="expression" dxfId="1731" priority="18">
      <formula>ABS(N$7-N$10)&gt;=1000</formula>
    </cfRule>
  </conditionalFormatting>
  <conditionalFormatting sqref="O11">
    <cfRule type="expression" dxfId="1730" priority="17">
      <formula>ABS(O$7-O$10)&gt;=1000</formula>
    </cfRule>
  </conditionalFormatting>
  <conditionalFormatting sqref="P11">
    <cfRule type="expression" dxfId="1729" priority="16">
      <formula>ABS(P$7-P$10)&gt;=1000</formula>
    </cfRule>
  </conditionalFormatting>
  <conditionalFormatting sqref="H9">
    <cfRule type="expression" dxfId="1728" priority="15">
      <formula>ABS(H$7-H$10)&gt;=1000</formula>
    </cfRule>
  </conditionalFormatting>
  <conditionalFormatting sqref="J9">
    <cfRule type="expression" dxfId="1727" priority="14">
      <formula>ABS(J$7-J$10)&gt;=1000</formula>
    </cfRule>
  </conditionalFormatting>
  <conditionalFormatting sqref="K9">
    <cfRule type="expression" dxfId="1726" priority="13">
      <formula>ABS(K$7-K$10)&gt;=1000</formula>
    </cfRule>
  </conditionalFormatting>
  <conditionalFormatting sqref="L9">
    <cfRule type="expression" dxfId="1725" priority="12">
      <formula>ABS(L$7-L$10)&gt;=1000</formula>
    </cfRule>
  </conditionalFormatting>
  <conditionalFormatting sqref="M9">
    <cfRule type="expression" dxfId="1724" priority="11">
      <formula>ABS(M$7-M$10)&gt;=1000</formula>
    </cfRule>
  </conditionalFormatting>
  <conditionalFormatting sqref="N9">
    <cfRule type="expression" dxfId="1723" priority="10">
      <formula>ABS(N$7-N$10)&gt;=1000</formula>
    </cfRule>
  </conditionalFormatting>
  <conditionalFormatting sqref="O9">
    <cfRule type="expression" dxfId="1722" priority="9">
      <formula>ABS(O$7-O$10)&gt;=1000</formula>
    </cfRule>
  </conditionalFormatting>
  <conditionalFormatting sqref="P9">
    <cfRule type="expression" dxfId="1721" priority="8">
      <formula>ABS(P$7-P$10)&gt;=1000</formula>
    </cfRule>
  </conditionalFormatting>
  <conditionalFormatting sqref="I9">
    <cfRule type="expression" dxfId="1720" priority="7">
      <formula>ABS(I$7-I$10)&gt;=1000</formula>
    </cfRule>
  </conditionalFormatting>
  <conditionalFormatting sqref="L10">
    <cfRule type="expression" dxfId="1719" priority="6">
      <formula>ABS(L$7-L$10)&gt;=1000</formula>
    </cfRule>
  </conditionalFormatting>
  <conditionalFormatting sqref="M10">
    <cfRule type="expression" dxfId="1718" priority="5">
      <formula>ABS(M$7-M$10)&gt;=1000</formula>
    </cfRule>
  </conditionalFormatting>
  <conditionalFormatting sqref="O10:P10">
    <cfRule type="expression" dxfId="1717" priority="4">
      <formula>ABS(O$7-O$10)&gt;=1000</formula>
    </cfRule>
  </conditionalFormatting>
  <conditionalFormatting sqref="N10">
    <cfRule type="expression" dxfId="1716" priority="3">
      <formula>ABS(N$7-N$10)&gt;=1000</formula>
    </cfRule>
  </conditionalFormatting>
  <conditionalFormatting sqref="H10:K10">
    <cfRule type="expression" dxfId="1715" priority="2">
      <formula>ABS(H$7-H$10)&gt;=1000</formula>
    </cfRule>
  </conditionalFormatting>
  <conditionalFormatting sqref="D10:G10">
    <cfRule type="expression" dxfId="1714" priority="1">
      <formula>ABS(D$7-D$10)&gt;=1000</formula>
    </cfRule>
  </conditionalFormatting>
  <conditionalFormatting sqref="I12">
    <cfRule type="expression" dxfId="1713" priority="73">
      <formula>ABS(#REF!-#REF!)&gt;=1000</formula>
    </cfRule>
  </conditionalFormatting>
  <conditionalFormatting sqref="D6">
    <cfRule type="expression" dxfId="1712" priority="74" stopIfTrue="1">
      <formula>MOD(ROUND($D$6*100,2),1)=0</formula>
    </cfRule>
  </conditionalFormatting>
  <conditionalFormatting sqref="E6">
    <cfRule type="expression" dxfId="1711" priority="75" stopIfTrue="1">
      <formula>MOD(ROUND($E$6*100,2),1)=0</formula>
    </cfRule>
  </conditionalFormatting>
  <conditionalFormatting sqref="F6">
    <cfRule type="expression" dxfId="1710" priority="76" stopIfTrue="1">
      <formula>MOD(ROUND($F$6*100,2),1)=0</formula>
    </cfRule>
  </conditionalFormatting>
  <conditionalFormatting sqref="G6">
    <cfRule type="expression" dxfId="1709" priority="77" stopIfTrue="1">
      <formula>MOD(ROUND($G$6*100,2),1)=0</formula>
    </cfRule>
  </conditionalFormatting>
  <conditionalFormatting sqref="D9">
    <cfRule type="expression" dxfId="1708" priority="78" stopIfTrue="1">
      <formula>MOD(ROUND($D$9*100,2),1)=0</formula>
    </cfRule>
  </conditionalFormatting>
  <conditionalFormatting sqref="E9">
    <cfRule type="expression" dxfId="1707" priority="79" stopIfTrue="1">
      <formula>MOD(ROUND($E$9*100,2),1)=0</formula>
    </cfRule>
  </conditionalFormatting>
  <conditionalFormatting sqref="F9">
    <cfRule type="expression" dxfId="1706" priority="80" stopIfTrue="1">
      <formula>MOD(ROUND($F$9*100,2),1)=0</formula>
    </cfRule>
  </conditionalFormatting>
  <conditionalFormatting sqref="G9">
    <cfRule type="expression" dxfId="1705" priority="81"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20801"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20801" r:id="rId4"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2">
    <pageSetUpPr fitToPage="1"/>
  </sheetPr>
  <dimension ref="A1:AQ205"/>
  <sheetViews>
    <sheetView view="pageBreakPreview" zoomScaleNormal="100" zoomScaleSheetLayoutView="100" workbookViewId="0">
      <selection activeCell="T21" sqref="T21"/>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46237</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77" t="s" ph="1">
        <v>42</v>
      </c>
      <c r="D6" s="151">
        <v>0.27200000000000002</v>
      </c>
      <c r="E6" s="151">
        <v>0.99230000000000007</v>
      </c>
      <c r="F6" s="151">
        <v>0.99860000000000004</v>
      </c>
      <c r="G6" s="151">
        <v>0.98809999999999998</v>
      </c>
      <c r="H6" s="150">
        <v>1918</v>
      </c>
      <c r="I6" s="150">
        <v>3668</v>
      </c>
      <c r="J6" s="150">
        <v>4203</v>
      </c>
      <c r="K6" s="150">
        <v>6175</v>
      </c>
      <c r="L6" s="150">
        <v>5580</v>
      </c>
      <c r="M6" s="150">
        <v>1639</v>
      </c>
      <c r="N6" s="150">
        <v>4891</v>
      </c>
      <c r="O6" s="150">
        <v>3455</v>
      </c>
      <c r="P6" s="150">
        <v>2964</v>
      </c>
      <c r="Q6" s="294"/>
      <c r="R6" s="295"/>
      <c r="S6" s="295"/>
      <c r="T6" s="295"/>
      <c r="U6" s="296"/>
    </row>
    <row r="7" spans="1:43" s="61" customFormat="1" ht="25.95" customHeight="1" ph="1">
      <c r="B7" s="284" ph="1"/>
      <c r="C7" s="57" t="s" ph="1">
        <v>43</v>
      </c>
      <c r="D7" s="62" ph="1">
        <f>((D6*5885)*4.48)*LOOKUP(D8,密度!$A$2:$A$50,密度!$B$2:$B$50)</f>
        <v>5546.9430016000006</v>
      </c>
      <c r="E7" s="62" ph="1">
        <f>((E6*5885)*4.48)*LOOKUP(E8,密度!$A$2:$A$50,密度!$B$2:$B$50)</f>
        <v>20215.215936608005</v>
      </c>
      <c r="F7" s="62" ph="1">
        <f>((F6*5885)*4.48)*LOOKUP(F8,密度!$A$2:$A$50,密度!$B$2:$B$50)</f>
        <v>20388.317458432</v>
      </c>
      <c r="G7" s="62" ph="1">
        <f>((G6*5885)*4.48)*LOOKUP(G8,密度!$A$2:$A$50,密度!$B$2:$B$50)</f>
        <v>20173.939996672001</v>
      </c>
      <c r="H7" s="62" ph="1">
        <f>IF(H6&lt;=0,0,IF(H6&lt;=745,PI()*(5.3235*(H6/1000)^2-(4/3)*(H6/1000)^3),7.55+15.2053*((H6-745)/1000))*LOOKUP(H8,密度!$A$2:$A$50,密度!$B$2:$B$50)*1000)</f>
        <v>19635.92937215</v>
      </c>
      <c r="I7" s="62" ph="1">
        <f>IF(I6&lt;=0,0,IF(I6&lt;=745,PI()*(5.3235*(I6/1000)^2-(4/3)*(I6/1000)^3),7.55+15.2053*((I6-745)/1000))*LOOKUP(I8,密度!$A$2:$A$50,密度!$B$2:$B$50)*1000)</f>
        <v>40176.607511130002</v>
      </c>
      <c r="J7" s="62" ph="1">
        <f>IF(J6&lt;=0,0,IF(J6&lt;=745,PI()*(5.3235*(J6/1000)^2-(4/3)*(J6/1000)^3),7.55+15.2053*((J6-745)/1000))*LOOKUP(J8,密度!$A$2:$A$50,密度!$B$2:$B$50)*1000)</f>
        <v>46510.498843899994</v>
      </c>
      <c r="K7" s="62" ph="1">
        <f>IF(K6&lt;=0,0,IF(K6&lt;=745,PI()*(5.3235*(K6/1000)^2-(4/3)*(K6/1000)^3),7.55+15.2053*((K6-745)/1000))*LOOKUP(K8,密度!$A$2:$A$50,密度!$B$2:$B$50)*1000)</f>
        <v>69784.884857599987</v>
      </c>
      <c r="L7" s="62" ph="1">
        <f>L6*26.42*LOOKUP(L8,密度!$A$2:$A$50,密度!$B$2:$B$50)</f>
        <v>114297.51708000001</v>
      </c>
      <c r="M7" s="62" ph="1">
        <f>M6*26.42*1</f>
        <v>43302.380000000005</v>
      </c>
      <c r="N7" s="62" ph="1">
        <f>N6*18.32*LOOKUP(N8,密度!$A$2:$A$50,密度!$B$2:$B$50)</f>
        <v>69469.298935999992</v>
      </c>
      <c r="O7" s="62" ph="1">
        <f>O6*81.71*LOOKUP(O8,密度!$A$2:$A$50,密度!$B$2:$B$50)</f>
        <v>218619.35391999999</v>
      </c>
      <c r="P7" s="62" ph="1">
        <f>P6*81.71*LOOKUP(P8,密度!$A$2:$A$50,密度!$B$2:$B$50)</f>
        <v>187768.69753199999</v>
      </c>
      <c r="Q7" s="294"/>
      <c r="R7" s="295"/>
      <c r="S7" s="295"/>
      <c r="T7" s="295"/>
      <c r="U7" s="296"/>
    </row>
    <row r="8" spans="1:43" ht="25.95" customHeight="1" ph="1">
      <c r="B8" s="284" ph="1"/>
      <c r="C8" s="57" t="s" ph="1">
        <v>44</v>
      </c>
      <c r="D8" s="149">
        <v>32</v>
      </c>
      <c r="E8" s="149">
        <v>33</v>
      </c>
      <c r="F8" s="149">
        <v>31</v>
      </c>
      <c r="G8" s="149">
        <v>31</v>
      </c>
      <c r="H8" s="149">
        <v>32</v>
      </c>
      <c r="I8" s="149">
        <v>33</v>
      </c>
      <c r="J8" s="149">
        <v>32</v>
      </c>
      <c r="K8" s="149">
        <v>31</v>
      </c>
      <c r="L8" s="149">
        <v>30</v>
      </c>
      <c r="M8" s="149">
        <v>30</v>
      </c>
      <c r="N8" s="149">
        <v>30</v>
      </c>
      <c r="O8" s="149">
        <v>31</v>
      </c>
      <c r="P8" s="149">
        <v>30</v>
      </c>
      <c r="Q8" s="294"/>
      <c r="R8" s="295"/>
      <c r="S8" s="295"/>
      <c r="T8" s="295"/>
      <c r="U8" s="296"/>
    </row>
    <row r="9" spans="1:43" ht="25.95" customHeight="1" ph="1">
      <c r="B9" s="284" ph="1">
        <v>0.66666666666666663</v>
      </c>
      <c r="C9" s="177" t="s" ph="1">
        <v>45</v>
      </c>
      <c r="D9" s="151">
        <v>0.86419999999999997</v>
      </c>
      <c r="E9" s="151">
        <v>0.08</v>
      </c>
      <c r="F9" s="151">
        <v>0.99819999999999998</v>
      </c>
      <c r="G9" s="151">
        <v>0.98870000000000002</v>
      </c>
      <c r="H9" s="150">
        <v>3096</v>
      </c>
      <c r="I9" s="150">
        <v>2453</v>
      </c>
      <c r="J9" s="150">
        <v>4018</v>
      </c>
      <c r="K9" s="150">
        <v>5940</v>
      </c>
      <c r="L9" s="150">
        <v>5901</v>
      </c>
      <c r="M9" s="150">
        <v>1637</v>
      </c>
      <c r="N9" s="150">
        <v>3379</v>
      </c>
      <c r="O9" s="150">
        <v>3792</v>
      </c>
      <c r="P9" s="150">
        <v>2971</v>
      </c>
      <c r="Q9" s="294"/>
      <c r="R9" s="295"/>
      <c r="S9" s="295"/>
      <c r="T9" s="295"/>
      <c r="U9" s="296"/>
    </row>
    <row r="10" spans="1:43" s="61" customFormat="1" ht="25.95" customHeight="1" ph="1">
      <c r="B10" s="284" ph="1"/>
      <c r="C10" s="177" t="s" ph="1">
        <v>43</v>
      </c>
      <c r="D10" s="62" ph="1">
        <f>((D9*5885)*4.48)*LOOKUP(D11,密度!$A$2:$A$50,密度!$B$2:$B$50)</f>
        <v>17605.552365632004</v>
      </c>
      <c r="E10" s="62" ph="1">
        <f>((E9*5885)*4.48)*LOOKUP(E11,密度!$A$2:$A$50,密度!$B$2:$B$50)</f>
        <v>1629.7664768000002</v>
      </c>
      <c r="F10" s="62" ph="1">
        <f>((F9*5885)*4.48)*LOOKUP(F11,密度!$A$2:$A$50,密度!$B$2:$B$50)</f>
        <v>20380.150697984001</v>
      </c>
      <c r="G10" s="62" ph="1">
        <f>((G9*5885)*4.48)*LOOKUP(G11,密度!$A$2:$A$50,密度!$B$2:$B$50)</f>
        <v>20162.72994736</v>
      </c>
      <c r="H10" s="62" ph="1">
        <f>IF(H9&lt;=0,0,IF(H9&lt;=745,PI()*(5.3235*(H9/1000)^2-(4/3)*(H9/1000)^3),7.55+15.2053*((H9-745)/1000))*LOOKUP(H11,密度!$A$2:$A$50,密度!$B$2:$B$50)*1000)</f>
        <v>33417.134219539999</v>
      </c>
      <c r="I10" s="62" ph="1">
        <f>IF(I9&lt;=0,0,IF(I9&lt;=745,PI()*(5.3235*(I9/1000)^2-(4/3)*(I9/1000)^3),7.55+15.2053*((I9-745)/1000))*LOOKUP(I11,密度!$A$2:$A$50,密度!$B$2:$B$50)*1000)</f>
        <v>25841.070935159998</v>
      </c>
      <c r="J10" s="62" ph="1">
        <f>IF(J9&lt;=0,0,IF(J9&lt;=745,PI()*(5.3235*(J9/1000)^2-(4/3)*(J9/1000)^3),7.55+15.2053*((J9-745)/1000))*LOOKUP(J11,密度!$A$2:$A$50,密度!$B$2:$B$50)*1000)</f>
        <v>44288.804869629996</v>
      </c>
      <c r="K10" s="62" ph="1">
        <f>IF(K9&lt;=0,0,IF(K9&lt;=745,PI()*(5.3235*(K9/1000)^2-(4/3)*(K9/1000)^3),7.55+15.2053*((K9-745)/1000))*LOOKUP(K11,密度!$A$2:$A$50,密度!$B$2:$B$50)*1000)</f>
        <v>66870.642935450014</v>
      </c>
      <c r="L10" s="62" ph="1">
        <f>L9*26.42*LOOKUP(L11,密度!$A$2:$A$50,密度!$B$2:$B$50)</f>
        <v>120732.38284800001</v>
      </c>
      <c r="M10" s="62" ph="1">
        <f>M9*26.42*1</f>
        <v>43249.54</v>
      </c>
      <c r="N10" s="62" ph="1">
        <f>N9*18.32*LOOKUP(N11,密度!$A$2:$A$50,密度!$B$2:$B$50)</f>
        <v>47937.900031999998</v>
      </c>
      <c r="O10" s="62" ph="1">
        <f>O9*81.71*LOOKUP(O11,密度!$A$2:$A$50,密度!$B$2:$B$50)</f>
        <v>239943.44140799996</v>
      </c>
      <c r="P10" s="62" ph="1">
        <f>P9*81.71*LOOKUP(P11,密度!$A$2:$A$50,密度!$B$2:$B$50)</f>
        <v>187993.66150399999</v>
      </c>
      <c r="Q10" s="294"/>
      <c r="R10" s="295"/>
      <c r="S10" s="295"/>
      <c r="T10" s="295"/>
      <c r="U10" s="296"/>
    </row>
    <row r="11" spans="1:43" ht="25.95" customHeight="1" ph="1">
      <c r="A11" s="53" t="s" ph="1">
        <v>40</v>
      </c>
      <c r="B11" s="284" ph="1"/>
      <c r="C11" s="177" t="s" ph="1">
        <v>44</v>
      </c>
      <c r="D11" s="149">
        <v>33</v>
      </c>
      <c r="E11" s="149">
        <v>33</v>
      </c>
      <c r="F11" s="149">
        <v>31</v>
      </c>
      <c r="G11" s="149">
        <v>32</v>
      </c>
      <c r="H11" s="149">
        <v>34</v>
      </c>
      <c r="I11" s="149">
        <v>35</v>
      </c>
      <c r="J11" s="149">
        <v>33</v>
      </c>
      <c r="K11" s="149">
        <v>33</v>
      </c>
      <c r="L11" s="149">
        <v>31</v>
      </c>
      <c r="M11" s="149">
        <v>30</v>
      </c>
      <c r="N11" s="149">
        <v>31</v>
      </c>
      <c r="O11" s="149">
        <v>31</v>
      </c>
      <c r="P11" s="149">
        <v>31</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77" t="s" ph="1">
        <v>1</v>
      </c>
      <c r="F14" s="88" t="s" ph="1">
        <v>28</v>
      </c>
      <c r="G14" s="86" t="s" ph="1">
        <v>0</v>
      </c>
      <c r="H14" s="177" t="s" ph="1">
        <v>1</v>
      </c>
      <c r="I14" s="178" t="s" ph="1">
        <v>28</v>
      </c>
      <c r="J14" s="86" t="s" ph="1">
        <v>0</v>
      </c>
      <c r="K14" s="177" t="s" ph="1">
        <v>1</v>
      </c>
      <c r="L14" s="178" t="s" ph="1">
        <v>28</v>
      </c>
      <c r="M14" s="86" t="s" ph="1">
        <v>0</v>
      </c>
      <c r="N14" s="177" t="s" ph="1">
        <v>1</v>
      </c>
      <c r="O14" s="178" t="s" ph="1">
        <v>28</v>
      </c>
      <c r="P14" s="86" t="s" ph="1">
        <v>0</v>
      </c>
      <c r="Q14" s="87" t="s" ph="1">
        <v>1</v>
      </c>
      <c r="R14" s="88" t="s" ph="1">
        <v>28</v>
      </c>
      <c r="S14" s="86" t="s" ph="1">
        <v>0</v>
      </c>
      <c r="T14" s="177" t="s" ph="1">
        <v>1</v>
      </c>
      <c r="U14" s="88" t="s" ph="1">
        <v>28</v>
      </c>
    </row>
    <row r="15" spans="1:43" ph="1">
      <c r="A15" s="53"/>
      <c r="B15" s="300" t="s" ph="1">
        <v>46</v>
      </c>
      <c r="C15" s="301" ph="1"/>
      <c r="D15" s="241" ph="1">
        <f>O10+P10</f>
        <v>427937.10291199991</v>
      </c>
      <c r="E15" s="233" ph="1">
        <f>H10+I10+J10+K10</f>
        <v>170417.65295978001</v>
      </c>
      <c r="F15" s="257" ph="1">
        <f>L10+N10</f>
        <v>168670.28288000001</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79" ph="1"/>
      <c r="P18" s="90" ph="1"/>
      <c r="Q18" s="179" t="s" ph="1">
        <v>50</v>
      </c>
      <c r="R18" s="218" t="s" ph="1">
        <v>176</v>
      </c>
      <c r="S18" s="218" ph="1"/>
    </row>
    <row r="19" spans="1:21" s="179"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1704" priority="72">
      <formula>ABS(D$7-D$10)&gt;=1000</formula>
    </cfRule>
  </conditionalFormatting>
  <conditionalFormatting sqref="E4">
    <cfRule type="expression" dxfId="1703" priority="71">
      <formula>ABS(E$7-E$10)&gt;=1000</formula>
    </cfRule>
  </conditionalFormatting>
  <conditionalFormatting sqref="F4">
    <cfRule type="expression" dxfId="1702" priority="70">
      <formula>ABS(F$7-F$10)&gt;=1000</formula>
    </cfRule>
  </conditionalFormatting>
  <conditionalFormatting sqref="G4">
    <cfRule type="expression" dxfId="1701" priority="69">
      <formula>ABS(G$7-G$10)&gt;=1000</formula>
    </cfRule>
  </conditionalFormatting>
  <conditionalFormatting sqref="H4:K4">
    <cfRule type="expression" dxfId="1700" priority="68">
      <formula>ABS(H$7-H$10)&gt;=1000</formula>
    </cfRule>
  </conditionalFormatting>
  <conditionalFormatting sqref="I8">
    <cfRule type="expression" dxfId="1699" priority="67">
      <formula>ABS(I$7-I$10)&gt;=1000</formula>
    </cfRule>
  </conditionalFormatting>
  <conditionalFormatting sqref="L4:L5 M4:N4">
    <cfRule type="expression" dxfId="1698" priority="66">
      <formula>ABS(L$7-L$10)&gt;=1000</formula>
    </cfRule>
  </conditionalFormatting>
  <conditionalFormatting sqref="M5">
    <cfRule type="expression" dxfId="1697" priority="65">
      <formula>ABS(M$7-M$10)&gt;=1000</formula>
    </cfRule>
  </conditionalFormatting>
  <conditionalFormatting sqref="N5">
    <cfRule type="expression" dxfId="1696" priority="64">
      <formula>ABS(N$7-N$10)&gt;=1000</formula>
    </cfRule>
  </conditionalFormatting>
  <conditionalFormatting sqref="D5">
    <cfRule type="expression" dxfId="1695" priority="63">
      <formula>ABS(D$7-D$10)&gt;=1000</formula>
    </cfRule>
  </conditionalFormatting>
  <conditionalFormatting sqref="E5:G5">
    <cfRule type="expression" dxfId="1694" priority="62">
      <formula>ABS(E$7-E$10)&gt;=1000</formula>
    </cfRule>
  </conditionalFormatting>
  <conditionalFormatting sqref="H5">
    <cfRule type="expression" dxfId="1693" priority="61">
      <formula>ABS(H$7-H$10)&gt;=1000</formula>
    </cfRule>
  </conditionalFormatting>
  <conditionalFormatting sqref="O4:P4">
    <cfRule type="expression" dxfId="1692" priority="60">
      <formula>ABS(O$7-O$10)&gt;=1000</formula>
    </cfRule>
  </conditionalFormatting>
  <conditionalFormatting sqref="O5">
    <cfRule type="expression" dxfId="1691" priority="59">
      <formula>ABS(O$7-O$10)&gt;=1000</formula>
    </cfRule>
  </conditionalFormatting>
  <conditionalFormatting sqref="I6">
    <cfRule type="expression" dxfId="1690" priority="58">
      <formula>ABS(I$7-I$10)&gt;=1000</formula>
    </cfRule>
  </conditionalFormatting>
  <conditionalFormatting sqref="P5">
    <cfRule type="expression" dxfId="1689" priority="57">
      <formula>ABS(P$7-P$10)&gt;=1000</formula>
    </cfRule>
  </conditionalFormatting>
  <conditionalFormatting sqref="I5">
    <cfRule type="expression" dxfId="1688" priority="56">
      <formula>ABS(I$7-I$10)&gt;=1000</formula>
    </cfRule>
  </conditionalFormatting>
  <conditionalFormatting sqref="D6 D8">
    <cfRule type="expression" dxfId="1687" priority="55">
      <formula>ABS(D$7-D$10)&gt;=1000</formula>
    </cfRule>
  </conditionalFormatting>
  <conditionalFormatting sqref="E6 E8">
    <cfRule type="expression" dxfId="1686" priority="54">
      <formula>ABS(E$7-E$10)&gt;=1000</formula>
    </cfRule>
  </conditionalFormatting>
  <conditionalFormatting sqref="F6 F8">
    <cfRule type="expression" dxfId="1685" priority="53">
      <formula>ABS(F$7-F$10)&gt;=1000</formula>
    </cfRule>
  </conditionalFormatting>
  <conditionalFormatting sqref="G6 G8">
    <cfRule type="expression" dxfId="1684" priority="52">
      <formula>ABS(G$7-G$10)&gt;=1000</formula>
    </cfRule>
  </conditionalFormatting>
  <conditionalFormatting sqref="H8">
    <cfRule type="expression" dxfId="1683" priority="51">
      <formula>ABS(H$7-H$10)&gt;=1000</formula>
    </cfRule>
  </conditionalFormatting>
  <conditionalFormatting sqref="H6">
    <cfRule type="expression" dxfId="1682" priority="50">
      <formula>ABS(H$7-H$10)&gt;=1000</formula>
    </cfRule>
  </conditionalFormatting>
  <conditionalFormatting sqref="J8">
    <cfRule type="expression" dxfId="1681" priority="49">
      <formula>ABS(J$7-J$10)&gt;=1000</formula>
    </cfRule>
  </conditionalFormatting>
  <conditionalFormatting sqref="K8">
    <cfRule type="expression" dxfId="1680" priority="48">
      <formula>ABS(K$7-K$10)&gt;=1000</formula>
    </cfRule>
  </conditionalFormatting>
  <conditionalFormatting sqref="L8">
    <cfRule type="expression" dxfId="1679" priority="47">
      <formula>ABS(L$7-L$10)&gt;=1000</formula>
    </cfRule>
  </conditionalFormatting>
  <conditionalFormatting sqref="M8">
    <cfRule type="expression" dxfId="1678" priority="46">
      <formula>ABS(M$7-M$10)&gt;=1000</formula>
    </cfRule>
  </conditionalFormatting>
  <conditionalFormatting sqref="N8">
    <cfRule type="expression" dxfId="1677" priority="45">
      <formula>ABS(N$7-N$10)&gt;=1000</formula>
    </cfRule>
  </conditionalFormatting>
  <conditionalFormatting sqref="O8">
    <cfRule type="expression" dxfId="1676" priority="44">
      <formula>ABS(O$7-O$10)&gt;=1000</formula>
    </cfRule>
  </conditionalFormatting>
  <conditionalFormatting sqref="P8">
    <cfRule type="expression" dxfId="1675" priority="43">
      <formula>ABS(P$7-P$10)&gt;=1000</formula>
    </cfRule>
  </conditionalFormatting>
  <conditionalFormatting sqref="J6">
    <cfRule type="expression" dxfId="1674" priority="42">
      <formula>ABS(J$7-J$10)&gt;=1000</formula>
    </cfRule>
  </conditionalFormatting>
  <conditionalFormatting sqref="K6">
    <cfRule type="expression" dxfId="1673" priority="41">
      <formula>ABS(K$7-K$10)&gt;=1000</formula>
    </cfRule>
  </conditionalFormatting>
  <conditionalFormatting sqref="L6">
    <cfRule type="expression" dxfId="1672" priority="40">
      <formula>ABS(L$7-L$10)&gt;=1000</formula>
    </cfRule>
  </conditionalFormatting>
  <conditionalFormatting sqref="M6">
    <cfRule type="expression" dxfId="1671" priority="39">
      <formula>ABS(M$7-M$10)&gt;=1000</formula>
    </cfRule>
  </conditionalFormatting>
  <conditionalFormatting sqref="N6">
    <cfRule type="expression" dxfId="1670" priority="38">
      <formula>ABS(N$7-N$10)&gt;=1000</formula>
    </cfRule>
  </conditionalFormatting>
  <conditionalFormatting sqref="O6">
    <cfRule type="expression" dxfId="1669" priority="37">
      <formula>ABS(O$7-O$10)&gt;=1000</formula>
    </cfRule>
  </conditionalFormatting>
  <conditionalFormatting sqref="P6">
    <cfRule type="expression" dxfId="1668" priority="36">
      <formula>ABS(P$7-P$10)&gt;=1000</formula>
    </cfRule>
  </conditionalFormatting>
  <conditionalFormatting sqref="L7">
    <cfRule type="expression" dxfId="1667" priority="35">
      <formula>ABS(L$7-L$10)&gt;=1000</formula>
    </cfRule>
  </conditionalFormatting>
  <conditionalFormatting sqref="M7">
    <cfRule type="expression" dxfId="1666" priority="34">
      <formula>ABS(M$7-M$10)&gt;=1000</formula>
    </cfRule>
  </conditionalFormatting>
  <conditionalFormatting sqref="O7:P7">
    <cfRule type="expression" dxfId="1665" priority="33">
      <formula>ABS(O$7-O$10)&gt;=1000</formula>
    </cfRule>
  </conditionalFormatting>
  <conditionalFormatting sqref="N7">
    <cfRule type="expression" dxfId="1664" priority="32">
      <formula>ABS(N$7-N$10)&gt;=1000</formula>
    </cfRule>
  </conditionalFormatting>
  <conditionalFormatting sqref="H7:K7">
    <cfRule type="expression" dxfId="1663" priority="31">
      <formula>ABS(H$7-H$10)&gt;=1000</formula>
    </cfRule>
  </conditionalFormatting>
  <conditionalFormatting sqref="D7:G7">
    <cfRule type="expression" dxfId="1662" priority="30">
      <formula>ABS(D$7-D$10)&gt;=1000</formula>
    </cfRule>
  </conditionalFormatting>
  <conditionalFormatting sqref="J5:K5">
    <cfRule type="expression" dxfId="1661" priority="29">
      <formula>ABS(J$7-J$10)&gt;=1000</formula>
    </cfRule>
  </conditionalFormatting>
  <conditionalFormatting sqref="D9 D11">
    <cfRule type="expression" dxfId="1660" priority="28">
      <formula>ABS(D$7-D$10)&gt;=1000</formula>
    </cfRule>
  </conditionalFormatting>
  <conditionalFormatting sqref="E9 E11">
    <cfRule type="expression" dxfId="1659" priority="27">
      <formula>ABS(E$7-E$10)&gt;=1000</formula>
    </cfRule>
  </conditionalFormatting>
  <conditionalFormatting sqref="F9 F11">
    <cfRule type="expression" dxfId="1658" priority="26">
      <formula>ABS(F$7-F$10)&gt;=1000</formula>
    </cfRule>
  </conditionalFormatting>
  <conditionalFormatting sqref="G9 G11">
    <cfRule type="expression" dxfId="1657" priority="25">
      <formula>ABS(G$7-G$10)&gt;=1000</formula>
    </cfRule>
  </conditionalFormatting>
  <conditionalFormatting sqref="H11">
    <cfRule type="expression" dxfId="1656" priority="24">
      <formula>ABS(H$7-H$10)&gt;=1000</formula>
    </cfRule>
  </conditionalFormatting>
  <conditionalFormatting sqref="I11">
    <cfRule type="expression" dxfId="1655" priority="23">
      <formula>ABS(I$7-I$10)&gt;=1000</formula>
    </cfRule>
  </conditionalFormatting>
  <conditionalFormatting sqref="J11">
    <cfRule type="expression" dxfId="1654" priority="22">
      <formula>ABS(J$7-J$10)&gt;=1000</formula>
    </cfRule>
  </conditionalFormatting>
  <conditionalFormatting sqref="K11">
    <cfRule type="expression" dxfId="1653" priority="21">
      <formula>ABS(K$7-K$10)&gt;=1000</formula>
    </cfRule>
  </conditionalFormatting>
  <conditionalFormatting sqref="L11">
    <cfRule type="expression" dxfId="1652" priority="20">
      <formula>ABS(L$7-L$10)&gt;=1000</formula>
    </cfRule>
  </conditionalFormatting>
  <conditionalFormatting sqref="M11">
    <cfRule type="expression" dxfId="1651" priority="19">
      <formula>ABS(M$7-M$10)&gt;=1000</formula>
    </cfRule>
  </conditionalFormatting>
  <conditionalFormatting sqref="N11">
    <cfRule type="expression" dxfId="1650" priority="18">
      <formula>ABS(N$7-N$10)&gt;=1000</formula>
    </cfRule>
  </conditionalFormatting>
  <conditionalFormatting sqref="O11">
    <cfRule type="expression" dxfId="1649" priority="17">
      <formula>ABS(O$7-O$10)&gt;=1000</formula>
    </cfRule>
  </conditionalFormatting>
  <conditionalFormatting sqref="P11">
    <cfRule type="expression" dxfId="1648" priority="16">
      <formula>ABS(P$7-P$10)&gt;=1000</formula>
    </cfRule>
  </conditionalFormatting>
  <conditionalFormatting sqref="H9">
    <cfRule type="expression" dxfId="1647" priority="15">
      <formula>ABS(H$7-H$10)&gt;=1000</formula>
    </cfRule>
  </conditionalFormatting>
  <conditionalFormatting sqref="J9">
    <cfRule type="expression" dxfId="1646" priority="14">
      <formula>ABS(J$7-J$10)&gt;=1000</formula>
    </cfRule>
  </conditionalFormatting>
  <conditionalFormatting sqref="K9">
    <cfRule type="expression" dxfId="1645" priority="13">
      <formula>ABS(K$7-K$10)&gt;=1000</formula>
    </cfRule>
  </conditionalFormatting>
  <conditionalFormatting sqref="L9">
    <cfRule type="expression" dxfId="1644" priority="12">
      <formula>ABS(L$7-L$10)&gt;=1000</formula>
    </cfRule>
  </conditionalFormatting>
  <conditionalFormatting sqref="M9">
    <cfRule type="expression" dxfId="1643" priority="11">
      <formula>ABS(M$7-M$10)&gt;=1000</formula>
    </cfRule>
  </conditionalFormatting>
  <conditionalFormatting sqref="N9">
    <cfRule type="expression" dxfId="1642" priority="10">
      <formula>ABS(N$7-N$10)&gt;=1000</formula>
    </cfRule>
  </conditionalFormatting>
  <conditionalFormatting sqref="O9">
    <cfRule type="expression" dxfId="1641" priority="9">
      <formula>ABS(O$7-O$10)&gt;=1000</formula>
    </cfRule>
  </conditionalFormatting>
  <conditionalFormatting sqref="P9">
    <cfRule type="expression" dxfId="1640" priority="8">
      <formula>ABS(P$7-P$10)&gt;=1000</formula>
    </cfRule>
  </conditionalFormatting>
  <conditionalFormatting sqref="I9">
    <cfRule type="expression" dxfId="1639" priority="7">
      <formula>ABS(I$7-I$10)&gt;=1000</formula>
    </cfRule>
  </conditionalFormatting>
  <conditionalFormatting sqref="L10">
    <cfRule type="expression" dxfId="1638" priority="6">
      <formula>ABS(L$7-L$10)&gt;=1000</formula>
    </cfRule>
  </conditionalFormatting>
  <conditionalFormatting sqref="M10">
    <cfRule type="expression" dxfId="1637" priority="5">
      <formula>ABS(M$7-M$10)&gt;=1000</formula>
    </cfRule>
  </conditionalFormatting>
  <conditionalFormatting sqref="O10:P10">
    <cfRule type="expression" dxfId="1636" priority="4">
      <formula>ABS(O$7-O$10)&gt;=1000</formula>
    </cfRule>
  </conditionalFormatting>
  <conditionalFormatting sqref="N10">
    <cfRule type="expression" dxfId="1635" priority="3">
      <formula>ABS(N$7-N$10)&gt;=1000</formula>
    </cfRule>
  </conditionalFormatting>
  <conditionalFormatting sqref="H10:K10">
    <cfRule type="expression" dxfId="1634" priority="2">
      <formula>ABS(H$7-H$10)&gt;=1000</formula>
    </cfRule>
  </conditionalFormatting>
  <conditionalFormatting sqref="D10:G10">
    <cfRule type="expression" dxfId="1633" priority="1">
      <formula>ABS(D$7-D$10)&gt;=1000</formula>
    </cfRule>
  </conditionalFormatting>
  <conditionalFormatting sqref="I12">
    <cfRule type="expression" dxfId="1632" priority="73">
      <formula>ABS(#REF!-#REF!)&gt;=1000</formula>
    </cfRule>
  </conditionalFormatting>
  <conditionalFormatting sqref="D6">
    <cfRule type="expression" dxfId="1631" priority="82" stopIfTrue="1">
      <formula>MOD(ROUND($D$6*100,2),1)=0</formula>
    </cfRule>
  </conditionalFormatting>
  <conditionalFormatting sqref="E6">
    <cfRule type="expression" dxfId="1630" priority="83" stopIfTrue="1">
      <formula>MOD(ROUND($E$6*100,2),1)=0</formula>
    </cfRule>
  </conditionalFormatting>
  <conditionalFormatting sqref="F6">
    <cfRule type="expression" dxfId="1629" priority="84" stopIfTrue="1">
      <formula>MOD(ROUND($F$6*100,2),1)=0</formula>
    </cfRule>
  </conditionalFormatting>
  <conditionalFormatting sqref="G6">
    <cfRule type="expression" dxfId="1628" priority="85" stopIfTrue="1">
      <formula>MOD(ROUND($G$6*100,2),1)=0</formula>
    </cfRule>
  </conditionalFormatting>
  <conditionalFormatting sqref="D9">
    <cfRule type="expression" dxfId="1627" priority="86" stopIfTrue="1">
      <formula>MOD(ROUND($D$9*100,2),1)=0</formula>
    </cfRule>
  </conditionalFormatting>
  <conditionalFormatting sqref="E9">
    <cfRule type="expression" dxfId="1626" priority="87" stopIfTrue="1">
      <formula>MOD(ROUND($E$9*100,2),1)=0</formula>
    </cfRule>
  </conditionalFormatting>
  <conditionalFormatting sqref="F9">
    <cfRule type="expression" dxfId="1625" priority="88" stopIfTrue="1">
      <formula>MOD(ROUND($F$9*100,2),1)=0</formula>
    </cfRule>
  </conditionalFormatting>
  <conditionalFormatting sqref="G9">
    <cfRule type="expression" dxfId="1624"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21825"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21825" r:id="rId4"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3">
    <pageSetUpPr fitToPage="1"/>
  </sheetPr>
  <dimension ref="A1:AQ205"/>
  <sheetViews>
    <sheetView view="pageBreakPreview" zoomScaleNormal="100" zoomScaleSheetLayoutView="100" workbookViewId="0">
      <selection activeCell="T21" sqref="T21"/>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46238</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80" t="s" ph="1">
        <v>42</v>
      </c>
      <c r="D6" s="151">
        <v>0.3775</v>
      </c>
      <c r="E6" s="151">
        <v>0.99980000000000002</v>
      </c>
      <c r="F6" s="151">
        <v>0.99750000000000005</v>
      </c>
      <c r="G6" s="151">
        <v>0.98809999999999998</v>
      </c>
      <c r="H6" s="150">
        <v>3093</v>
      </c>
      <c r="I6" s="150">
        <v>3904</v>
      </c>
      <c r="J6" s="150">
        <v>4014</v>
      </c>
      <c r="K6" s="150">
        <v>5936</v>
      </c>
      <c r="L6" s="150">
        <v>5965</v>
      </c>
      <c r="M6" s="150">
        <v>1637</v>
      </c>
      <c r="N6" s="150">
        <v>3512</v>
      </c>
      <c r="O6" s="150">
        <v>3332</v>
      </c>
      <c r="P6" s="150">
        <v>2965</v>
      </c>
      <c r="Q6" s="294"/>
      <c r="R6" s="295"/>
      <c r="S6" s="295"/>
      <c r="T6" s="295"/>
      <c r="U6" s="296"/>
    </row>
    <row r="7" spans="1:43" s="61" customFormat="1" ht="25.95" customHeight="1" ph="1">
      <c r="B7" s="284" ph="1"/>
      <c r="C7" s="57" t="s" ph="1">
        <v>43</v>
      </c>
      <c r="D7" s="62" ph="1">
        <f>((D6*5885)*4.48)*LOOKUP(D8,密度!$A$2:$A$50,密度!$B$2:$B$50)</f>
        <v>7698.4227320000009</v>
      </c>
      <c r="E7" s="62" ph="1">
        <f>((E6*5885)*4.48)*LOOKUP(E8,密度!$A$2:$A$50,密度!$B$2:$B$50)</f>
        <v>20368.006543808006</v>
      </c>
      <c r="F7" s="62" ph="1">
        <f>((F6*5885)*4.48)*LOOKUP(F8,密度!$A$2:$A$50,密度!$B$2:$B$50)</f>
        <v>20365.858867200001</v>
      </c>
      <c r="G7" s="62" ph="1">
        <f>((G6*5885)*4.48)*LOOKUP(G8,密度!$A$2:$A$50,密度!$B$2:$B$50)</f>
        <v>20173.939996672001</v>
      </c>
      <c r="H7" s="62" ph="1">
        <f>IF(H6&lt;=0,0,IF(H6&lt;=745,PI()*(5.3235*(H6/1000)^2-(4/3)*(H6/1000)^3),7.55+15.2053*((H6-745)/1000))*LOOKUP(H8,密度!$A$2:$A$50,密度!$B$2:$B$50)*1000)</f>
        <v>33420.854707879997</v>
      </c>
      <c r="I7" s="62" ph="1">
        <f>IF(I6&lt;=0,0,IF(I6&lt;=745,PI()*(5.3235*(I6/1000)^2-(4/3)*(I6/1000)^3),7.55+15.2053*((I6-745)/1000))*LOOKUP(I8,密度!$A$2:$A$50,密度!$B$2:$B$50)*1000)</f>
        <v>42949.403444290001</v>
      </c>
      <c r="J7" s="62" ph="1">
        <f>IF(J6&lt;=0,0,IF(J6&lt;=745,PI()*(5.3235*(J6/1000)^2-(4/3)*(J6/1000)^3),7.55+15.2053*((J6-745)/1000))*LOOKUP(J8,密度!$A$2:$A$50,密度!$B$2:$B$50)*1000)</f>
        <v>44287.613228949995</v>
      </c>
      <c r="K7" s="62" ph="1">
        <f>IF(K6&lt;=0,0,IF(K6&lt;=745,PI()*(5.3235*(K6/1000)^2-(4/3)*(K6/1000)^3),7.55+15.2053*((K6-745)/1000))*LOOKUP(K8,密度!$A$2:$A$50,密度!$B$2:$B$50)*1000)</f>
        <v>66892.830964049994</v>
      </c>
      <c r="L7" s="62" ph="1">
        <f>L6*26.42*LOOKUP(L8,密度!$A$2:$A$50,密度!$B$2:$B$50)</f>
        <v>122183.63609000001</v>
      </c>
      <c r="M7" s="62" ph="1">
        <f>M6*26.42*1</f>
        <v>43249.54</v>
      </c>
      <c r="N7" s="62" ph="1">
        <f>N6*18.32*LOOKUP(N8,密度!$A$2:$A$50,密度!$B$2:$B$50)</f>
        <v>49882.677952000005</v>
      </c>
      <c r="O7" s="62" ph="1">
        <f>O6*81.71*LOOKUP(O8,密度!$A$2:$A$50,密度!$B$2:$B$50)</f>
        <v>210836.37836799998</v>
      </c>
      <c r="P7" s="62" ph="1">
        <f>P6*81.71*LOOKUP(P8,密度!$A$2:$A$50,密度!$B$2:$B$50)</f>
        <v>187614.00415999998</v>
      </c>
      <c r="Q7" s="294"/>
      <c r="R7" s="295"/>
      <c r="S7" s="295"/>
      <c r="T7" s="295"/>
      <c r="U7" s="296"/>
    </row>
    <row r="8" spans="1:43" ht="25.95" customHeight="1" ph="1">
      <c r="B8" s="284" ph="1"/>
      <c r="C8" s="57" t="s" ph="1">
        <v>44</v>
      </c>
      <c r="D8" s="149">
        <v>32</v>
      </c>
      <c r="E8" s="149">
        <v>33</v>
      </c>
      <c r="F8" s="149">
        <v>31</v>
      </c>
      <c r="G8" s="149">
        <v>31</v>
      </c>
      <c r="H8" s="149">
        <v>33</v>
      </c>
      <c r="I8" s="149">
        <v>33</v>
      </c>
      <c r="J8" s="149">
        <v>32</v>
      </c>
      <c r="K8" s="149">
        <v>32</v>
      </c>
      <c r="L8" s="149">
        <v>30</v>
      </c>
      <c r="M8" s="149">
        <v>30</v>
      </c>
      <c r="N8" s="149">
        <v>30</v>
      </c>
      <c r="O8" s="149">
        <v>31</v>
      </c>
      <c r="P8" s="149">
        <v>31</v>
      </c>
      <c r="Q8" s="294"/>
      <c r="R8" s="295"/>
      <c r="S8" s="295"/>
      <c r="T8" s="295"/>
      <c r="U8" s="296"/>
    </row>
    <row r="9" spans="1:43" ht="25.95" customHeight="1" ph="1">
      <c r="B9" s="284" ph="1">
        <v>0.66666666666666663</v>
      </c>
      <c r="C9" s="180" t="s" ph="1">
        <v>45</v>
      </c>
      <c r="D9" s="151">
        <v>0.99269999999999992</v>
      </c>
      <c r="E9" s="151">
        <v>0.1101</v>
      </c>
      <c r="F9" s="151">
        <v>0</v>
      </c>
      <c r="G9" s="151">
        <v>1.1000000000000001E-3</v>
      </c>
      <c r="H9" s="150">
        <v>2231</v>
      </c>
      <c r="I9" s="150">
        <v>3742</v>
      </c>
      <c r="J9" s="150">
        <v>5866</v>
      </c>
      <c r="K9" s="150">
        <v>5936</v>
      </c>
      <c r="L9" s="150">
        <v>6037</v>
      </c>
      <c r="M9" s="150">
        <v>1634</v>
      </c>
      <c r="N9" s="150">
        <v>2001</v>
      </c>
      <c r="O9" s="150">
        <v>3649</v>
      </c>
      <c r="P9" s="150">
        <v>3338</v>
      </c>
      <c r="Q9" s="294"/>
      <c r="R9" s="295"/>
      <c r="S9" s="295"/>
      <c r="T9" s="295"/>
      <c r="U9" s="296"/>
    </row>
    <row r="10" spans="1:43" s="61" customFormat="1" ht="25.95" customHeight="1" ph="1">
      <c r="B10" s="284" ph="1"/>
      <c r="C10" s="180" t="s" ph="1">
        <v>43</v>
      </c>
      <c r="D10" s="62" ph="1">
        <f>((D9*5885)*4.48)*LOOKUP(D11,密度!$A$2:$A$50,密度!$B$2:$B$50)</f>
        <v>20199.809665728</v>
      </c>
      <c r="E10" s="62" ph="1">
        <f>((E9*5885)*4.48)*LOOKUP(E11,密度!$A$2:$A$50,密度!$B$2:$B$50)</f>
        <v>2242.9661136960003</v>
      </c>
      <c r="F10" s="62" ph="1">
        <f>((F9*5885)*4.48)*LOOKUP(F11,密度!$A$2:$A$50,密度!$B$2:$B$50)</f>
        <v>0</v>
      </c>
      <c r="G10" s="62" ph="1">
        <f>((G9*5885)*4.48)*LOOKUP(G11,密度!$A$2:$A$50,密度!$B$2:$B$50)</f>
        <v>22.409289056000006</v>
      </c>
      <c r="H10" s="62" ph="1">
        <f>IF(H9&lt;=0,0,IF(H9&lt;=745,PI()*(5.3235*(H9/1000)^2-(4/3)*(H9/1000)^3),7.55+15.2053*((H9-745)/1000))*LOOKUP(H11,密度!$A$2:$A$50,密度!$B$2:$B$50)*1000)</f>
        <v>23265.969502440003</v>
      </c>
      <c r="I10" s="62" ph="1">
        <f>IF(I9&lt;=0,0,IF(I9&lt;=745,PI()*(5.3235*(I9/1000)^2-(4/3)*(I9/1000)^3),7.55+15.2053*((I9-745)/1000))*LOOKUP(I11,密度!$A$2:$A$50,密度!$B$2:$B$50)*1000)</f>
        <v>41046.043524069995</v>
      </c>
      <c r="J10" s="62" ph="1">
        <f>IF(J9&lt;=0,0,IF(J9&lt;=745,PI()*(5.3235*(J9/1000)^2-(4/3)*(J9/1000)^3),7.55+15.2053*((J9-745)/1000))*LOOKUP(J11,密度!$A$2:$A$50,密度!$B$2:$B$50)*1000)</f>
        <v>66069.539995550003</v>
      </c>
      <c r="K10" s="62" ph="1">
        <f>IF(K9&lt;=0,0,IF(K9&lt;=745,PI()*(5.3235*(K9/1000)^2-(4/3)*(K9/1000)^3),7.55+15.2053*((K9-745)/1000))*LOOKUP(K11,密度!$A$2:$A$50,密度!$B$2:$B$50)*1000)</f>
        <v>66823.646394209994</v>
      </c>
      <c r="L10" s="62" ph="1">
        <f>L9*26.42*LOOKUP(L11,密度!$A$2:$A$50,密度!$B$2:$B$50)</f>
        <v>123514.894976</v>
      </c>
      <c r="M10" s="62" ph="1">
        <f>M9*26.42*1</f>
        <v>43170.280000000006</v>
      </c>
      <c r="N10" s="62" ph="1">
        <f>N9*18.32*LOOKUP(N11,密度!$A$2:$A$50,密度!$B$2:$B$50)</f>
        <v>28388.203008</v>
      </c>
      <c r="O10" s="62" ph="1">
        <f>O9*81.71*LOOKUP(O11,密度!$A$2:$A$50,密度!$B$2:$B$50)</f>
        <v>230894.94137599997</v>
      </c>
      <c r="P10" s="62" ph="1">
        <f>P9*81.71*LOOKUP(P11,密度!$A$2:$A$50,密度!$B$2:$B$50)</f>
        <v>210970.56252999997</v>
      </c>
      <c r="Q10" s="294"/>
      <c r="R10" s="295"/>
      <c r="S10" s="295"/>
      <c r="T10" s="295"/>
      <c r="U10" s="296"/>
    </row>
    <row r="11" spans="1:43" ht="25.95" customHeight="1" ph="1">
      <c r="A11" s="53" t="s" ph="1">
        <v>40</v>
      </c>
      <c r="B11" s="284" ph="1"/>
      <c r="C11" s="180" t="s" ph="1">
        <v>44</v>
      </c>
      <c r="D11" s="149">
        <v>34</v>
      </c>
      <c r="E11" s="149">
        <v>33</v>
      </c>
      <c r="F11" s="149">
        <v>33</v>
      </c>
      <c r="G11" s="149">
        <v>33</v>
      </c>
      <c r="H11" s="149">
        <v>34</v>
      </c>
      <c r="I11" s="149">
        <v>33</v>
      </c>
      <c r="J11" s="149">
        <v>32</v>
      </c>
      <c r="K11" s="149">
        <v>33</v>
      </c>
      <c r="L11" s="149">
        <v>31</v>
      </c>
      <c r="M11" s="149">
        <v>31</v>
      </c>
      <c r="N11" s="149">
        <v>31</v>
      </c>
      <c r="O11" s="149">
        <v>31</v>
      </c>
      <c r="P11" s="149">
        <v>32</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80" t="s" ph="1">
        <v>1</v>
      </c>
      <c r="F14" s="88" t="s" ph="1">
        <v>28</v>
      </c>
      <c r="G14" s="86" t="s" ph="1">
        <v>0</v>
      </c>
      <c r="H14" s="180" t="s" ph="1">
        <v>1</v>
      </c>
      <c r="I14" s="181" t="s" ph="1">
        <v>28</v>
      </c>
      <c r="J14" s="86" t="s" ph="1">
        <v>0</v>
      </c>
      <c r="K14" s="180" t="s" ph="1">
        <v>1</v>
      </c>
      <c r="L14" s="181" t="s" ph="1">
        <v>28</v>
      </c>
      <c r="M14" s="86" t="s" ph="1">
        <v>0</v>
      </c>
      <c r="N14" s="180" t="s" ph="1">
        <v>1</v>
      </c>
      <c r="O14" s="181" t="s" ph="1">
        <v>28</v>
      </c>
      <c r="P14" s="86" t="s" ph="1">
        <v>0</v>
      </c>
      <c r="Q14" s="87" t="s" ph="1">
        <v>1</v>
      </c>
      <c r="R14" s="88" t="s" ph="1">
        <v>28</v>
      </c>
      <c r="S14" s="86" t="s" ph="1">
        <v>0</v>
      </c>
      <c r="T14" s="180" t="s" ph="1">
        <v>1</v>
      </c>
      <c r="U14" s="88" t="s" ph="1">
        <v>28</v>
      </c>
    </row>
    <row r="15" spans="1:43" ph="1">
      <c r="A15" s="53"/>
      <c r="B15" s="300" t="s" ph="1">
        <v>46</v>
      </c>
      <c r="C15" s="301" ph="1"/>
      <c r="D15" s="241" ph="1">
        <f>O10+P10</f>
        <v>441865.50390599994</v>
      </c>
      <c r="E15" s="233" ph="1">
        <f>H10+I10+J10+K10</f>
        <v>197205.19941627001</v>
      </c>
      <c r="F15" s="257" ph="1">
        <f>L10+N10</f>
        <v>151903.09798399999</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82" ph="1"/>
      <c r="P18" s="90" ph="1"/>
      <c r="Q18" s="182" t="s" ph="1">
        <v>50</v>
      </c>
      <c r="R18" s="218" t="s" ph="1">
        <v>176</v>
      </c>
      <c r="S18" s="218" ph="1"/>
    </row>
    <row r="19" spans="1:21" s="182"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1623" priority="72">
      <formula>ABS(D$7-D$10)&gt;=1000</formula>
    </cfRule>
  </conditionalFormatting>
  <conditionalFormatting sqref="E4">
    <cfRule type="expression" dxfId="1622" priority="71">
      <formula>ABS(E$7-E$10)&gt;=1000</formula>
    </cfRule>
  </conditionalFormatting>
  <conditionalFormatting sqref="F4">
    <cfRule type="expression" dxfId="1621" priority="70">
      <formula>ABS(F$7-F$10)&gt;=1000</formula>
    </cfRule>
  </conditionalFormatting>
  <conditionalFormatting sqref="G4">
    <cfRule type="expression" dxfId="1620" priority="69">
      <formula>ABS(G$7-G$10)&gt;=1000</formula>
    </cfRule>
  </conditionalFormatting>
  <conditionalFormatting sqref="H4:K4">
    <cfRule type="expression" dxfId="1619" priority="68">
      <formula>ABS(H$7-H$10)&gt;=1000</formula>
    </cfRule>
  </conditionalFormatting>
  <conditionalFormatting sqref="I8">
    <cfRule type="expression" dxfId="1618" priority="67">
      <formula>ABS(I$7-I$10)&gt;=1000</formula>
    </cfRule>
  </conditionalFormatting>
  <conditionalFormatting sqref="L4:L5 M4:N4">
    <cfRule type="expression" dxfId="1617" priority="66">
      <formula>ABS(L$7-L$10)&gt;=1000</formula>
    </cfRule>
  </conditionalFormatting>
  <conditionalFormatting sqref="M5">
    <cfRule type="expression" dxfId="1616" priority="65">
      <formula>ABS(M$7-M$10)&gt;=1000</formula>
    </cfRule>
  </conditionalFormatting>
  <conditionalFormatting sqref="N5">
    <cfRule type="expression" dxfId="1615" priority="64">
      <formula>ABS(N$7-N$10)&gt;=1000</formula>
    </cfRule>
  </conditionalFormatting>
  <conditionalFormatting sqref="D5">
    <cfRule type="expression" dxfId="1614" priority="63">
      <formula>ABS(D$7-D$10)&gt;=1000</formula>
    </cfRule>
  </conditionalFormatting>
  <conditionalFormatting sqref="E5:G5">
    <cfRule type="expression" dxfId="1613" priority="62">
      <formula>ABS(E$7-E$10)&gt;=1000</formula>
    </cfRule>
  </conditionalFormatting>
  <conditionalFormatting sqref="H5">
    <cfRule type="expression" dxfId="1612" priority="61">
      <formula>ABS(H$7-H$10)&gt;=1000</formula>
    </cfRule>
  </conditionalFormatting>
  <conditionalFormatting sqref="O4:P4">
    <cfRule type="expression" dxfId="1611" priority="60">
      <formula>ABS(O$7-O$10)&gt;=1000</formula>
    </cfRule>
  </conditionalFormatting>
  <conditionalFormatting sqref="O5">
    <cfRule type="expression" dxfId="1610" priority="59">
      <formula>ABS(O$7-O$10)&gt;=1000</formula>
    </cfRule>
  </conditionalFormatting>
  <conditionalFormatting sqref="I6">
    <cfRule type="expression" dxfId="1609" priority="58">
      <formula>ABS(I$7-I$10)&gt;=1000</formula>
    </cfRule>
  </conditionalFormatting>
  <conditionalFormatting sqref="P5">
    <cfRule type="expression" dxfId="1608" priority="57">
      <formula>ABS(P$7-P$10)&gt;=1000</formula>
    </cfRule>
  </conditionalFormatting>
  <conditionalFormatting sqref="I5">
    <cfRule type="expression" dxfId="1607" priority="56">
      <formula>ABS(I$7-I$10)&gt;=1000</formula>
    </cfRule>
  </conditionalFormatting>
  <conditionalFormatting sqref="D6 D8">
    <cfRule type="expression" dxfId="1606" priority="55">
      <formula>ABS(D$7-D$10)&gt;=1000</formula>
    </cfRule>
  </conditionalFormatting>
  <conditionalFormatting sqref="E6 E8">
    <cfRule type="expression" dxfId="1605" priority="54">
      <formula>ABS(E$7-E$10)&gt;=1000</formula>
    </cfRule>
  </conditionalFormatting>
  <conditionalFormatting sqref="F6 F8">
    <cfRule type="expression" dxfId="1604" priority="53">
      <formula>ABS(F$7-F$10)&gt;=1000</formula>
    </cfRule>
  </conditionalFormatting>
  <conditionalFormatting sqref="G6 G8">
    <cfRule type="expression" dxfId="1603" priority="52">
      <formula>ABS(G$7-G$10)&gt;=1000</formula>
    </cfRule>
  </conditionalFormatting>
  <conditionalFormatting sqref="H8">
    <cfRule type="expression" dxfId="1602" priority="51">
      <formula>ABS(H$7-H$10)&gt;=1000</formula>
    </cfRule>
  </conditionalFormatting>
  <conditionalFormatting sqref="H6">
    <cfRule type="expression" dxfId="1601" priority="50">
      <formula>ABS(H$7-H$10)&gt;=1000</formula>
    </cfRule>
  </conditionalFormatting>
  <conditionalFormatting sqref="J8">
    <cfRule type="expression" dxfId="1600" priority="49">
      <formula>ABS(J$7-J$10)&gt;=1000</formula>
    </cfRule>
  </conditionalFormatting>
  <conditionalFormatting sqref="K8">
    <cfRule type="expression" dxfId="1599" priority="48">
      <formula>ABS(K$7-K$10)&gt;=1000</formula>
    </cfRule>
  </conditionalFormatting>
  <conditionalFormatting sqref="L8">
    <cfRule type="expression" dxfId="1598" priority="47">
      <formula>ABS(L$7-L$10)&gt;=1000</formula>
    </cfRule>
  </conditionalFormatting>
  <conditionalFormatting sqref="M8">
    <cfRule type="expression" dxfId="1597" priority="46">
      <formula>ABS(M$7-M$10)&gt;=1000</formula>
    </cfRule>
  </conditionalFormatting>
  <conditionalFormatting sqref="N8">
    <cfRule type="expression" dxfId="1596" priority="45">
      <formula>ABS(N$7-N$10)&gt;=1000</formula>
    </cfRule>
  </conditionalFormatting>
  <conditionalFormatting sqref="O8">
    <cfRule type="expression" dxfId="1595" priority="44">
      <formula>ABS(O$7-O$10)&gt;=1000</formula>
    </cfRule>
  </conditionalFormatting>
  <conditionalFormatting sqref="P8">
    <cfRule type="expression" dxfId="1594" priority="43">
      <formula>ABS(P$7-P$10)&gt;=1000</formula>
    </cfRule>
  </conditionalFormatting>
  <conditionalFormatting sqref="J6">
    <cfRule type="expression" dxfId="1593" priority="42">
      <formula>ABS(J$7-J$10)&gt;=1000</formula>
    </cfRule>
  </conditionalFormatting>
  <conditionalFormatting sqref="K6">
    <cfRule type="expression" dxfId="1592" priority="41">
      <formula>ABS(K$7-K$10)&gt;=1000</formula>
    </cfRule>
  </conditionalFormatting>
  <conditionalFormatting sqref="L6">
    <cfRule type="expression" dxfId="1591" priority="40">
      <formula>ABS(L$7-L$10)&gt;=1000</formula>
    </cfRule>
  </conditionalFormatting>
  <conditionalFormatting sqref="M6">
    <cfRule type="expression" dxfId="1590" priority="39">
      <formula>ABS(M$7-M$10)&gt;=1000</formula>
    </cfRule>
  </conditionalFormatting>
  <conditionalFormatting sqref="N6">
    <cfRule type="expression" dxfId="1589" priority="38">
      <formula>ABS(N$7-N$10)&gt;=1000</formula>
    </cfRule>
  </conditionalFormatting>
  <conditionalFormatting sqref="O6">
    <cfRule type="expression" dxfId="1588" priority="37">
      <formula>ABS(O$7-O$10)&gt;=1000</formula>
    </cfRule>
  </conditionalFormatting>
  <conditionalFormatting sqref="P6">
    <cfRule type="expression" dxfId="1587" priority="36">
      <formula>ABS(P$7-P$10)&gt;=1000</formula>
    </cfRule>
  </conditionalFormatting>
  <conditionalFormatting sqref="L7">
    <cfRule type="expression" dxfId="1586" priority="35">
      <formula>ABS(L$7-L$10)&gt;=1000</formula>
    </cfRule>
  </conditionalFormatting>
  <conditionalFormatting sqref="M7">
    <cfRule type="expression" dxfId="1585" priority="34">
      <formula>ABS(M$7-M$10)&gt;=1000</formula>
    </cfRule>
  </conditionalFormatting>
  <conditionalFormatting sqref="O7:P7">
    <cfRule type="expression" dxfId="1584" priority="33">
      <formula>ABS(O$7-O$10)&gt;=1000</formula>
    </cfRule>
  </conditionalFormatting>
  <conditionalFormatting sqref="N7">
    <cfRule type="expression" dxfId="1583" priority="32">
      <formula>ABS(N$7-N$10)&gt;=1000</formula>
    </cfRule>
  </conditionalFormatting>
  <conditionalFormatting sqref="H7:K7">
    <cfRule type="expression" dxfId="1582" priority="31">
      <formula>ABS(H$7-H$10)&gt;=1000</formula>
    </cfRule>
  </conditionalFormatting>
  <conditionalFormatting sqref="D7:G7">
    <cfRule type="expression" dxfId="1581" priority="30">
      <formula>ABS(D$7-D$10)&gt;=1000</formula>
    </cfRule>
  </conditionalFormatting>
  <conditionalFormatting sqref="J5:K5">
    <cfRule type="expression" dxfId="1580" priority="29">
      <formula>ABS(J$7-J$10)&gt;=1000</formula>
    </cfRule>
  </conditionalFormatting>
  <conditionalFormatting sqref="D9 D11">
    <cfRule type="expression" dxfId="1579" priority="28">
      <formula>ABS(D$7-D$10)&gt;=1000</formula>
    </cfRule>
  </conditionalFormatting>
  <conditionalFormatting sqref="E9 E11">
    <cfRule type="expression" dxfId="1578" priority="27">
      <formula>ABS(E$7-E$10)&gt;=1000</formula>
    </cfRule>
  </conditionalFormatting>
  <conditionalFormatting sqref="F9 F11">
    <cfRule type="expression" dxfId="1577" priority="26">
      <formula>ABS(F$7-F$10)&gt;=1000</formula>
    </cfRule>
  </conditionalFormatting>
  <conditionalFormatting sqref="G9 G11">
    <cfRule type="expression" dxfId="1576" priority="25">
      <formula>ABS(G$7-G$10)&gt;=1000</formula>
    </cfRule>
  </conditionalFormatting>
  <conditionalFormatting sqref="H11">
    <cfRule type="expression" dxfId="1575" priority="24">
      <formula>ABS(H$7-H$10)&gt;=1000</formula>
    </cfRule>
  </conditionalFormatting>
  <conditionalFormatting sqref="I11">
    <cfRule type="expression" dxfId="1574" priority="23">
      <formula>ABS(I$7-I$10)&gt;=1000</formula>
    </cfRule>
  </conditionalFormatting>
  <conditionalFormatting sqref="J11">
    <cfRule type="expression" dxfId="1573" priority="22">
      <formula>ABS(J$7-J$10)&gt;=1000</formula>
    </cfRule>
  </conditionalFormatting>
  <conditionalFormatting sqref="K11">
    <cfRule type="expression" dxfId="1572" priority="21">
      <formula>ABS(K$7-K$10)&gt;=1000</formula>
    </cfRule>
  </conditionalFormatting>
  <conditionalFormatting sqref="L11">
    <cfRule type="expression" dxfId="1571" priority="20">
      <formula>ABS(L$7-L$10)&gt;=1000</formula>
    </cfRule>
  </conditionalFormatting>
  <conditionalFormatting sqref="M11">
    <cfRule type="expression" dxfId="1570" priority="19">
      <formula>ABS(M$7-M$10)&gt;=1000</formula>
    </cfRule>
  </conditionalFormatting>
  <conditionalFormatting sqref="N11">
    <cfRule type="expression" dxfId="1569" priority="18">
      <formula>ABS(N$7-N$10)&gt;=1000</formula>
    </cfRule>
  </conditionalFormatting>
  <conditionalFormatting sqref="O11">
    <cfRule type="expression" dxfId="1568" priority="17">
      <formula>ABS(O$7-O$10)&gt;=1000</formula>
    </cfRule>
  </conditionalFormatting>
  <conditionalFormatting sqref="P11">
    <cfRule type="expression" dxfId="1567" priority="16">
      <formula>ABS(P$7-P$10)&gt;=1000</formula>
    </cfRule>
  </conditionalFormatting>
  <conditionalFormatting sqref="H9">
    <cfRule type="expression" dxfId="1566" priority="15">
      <formula>ABS(H$7-H$10)&gt;=1000</formula>
    </cfRule>
  </conditionalFormatting>
  <conditionalFormatting sqref="J9">
    <cfRule type="expression" dxfId="1565" priority="14">
      <formula>ABS(J$7-J$10)&gt;=1000</formula>
    </cfRule>
  </conditionalFormatting>
  <conditionalFormatting sqref="K9">
    <cfRule type="expression" dxfId="1564" priority="13">
      <formula>ABS(K$7-K$10)&gt;=1000</formula>
    </cfRule>
  </conditionalFormatting>
  <conditionalFormatting sqref="L9">
    <cfRule type="expression" dxfId="1563" priority="12">
      <formula>ABS(L$7-L$10)&gt;=1000</formula>
    </cfRule>
  </conditionalFormatting>
  <conditionalFormatting sqref="M9">
    <cfRule type="expression" dxfId="1562" priority="11">
      <formula>ABS(M$7-M$10)&gt;=1000</formula>
    </cfRule>
  </conditionalFormatting>
  <conditionalFormatting sqref="N9">
    <cfRule type="expression" dxfId="1561" priority="10">
      <formula>ABS(N$7-N$10)&gt;=1000</formula>
    </cfRule>
  </conditionalFormatting>
  <conditionalFormatting sqref="O9">
    <cfRule type="expression" dxfId="1560" priority="9">
      <formula>ABS(O$7-O$10)&gt;=1000</formula>
    </cfRule>
  </conditionalFormatting>
  <conditionalFormatting sqref="P9">
    <cfRule type="expression" dxfId="1559" priority="8">
      <formula>ABS(P$7-P$10)&gt;=1000</formula>
    </cfRule>
  </conditionalFormatting>
  <conditionalFormatting sqref="I9">
    <cfRule type="expression" dxfId="1558" priority="7">
      <formula>ABS(I$7-I$10)&gt;=1000</formula>
    </cfRule>
  </conditionalFormatting>
  <conditionalFormatting sqref="L10">
    <cfRule type="expression" dxfId="1557" priority="6">
      <formula>ABS(L$7-L$10)&gt;=1000</formula>
    </cfRule>
  </conditionalFormatting>
  <conditionalFormatting sqref="M10">
    <cfRule type="expression" dxfId="1556" priority="5">
      <formula>ABS(M$7-M$10)&gt;=1000</formula>
    </cfRule>
  </conditionalFormatting>
  <conditionalFormatting sqref="O10:P10">
    <cfRule type="expression" dxfId="1555" priority="4">
      <formula>ABS(O$7-O$10)&gt;=1000</formula>
    </cfRule>
  </conditionalFormatting>
  <conditionalFormatting sqref="N10">
    <cfRule type="expression" dxfId="1554" priority="3">
      <formula>ABS(N$7-N$10)&gt;=1000</formula>
    </cfRule>
  </conditionalFormatting>
  <conditionalFormatting sqref="H10:K10">
    <cfRule type="expression" dxfId="1553" priority="2">
      <formula>ABS(H$7-H$10)&gt;=1000</formula>
    </cfRule>
  </conditionalFormatting>
  <conditionalFormatting sqref="D10:G10">
    <cfRule type="expression" dxfId="1552" priority="1">
      <formula>ABS(D$7-D$10)&gt;=1000</formula>
    </cfRule>
  </conditionalFormatting>
  <conditionalFormatting sqref="I12">
    <cfRule type="expression" dxfId="1551" priority="73">
      <formula>ABS(#REF!-#REF!)&gt;=1000</formula>
    </cfRule>
  </conditionalFormatting>
  <conditionalFormatting sqref="D6">
    <cfRule type="expression" dxfId="1550" priority="82" stopIfTrue="1">
      <formula>MOD(ROUND($D$6*100,2),1)=0</formula>
    </cfRule>
  </conditionalFormatting>
  <conditionalFormatting sqref="E6">
    <cfRule type="expression" dxfId="1549" priority="83" stopIfTrue="1">
      <formula>MOD(ROUND($E$6*100,2),1)=0</formula>
    </cfRule>
  </conditionalFormatting>
  <conditionalFormatting sqref="F6">
    <cfRule type="expression" dxfId="1548" priority="84" stopIfTrue="1">
      <formula>MOD(ROUND($F$6*100,2),1)=0</formula>
    </cfRule>
  </conditionalFormatting>
  <conditionalFormatting sqref="G6">
    <cfRule type="expression" dxfId="1547" priority="85" stopIfTrue="1">
      <formula>MOD(ROUND($G$6*100,2),1)=0</formula>
    </cfRule>
  </conditionalFormatting>
  <conditionalFormatting sqref="D9">
    <cfRule type="expression" dxfId="1546" priority="86" stopIfTrue="1">
      <formula>MOD(ROUND($D$9*100,2),1)=0</formula>
    </cfRule>
  </conditionalFormatting>
  <conditionalFormatting sqref="E9">
    <cfRule type="expression" dxfId="1545" priority="87" stopIfTrue="1">
      <formula>MOD(ROUND($E$9*100,2),1)=0</formula>
    </cfRule>
  </conditionalFormatting>
  <conditionalFormatting sqref="F9">
    <cfRule type="expression" dxfId="1544" priority="88" stopIfTrue="1">
      <formula>MOD(ROUND($F$9*100,2),1)=0</formula>
    </cfRule>
  </conditionalFormatting>
  <conditionalFormatting sqref="G9">
    <cfRule type="expression" dxfId="1543"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25921"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25921"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4">
    <pageSetUpPr fitToPage="1"/>
  </sheetPr>
  <dimension ref="A1:AQ205"/>
  <sheetViews>
    <sheetView view="pageBreakPreview" zoomScaleNormal="100" zoomScaleSheetLayoutView="100" workbookViewId="0">
      <selection activeCell="T21" sqref="T21"/>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46239</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80" t="s" ph="1">
        <v>42</v>
      </c>
      <c r="D6" s="151">
        <v>0</v>
      </c>
      <c r="E6" s="151">
        <v>0.68629999999999991</v>
      </c>
      <c r="F6" s="151">
        <v>5.0000000000000001E-4</v>
      </c>
      <c r="G6" s="151">
        <v>1.1000000000000001E-3</v>
      </c>
      <c r="H6" s="150">
        <v>2228</v>
      </c>
      <c r="I6" s="150">
        <v>5398</v>
      </c>
      <c r="J6" s="150">
        <v>5863</v>
      </c>
      <c r="K6" s="150">
        <v>5932</v>
      </c>
      <c r="L6" s="150">
        <v>6036</v>
      </c>
      <c r="M6" s="150">
        <v>1633</v>
      </c>
      <c r="N6" s="150">
        <v>2086</v>
      </c>
      <c r="O6" s="150">
        <v>3445</v>
      </c>
      <c r="P6" s="150">
        <v>3319</v>
      </c>
      <c r="Q6" s="294"/>
      <c r="R6" s="295"/>
      <c r="S6" s="295"/>
      <c r="T6" s="295"/>
      <c r="U6" s="296"/>
    </row>
    <row r="7" spans="1:43" s="61" customFormat="1" ht="25.95" customHeight="1" ph="1">
      <c r="B7" s="284" ph="1"/>
      <c r="C7" s="57" t="s" ph="1">
        <v>43</v>
      </c>
      <c r="D7" s="62" ph="1">
        <f>((D6*5885)*4.48)*LOOKUP(D8,密度!$A$2:$A$50,密度!$B$2:$B$50)</f>
        <v>0</v>
      </c>
      <c r="E7" s="62" ph="1">
        <f>((E6*5885)*4.48)*LOOKUP(E8,密度!$A$2:$A$50,密度!$B$2:$B$50)</f>
        <v>13995.83449264</v>
      </c>
      <c r="F7" s="62" ph="1">
        <f>((F6*5885)*4.48)*LOOKUP(F8,密度!$A$2:$A$50,密度!$B$2:$B$50)</f>
        <v>10.232178880000001</v>
      </c>
      <c r="G7" s="62" ph="1">
        <f>((G6*5885)*4.48)*LOOKUP(G8,密度!$A$2:$A$50,密度!$B$2:$B$50)</f>
        <v>22.510793536000005</v>
      </c>
      <c r="H7" s="62" ph="1">
        <f>IF(H6&lt;=0,0,IF(H6&lt;=745,PI()*(5.3235*(H6/1000)^2-(4/3)*(H6/1000)^3),7.55+15.2053*((H6-745)/1000))*LOOKUP(H8,密度!$A$2:$A$50,密度!$B$2:$B$50)*1000)</f>
        <v>23257.852664730002</v>
      </c>
      <c r="I7" s="62" ph="1">
        <f>IF(I6&lt;=0,0,IF(I6&lt;=745,PI()*(5.3235*(I6/1000)^2-(4/3)*(I6/1000)^3),7.55+15.2053*((I6-745)/1000))*LOOKUP(I8,密度!$A$2:$A$50,密度!$B$2:$B$50)*1000)</f>
        <v>60565.251806149987</v>
      </c>
      <c r="J7" s="62" ph="1">
        <f>IF(J6&lt;=0,0,IF(J6&lt;=745,PI()*(5.3235*(J6/1000)^2-(4/3)*(J6/1000)^3),7.55+15.2053*((J6-745)/1000))*LOOKUP(J8,密度!$A$2:$A$50,密度!$B$2:$B$50)*1000)</f>
        <v>66034.25609689999</v>
      </c>
      <c r="K7" s="62" ph="1">
        <f>IF(K6&lt;=0,0,IF(K6&lt;=745,PI()*(5.3235*(K6/1000)^2-(4/3)*(K6/1000)^3),7.55+15.2053*((K6-745)/1000))*LOOKUP(K8,密度!$A$2:$A$50,密度!$B$2:$B$50)*1000)</f>
        <v>66845.78576585</v>
      </c>
      <c r="L7" s="62" ph="1">
        <f>L6*26.42*LOOKUP(L8,密度!$A$2:$A$50,密度!$B$2:$B$50)</f>
        <v>123637.95933600001</v>
      </c>
      <c r="M7" s="62" ph="1">
        <f>M6*26.42*1</f>
        <v>43143.86</v>
      </c>
      <c r="N7" s="62" ph="1">
        <f>N6*18.32*LOOKUP(N8,密度!$A$2:$A$50,密度!$B$2:$B$50)</f>
        <v>29628.492656000002</v>
      </c>
      <c r="O7" s="62" ph="1">
        <f>O6*81.71*LOOKUP(O8,密度!$A$2:$A$50,密度!$B$2:$B$50)</f>
        <v>217986.59167999995</v>
      </c>
      <c r="P7" s="62" ph="1">
        <f>P6*81.71*LOOKUP(P8,密度!$A$2:$A$50,密度!$B$2:$B$50)</f>
        <v>210013.78745599999</v>
      </c>
      <c r="Q7" s="294"/>
      <c r="R7" s="295"/>
      <c r="S7" s="295"/>
      <c r="T7" s="295"/>
      <c r="U7" s="296"/>
    </row>
    <row r="8" spans="1:43" ht="25.95" customHeight="1" ph="1">
      <c r="B8" s="284" ph="1"/>
      <c r="C8" s="57" t="s" ph="1">
        <v>44</v>
      </c>
      <c r="D8" s="149">
        <v>29</v>
      </c>
      <c r="E8" s="149">
        <v>32</v>
      </c>
      <c r="F8" s="149">
        <v>29</v>
      </c>
      <c r="G8" s="149">
        <v>29</v>
      </c>
      <c r="H8" s="149">
        <v>33</v>
      </c>
      <c r="I8" s="149">
        <v>32</v>
      </c>
      <c r="J8" s="149">
        <v>32</v>
      </c>
      <c r="K8" s="149">
        <v>32</v>
      </c>
      <c r="L8" s="149">
        <v>30</v>
      </c>
      <c r="M8" s="149">
        <v>30</v>
      </c>
      <c r="N8" s="149">
        <v>30</v>
      </c>
      <c r="O8" s="149">
        <v>31</v>
      </c>
      <c r="P8" s="149">
        <v>31</v>
      </c>
      <c r="Q8" s="294"/>
      <c r="R8" s="295"/>
      <c r="S8" s="295"/>
      <c r="T8" s="295"/>
      <c r="U8" s="296"/>
    </row>
    <row r="9" spans="1:43" ht="25.95" customHeight="1" ph="1">
      <c r="B9" s="284" ph="1">
        <v>0.66666666666666663</v>
      </c>
      <c r="C9" s="180" t="s" ph="1">
        <v>45</v>
      </c>
      <c r="D9" s="151">
        <v>0</v>
      </c>
      <c r="E9" s="151">
        <v>0.68659999999999999</v>
      </c>
      <c r="F9" s="151">
        <v>2.0000000000000001E-4</v>
      </c>
      <c r="G9" s="151">
        <v>8.9999999999999998E-4</v>
      </c>
      <c r="H9" s="150">
        <v>2227</v>
      </c>
      <c r="I9" s="150">
        <v>5398</v>
      </c>
      <c r="J9" s="150">
        <v>5864</v>
      </c>
      <c r="K9" s="150">
        <v>5933</v>
      </c>
      <c r="L9" s="150">
        <v>6037</v>
      </c>
      <c r="M9" s="150">
        <v>1632</v>
      </c>
      <c r="N9" s="150">
        <v>2087</v>
      </c>
      <c r="O9" s="150">
        <v>3447</v>
      </c>
      <c r="P9" s="150">
        <v>3329</v>
      </c>
      <c r="Q9" s="294"/>
      <c r="R9" s="295"/>
      <c r="S9" s="295"/>
      <c r="T9" s="295"/>
      <c r="U9" s="296"/>
    </row>
    <row r="10" spans="1:43" s="61" customFormat="1" ht="25.95" customHeight="1" ph="1">
      <c r="B10" s="284" ph="1"/>
      <c r="C10" s="180" t="s" ph="1">
        <v>43</v>
      </c>
      <c r="D10" s="62" ph="1">
        <f>((D9*5885)*4.48)*LOOKUP(D11,密度!$A$2:$A$50,密度!$B$2:$B$50)</f>
        <v>0</v>
      </c>
      <c r="E10" s="62" ph="1">
        <f>((E9*5885)*4.48)*LOOKUP(E11,密度!$A$2:$A$50,密度!$B$2:$B$50)</f>
        <v>13987.470787136002</v>
      </c>
      <c r="F10" s="62" ph="1">
        <f>((F9*5885)*4.48)*LOOKUP(F11,密度!$A$2:$A$50,密度!$B$2:$B$50)</f>
        <v>4.064924864</v>
      </c>
      <c r="G10" s="62" ph="1">
        <f>((G9*5885)*4.48)*LOOKUP(G11,密度!$A$2:$A$50,密度!$B$2:$B$50)</f>
        <v>18.313517376000004</v>
      </c>
      <c r="H10" s="62" ph="1">
        <f>IF(H9&lt;=0,0,IF(H9&lt;=745,PI()*(5.3235*(H9/1000)^2-(4/3)*(H9/1000)^3),7.55+15.2053*((H9-745)/1000))*LOOKUP(H11,密度!$A$2:$A$50,密度!$B$2:$B$50)*1000)</f>
        <v>23246.103529420001</v>
      </c>
      <c r="I10" s="62" ph="1">
        <f>IF(I9&lt;=0,0,IF(I9&lt;=745,PI()*(5.3235*(I9/1000)^2-(4/3)*(I9/1000)^3),7.55+15.2053*((I9-745)/1000))*LOOKUP(I11,密度!$A$2:$A$50,密度!$B$2:$B$50)*1000)</f>
        <v>60502.61159742999</v>
      </c>
      <c r="J10" s="62" ph="1">
        <f>IF(J9&lt;=0,0,IF(J9&lt;=745,PI()*(5.3235*(J9/1000)^2-(4/3)*(J9/1000)^3),7.55+15.2053*((J9-745)/1000))*LOOKUP(J11,密度!$A$2:$A$50,密度!$B$2:$B$50)*1000)</f>
        <v>66046.017396449985</v>
      </c>
      <c r="K10" s="62" ph="1">
        <f>IF(K9&lt;=0,0,IF(K9&lt;=745,PI()*(5.3235*(K9/1000)^2-(4/3)*(K9/1000)^3),7.55+15.2053*((K9-745)/1000))*LOOKUP(K11,密度!$A$2:$A$50,密度!$B$2:$B$50)*1000)</f>
        <v>66857.54706539998</v>
      </c>
      <c r="L10" s="62" ph="1">
        <f>L9*26.42*LOOKUP(L11,密度!$A$2:$A$50,密度!$B$2:$B$50)</f>
        <v>123658.44276200001</v>
      </c>
      <c r="M10" s="62" ph="1">
        <f>M9*26.42*1</f>
        <v>43117.440000000002</v>
      </c>
      <c r="N10" s="62" ph="1">
        <f>N9*18.32*LOOKUP(N11,密度!$A$2:$A$50,密度!$B$2:$B$50)</f>
        <v>29608.285696000003</v>
      </c>
      <c r="O10" s="62" ph="1">
        <f>O9*81.71*LOOKUP(O11,密度!$A$2:$A$50,密度!$B$2:$B$50)</f>
        <v>218113.14412799999</v>
      </c>
      <c r="P10" s="62" ph="1">
        <f>P9*81.71*LOOKUP(P11,密度!$A$2:$A$50,密度!$B$2:$B$50)</f>
        <v>210646.54969599997</v>
      </c>
      <c r="Q10" s="294"/>
      <c r="R10" s="295"/>
      <c r="S10" s="295"/>
      <c r="T10" s="295"/>
      <c r="U10" s="296"/>
    </row>
    <row r="11" spans="1:43" ht="25.95" customHeight="1" ph="1">
      <c r="A11" s="53" t="s" ph="1">
        <v>40</v>
      </c>
      <c r="B11" s="284" ph="1"/>
      <c r="C11" s="180" t="s" ph="1">
        <v>44</v>
      </c>
      <c r="D11" s="149">
        <v>34</v>
      </c>
      <c r="E11" s="149">
        <v>33</v>
      </c>
      <c r="F11" s="149">
        <v>35</v>
      </c>
      <c r="G11" s="149">
        <v>34</v>
      </c>
      <c r="H11" s="149">
        <v>33</v>
      </c>
      <c r="I11" s="149">
        <v>33</v>
      </c>
      <c r="J11" s="149">
        <v>32</v>
      </c>
      <c r="K11" s="149">
        <v>32</v>
      </c>
      <c r="L11" s="149">
        <v>30</v>
      </c>
      <c r="M11" s="149">
        <v>31</v>
      </c>
      <c r="N11" s="149">
        <v>31</v>
      </c>
      <c r="O11" s="149">
        <v>31</v>
      </c>
      <c r="P11" s="149">
        <v>31</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80" t="s" ph="1">
        <v>1</v>
      </c>
      <c r="F14" s="88" t="s" ph="1">
        <v>28</v>
      </c>
      <c r="G14" s="86" t="s" ph="1">
        <v>0</v>
      </c>
      <c r="H14" s="180" t="s" ph="1">
        <v>1</v>
      </c>
      <c r="I14" s="181" t="s" ph="1">
        <v>28</v>
      </c>
      <c r="J14" s="86" t="s" ph="1">
        <v>0</v>
      </c>
      <c r="K14" s="180" t="s" ph="1">
        <v>1</v>
      </c>
      <c r="L14" s="181" t="s" ph="1">
        <v>28</v>
      </c>
      <c r="M14" s="86" t="s" ph="1">
        <v>0</v>
      </c>
      <c r="N14" s="180" t="s" ph="1">
        <v>1</v>
      </c>
      <c r="O14" s="181" t="s" ph="1">
        <v>28</v>
      </c>
      <c r="P14" s="86" t="s" ph="1">
        <v>0</v>
      </c>
      <c r="Q14" s="87" t="s" ph="1">
        <v>1</v>
      </c>
      <c r="R14" s="88" t="s" ph="1">
        <v>28</v>
      </c>
      <c r="S14" s="86" t="s" ph="1">
        <v>0</v>
      </c>
      <c r="T14" s="180" t="s" ph="1">
        <v>1</v>
      </c>
      <c r="U14" s="88" t="s" ph="1">
        <v>28</v>
      </c>
    </row>
    <row r="15" spans="1:43" ph="1">
      <c r="A15" s="53"/>
      <c r="B15" s="300" t="s" ph="1">
        <v>46</v>
      </c>
      <c r="C15" s="301" ph="1"/>
      <c r="D15" s="241" ph="1">
        <f>O10+P10</f>
        <v>428759.69382399996</v>
      </c>
      <c r="E15" s="233" ph="1">
        <f>H10+I10+J10+K10</f>
        <v>216652.27958869998</v>
      </c>
      <c r="F15" s="257" ph="1">
        <f>L10+N10</f>
        <v>153266.728458</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82" ph="1"/>
      <c r="P18" s="90" ph="1"/>
      <c r="Q18" s="182" t="s" ph="1">
        <v>50</v>
      </c>
      <c r="R18" s="218" t="s" ph="1">
        <v>176</v>
      </c>
      <c r="S18" s="218" ph="1"/>
    </row>
    <row r="19" spans="1:21" s="182"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1542" priority="72">
      <formula>ABS(D$7-D$10)&gt;=1000</formula>
    </cfRule>
  </conditionalFormatting>
  <conditionalFormatting sqref="E4">
    <cfRule type="expression" dxfId="1541" priority="71">
      <formula>ABS(E$7-E$10)&gt;=1000</formula>
    </cfRule>
  </conditionalFormatting>
  <conditionalFormatting sqref="F4">
    <cfRule type="expression" dxfId="1540" priority="70">
      <formula>ABS(F$7-F$10)&gt;=1000</formula>
    </cfRule>
  </conditionalFormatting>
  <conditionalFormatting sqref="G4">
    <cfRule type="expression" dxfId="1539" priority="69">
      <formula>ABS(G$7-G$10)&gt;=1000</formula>
    </cfRule>
  </conditionalFormatting>
  <conditionalFormatting sqref="H4:K4">
    <cfRule type="expression" dxfId="1538" priority="68">
      <formula>ABS(H$7-H$10)&gt;=1000</formula>
    </cfRule>
  </conditionalFormatting>
  <conditionalFormatting sqref="I8">
    <cfRule type="expression" dxfId="1537" priority="67">
      <formula>ABS(I$7-I$10)&gt;=1000</formula>
    </cfRule>
  </conditionalFormatting>
  <conditionalFormatting sqref="L4:L5 M4:N4">
    <cfRule type="expression" dxfId="1536" priority="66">
      <formula>ABS(L$7-L$10)&gt;=1000</formula>
    </cfRule>
  </conditionalFormatting>
  <conditionalFormatting sqref="M5">
    <cfRule type="expression" dxfId="1535" priority="65">
      <formula>ABS(M$7-M$10)&gt;=1000</formula>
    </cfRule>
  </conditionalFormatting>
  <conditionalFormatting sqref="N5">
    <cfRule type="expression" dxfId="1534" priority="64">
      <formula>ABS(N$7-N$10)&gt;=1000</formula>
    </cfRule>
  </conditionalFormatting>
  <conditionalFormatting sqref="D5">
    <cfRule type="expression" dxfId="1533" priority="63">
      <formula>ABS(D$7-D$10)&gt;=1000</formula>
    </cfRule>
  </conditionalFormatting>
  <conditionalFormatting sqref="E5:G5">
    <cfRule type="expression" dxfId="1532" priority="62">
      <formula>ABS(E$7-E$10)&gt;=1000</formula>
    </cfRule>
  </conditionalFormatting>
  <conditionalFormatting sqref="H5">
    <cfRule type="expression" dxfId="1531" priority="61">
      <formula>ABS(H$7-H$10)&gt;=1000</formula>
    </cfRule>
  </conditionalFormatting>
  <conditionalFormatting sqref="O4:P4">
    <cfRule type="expression" dxfId="1530" priority="60">
      <formula>ABS(O$7-O$10)&gt;=1000</formula>
    </cfRule>
  </conditionalFormatting>
  <conditionalFormatting sqref="O5">
    <cfRule type="expression" dxfId="1529" priority="59">
      <formula>ABS(O$7-O$10)&gt;=1000</formula>
    </cfRule>
  </conditionalFormatting>
  <conditionalFormatting sqref="I6">
    <cfRule type="expression" dxfId="1528" priority="58">
      <formula>ABS(I$7-I$10)&gt;=1000</formula>
    </cfRule>
  </conditionalFormatting>
  <conditionalFormatting sqref="P5">
    <cfRule type="expression" dxfId="1527" priority="57">
      <formula>ABS(P$7-P$10)&gt;=1000</formula>
    </cfRule>
  </conditionalFormatting>
  <conditionalFormatting sqref="I5">
    <cfRule type="expression" dxfId="1526" priority="56">
      <formula>ABS(I$7-I$10)&gt;=1000</formula>
    </cfRule>
  </conditionalFormatting>
  <conditionalFormatting sqref="D6 D8">
    <cfRule type="expression" dxfId="1525" priority="55">
      <formula>ABS(D$7-D$10)&gt;=1000</formula>
    </cfRule>
  </conditionalFormatting>
  <conditionalFormatting sqref="E6 E8">
    <cfRule type="expression" dxfId="1524" priority="54">
      <formula>ABS(E$7-E$10)&gt;=1000</formula>
    </cfRule>
  </conditionalFormatting>
  <conditionalFormatting sqref="F6 F8">
    <cfRule type="expression" dxfId="1523" priority="53">
      <formula>ABS(F$7-F$10)&gt;=1000</formula>
    </cfRule>
  </conditionalFormatting>
  <conditionalFormatting sqref="G6 G8">
    <cfRule type="expression" dxfId="1522" priority="52">
      <formula>ABS(G$7-G$10)&gt;=1000</formula>
    </cfRule>
  </conditionalFormatting>
  <conditionalFormatting sqref="H8">
    <cfRule type="expression" dxfId="1521" priority="51">
      <formula>ABS(H$7-H$10)&gt;=1000</formula>
    </cfRule>
  </conditionalFormatting>
  <conditionalFormatting sqref="H6">
    <cfRule type="expression" dxfId="1520" priority="50">
      <formula>ABS(H$7-H$10)&gt;=1000</formula>
    </cfRule>
  </conditionalFormatting>
  <conditionalFormatting sqref="J8">
    <cfRule type="expression" dxfId="1519" priority="49">
      <formula>ABS(J$7-J$10)&gt;=1000</formula>
    </cfRule>
  </conditionalFormatting>
  <conditionalFormatting sqref="K8">
    <cfRule type="expression" dxfId="1518" priority="48">
      <formula>ABS(K$7-K$10)&gt;=1000</formula>
    </cfRule>
  </conditionalFormatting>
  <conditionalFormatting sqref="L8">
    <cfRule type="expression" dxfId="1517" priority="47">
      <formula>ABS(L$7-L$10)&gt;=1000</formula>
    </cfRule>
  </conditionalFormatting>
  <conditionalFormatting sqref="M8">
    <cfRule type="expression" dxfId="1516" priority="46">
      <formula>ABS(M$7-M$10)&gt;=1000</formula>
    </cfRule>
  </conditionalFormatting>
  <conditionalFormatting sqref="N8">
    <cfRule type="expression" dxfId="1515" priority="45">
      <formula>ABS(N$7-N$10)&gt;=1000</formula>
    </cfRule>
  </conditionalFormatting>
  <conditionalFormatting sqref="O8">
    <cfRule type="expression" dxfId="1514" priority="44">
      <formula>ABS(O$7-O$10)&gt;=1000</formula>
    </cfRule>
  </conditionalFormatting>
  <conditionalFormatting sqref="P8">
    <cfRule type="expression" dxfId="1513" priority="43">
      <formula>ABS(P$7-P$10)&gt;=1000</formula>
    </cfRule>
  </conditionalFormatting>
  <conditionalFormatting sqref="J6">
    <cfRule type="expression" dxfId="1512" priority="42">
      <formula>ABS(J$7-J$10)&gt;=1000</formula>
    </cfRule>
  </conditionalFormatting>
  <conditionalFormatting sqref="K6">
    <cfRule type="expression" dxfId="1511" priority="41">
      <formula>ABS(K$7-K$10)&gt;=1000</formula>
    </cfRule>
  </conditionalFormatting>
  <conditionalFormatting sqref="L6">
    <cfRule type="expression" dxfId="1510" priority="40">
      <formula>ABS(L$7-L$10)&gt;=1000</formula>
    </cfRule>
  </conditionalFormatting>
  <conditionalFormatting sqref="M6">
    <cfRule type="expression" dxfId="1509" priority="39">
      <formula>ABS(M$7-M$10)&gt;=1000</formula>
    </cfRule>
  </conditionalFormatting>
  <conditionalFormatting sqref="N6">
    <cfRule type="expression" dxfId="1508" priority="38">
      <formula>ABS(N$7-N$10)&gt;=1000</formula>
    </cfRule>
  </conditionalFormatting>
  <conditionalFormatting sqref="O6">
    <cfRule type="expression" dxfId="1507" priority="37">
      <formula>ABS(O$7-O$10)&gt;=1000</formula>
    </cfRule>
  </conditionalFormatting>
  <conditionalFormatting sqref="P6">
    <cfRule type="expression" dxfId="1506" priority="36">
      <formula>ABS(P$7-P$10)&gt;=1000</formula>
    </cfRule>
  </conditionalFormatting>
  <conditionalFormatting sqref="L7">
    <cfRule type="expression" dxfId="1505" priority="35">
      <formula>ABS(L$7-L$10)&gt;=1000</formula>
    </cfRule>
  </conditionalFormatting>
  <conditionalFormatting sqref="M7">
    <cfRule type="expression" dxfId="1504" priority="34">
      <formula>ABS(M$7-M$10)&gt;=1000</formula>
    </cfRule>
  </conditionalFormatting>
  <conditionalFormatting sqref="O7:P7">
    <cfRule type="expression" dxfId="1503" priority="33">
      <formula>ABS(O$7-O$10)&gt;=1000</formula>
    </cfRule>
  </conditionalFormatting>
  <conditionalFormatting sqref="N7">
    <cfRule type="expression" dxfId="1502" priority="32">
      <formula>ABS(N$7-N$10)&gt;=1000</formula>
    </cfRule>
  </conditionalFormatting>
  <conditionalFormatting sqref="H7:K7">
    <cfRule type="expression" dxfId="1501" priority="31">
      <formula>ABS(H$7-H$10)&gt;=1000</formula>
    </cfRule>
  </conditionalFormatting>
  <conditionalFormatting sqref="D7:G7">
    <cfRule type="expression" dxfId="1500" priority="30">
      <formula>ABS(D$7-D$10)&gt;=1000</formula>
    </cfRule>
  </conditionalFormatting>
  <conditionalFormatting sqref="J5:K5">
    <cfRule type="expression" dxfId="1499" priority="29">
      <formula>ABS(J$7-J$10)&gt;=1000</formula>
    </cfRule>
  </conditionalFormatting>
  <conditionalFormatting sqref="D9 D11">
    <cfRule type="expression" dxfId="1498" priority="28">
      <formula>ABS(D$7-D$10)&gt;=1000</formula>
    </cfRule>
  </conditionalFormatting>
  <conditionalFormatting sqref="E9 E11">
    <cfRule type="expression" dxfId="1497" priority="27">
      <formula>ABS(E$7-E$10)&gt;=1000</formula>
    </cfRule>
  </conditionalFormatting>
  <conditionalFormatting sqref="F9 F11">
    <cfRule type="expression" dxfId="1496" priority="26">
      <formula>ABS(F$7-F$10)&gt;=1000</formula>
    </cfRule>
  </conditionalFormatting>
  <conditionalFormatting sqref="G9 G11">
    <cfRule type="expression" dxfId="1495" priority="25">
      <formula>ABS(G$7-G$10)&gt;=1000</formula>
    </cfRule>
  </conditionalFormatting>
  <conditionalFormatting sqref="H11">
    <cfRule type="expression" dxfId="1494" priority="24">
      <formula>ABS(H$7-H$10)&gt;=1000</formula>
    </cfRule>
  </conditionalFormatting>
  <conditionalFormatting sqref="I11">
    <cfRule type="expression" dxfId="1493" priority="23">
      <formula>ABS(I$7-I$10)&gt;=1000</formula>
    </cfRule>
  </conditionalFormatting>
  <conditionalFormatting sqref="J11">
    <cfRule type="expression" dxfId="1492" priority="22">
      <formula>ABS(J$7-J$10)&gt;=1000</formula>
    </cfRule>
  </conditionalFormatting>
  <conditionalFormatting sqref="K11">
    <cfRule type="expression" dxfId="1491" priority="21">
      <formula>ABS(K$7-K$10)&gt;=1000</formula>
    </cfRule>
  </conditionalFormatting>
  <conditionalFormatting sqref="L11">
    <cfRule type="expression" dxfId="1490" priority="20">
      <formula>ABS(L$7-L$10)&gt;=1000</formula>
    </cfRule>
  </conditionalFormatting>
  <conditionalFormatting sqref="M11">
    <cfRule type="expression" dxfId="1489" priority="19">
      <formula>ABS(M$7-M$10)&gt;=1000</formula>
    </cfRule>
  </conditionalFormatting>
  <conditionalFormatting sqref="N11">
    <cfRule type="expression" dxfId="1488" priority="18">
      <formula>ABS(N$7-N$10)&gt;=1000</formula>
    </cfRule>
  </conditionalFormatting>
  <conditionalFormatting sqref="O11">
    <cfRule type="expression" dxfId="1487" priority="17">
      <formula>ABS(O$7-O$10)&gt;=1000</formula>
    </cfRule>
  </conditionalFormatting>
  <conditionalFormatting sqref="P11">
    <cfRule type="expression" dxfId="1486" priority="16">
      <formula>ABS(P$7-P$10)&gt;=1000</formula>
    </cfRule>
  </conditionalFormatting>
  <conditionalFormatting sqref="H9">
    <cfRule type="expression" dxfId="1485" priority="15">
      <formula>ABS(H$7-H$10)&gt;=1000</formula>
    </cfRule>
  </conditionalFormatting>
  <conditionalFormatting sqref="J9">
    <cfRule type="expression" dxfId="1484" priority="14">
      <formula>ABS(J$7-J$10)&gt;=1000</formula>
    </cfRule>
  </conditionalFormatting>
  <conditionalFormatting sqref="K9">
    <cfRule type="expression" dxfId="1483" priority="13">
      <formula>ABS(K$7-K$10)&gt;=1000</formula>
    </cfRule>
  </conditionalFormatting>
  <conditionalFormatting sqref="L9">
    <cfRule type="expression" dxfId="1482" priority="12">
      <formula>ABS(L$7-L$10)&gt;=1000</formula>
    </cfRule>
  </conditionalFormatting>
  <conditionalFormatting sqref="M9">
    <cfRule type="expression" dxfId="1481" priority="11">
      <formula>ABS(M$7-M$10)&gt;=1000</formula>
    </cfRule>
  </conditionalFormatting>
  <conditionalFormatting sqref="N9">
    <cfRule type="expression" dxfId="1480" priority="10">
      <formula>ABS(N$7-N$10)&gt;=1000</formula>
    </cfRule>
  </conditionalFormatting>
  <conditionalFormatting sqref="O9">
    <cfRule type="expression" dxfId="1479" priority="9">
      <formula>ABS(O$7-O$10)&gt;=1000</formula>
    </cfRule>
  </conditionalFormatting>
  <conditionalFormatting sqref="P9">
    <cfRule type="expression" dxfId="1478" priority="8">
      <formula>ABS(P$7-P$10)&gt;=1000</formula>
    </cfRule>
  </conditionalFormatting>
  <conditionalFormatting sqref="I9">
    <cfRule type="expression" dxfId="1477" priority="7">
      <formula>ABS(I$7-I$10)&gt;=1000</formula>
    </cfRule>
  </conditionalFormatting>
  <conditionalFormatting sqref="L10">
    <cfRule type="expression" dxfId="1476" priority="6">
      <formula>ABS(L$7-L$10)&gt;=1000</formula>
    </cfRule>
  </conditionalFormatting>
  <conditionalFormatting sqref="M10">
    <cfRule type="expression" dxfId="1475" priority="5">
      <formula>ABS(M$7-M$10)&gt;=1000</formula>
    </cfRule>
  </conditionalFormatting>
  <conditionalFormatting sqref="O10:P10">
    <cfRule type="expression" dxfId="1474" priority="4">
      <formula>ABS(O$7-O$10)&gt;=1000</formula>
    </cfRule>
  </conditionalFormatting>
  <conditionalFormatting sqref="N10">
    <cfRule type="expression" dxfId="1473" priority="3">
      <formula>ABS(N$7-N$10)&gt;=1000</formula>
    </cfRule>
  </conditionalFormatting>
  <conditionalFormatting sqref="H10:K10">
    <cfRule type="expression" dxfId="1472" priority="2">
      <formula>ABS(H$7-H$10)&gt;=1000</formula>
    </cfRule>
  </conditionalFormatting>
  <conditionalFormatting sqref="D10:G10">
    <cfRule type="expression" dxfId="1471" priority="1">
      <formula>ABS(D$7-D$10)&gt;=1000</formula>
    </cfRule>
  </conditionalFormatting>
  <conditionalFormatting sqref="I12">
    <cfRule type="expression" dxfId="1470" priority="73">
      <formula>ABS(#REF!-#REF!)&gt;=1000</formula>
    </cfRule>
  </conditionalFormatting>
  <conditionalFormatting sqref="D6">
    <cfRule type="expression" dxfId="1469" priority="82" stopIfTrue="1">
      <formula>MOD(ROUND($D$6*100,2),1)=0</formula>
    </cfRule>
  </conditionalFormatting>
  <conditionalFormatting sqref="E6">
    <cfRule type="expression" dxfId="1468" priority="83" stopIfTrue="1">
      <formula>MOD(ROUND($E$6*100,2),1)=0</formula>
    </cfRule>
  </conditionalFormatting>
  <conditionalFormatting sqref="F6">
    <cfRule type="expression" dxfId="1467" priority="84" stopIfTrue="1">
      <formula>MOD(ROUND($F$6*100,2),1)=0</formula>
    </cfRule>
  </conditionalFormatting>
  <conditionalFormatting sqref="G6">
    <cfRule type="expression" dxfId="1466" priority="85" stopIfTrue="1">
      <formula>MOD(ROUND($G$6*100,2),1)=0</formula>
    </cfRule>
  </conditionalFormatting>
  <conditionalFormatting sqref="D9">
    <cfRule type="expression" dxfId="1465" priority="86" stopIfTrue="1">
      <formula>MOD(ROUND($D$9*100,2),1)=0</formula>
    </cfRule>
  </conditionalFormatting>
  <conditionalFormatting sqref="E9">
    <cfRule type="expression" dxfId="1464" priority="87" stopIfTrue="1">
      <formula>MOD(ROUND($E$9*100,2),1)=0</formula>
    </cfRule>
  </conditionalFormatting>
  <conditionalFormatting sqref="F9">
    <cfRule type="expression" dxfId="1463" priority="88" stopIfTrue="1">
      <formula>MOD(ROUND($F$9*100,2),1)=0</formula>
    </cfRule>
  </conditionalFormatting>
  <conditionalFormatting sqref="G9">
    <cfRule type="expression" dxfId="1462"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26945"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26945" r:id="rId4"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5">
    <pageSetUpPr fitToPage="1"/>
  </sheetPr>
  <dimension ref="A1:AQ205"/>
  <sheetViews>
    <sheetView view="pageBreakPreview" zoomScaleNormal="100" zoomScaleSheetLayoutView="100" workbookViewId="0">
      <selection activeCell="T21" sqref="T21"/>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46240</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80" t="s" ph="1">
        <v>42</v>
      </c>
      <c r="D6" s="151">
        <v>0.74780000000000002</v>
      </c>
      <c r="E6" s="151">
        <v>0</v>
      </c>
      <c r="F6" s="151">
        <v>5.0000000000000001E-4</v>
      </c>
      <c r="G6" s="151">
        <v>1.1000000000000001E-3</v>
      </c>
      <c r="H6" s="150">
        <v>3354</v>
      </c>
      <c r="I6" s="150">
        <v>5395</v>
      </c>
      <c r="J6" s="150">
        <v>5862</v>
      </c>
      <c r="K6" s="150">
        <v>5930</v>
      </c>
      <c r="L6" s="150">
        <v>6036</v>
      </c>
      <c r="M6" s="150">
        <v>1631</v>
      </c>
      <c r="N6" s="150">
        <v>2163</v>
      </c>
      <c r="O6" s="150">
        <v>3196</v>
      </c>
      <c r="P6" s="150">
        <v>3319</v>
      </c>
      <c r="Q6" s="294"/>
      <c r="R6" s="295"/>
      <c r="S6" s="295"/>
      <c r="T6" s="295"/>
      <c r="U6" s="296"/>
    </row>
    <row r="7" spans="1:43" s="61" customFormat="1" ht="25.95" customHeight="1" ph="1">
      <c r="B7" s="284" ph="1"/>
      <c r="C7" s="57" t="s" ph="1">
        <v>43</v>
      </c>
      <c r="D7" s="62" ph="1">
        <f>((D6*5885)*4.48)*LOOKUP(D8,密度!$A$2:$A$50,密度!$B$2:$B$50)</f>
        <v>15234.242141888002</v>
      </c>
      <c r="E7" s="62" ph="1">
        <f>((E6*5885)*4.48)*LOOKUP(E8,密度!$A$2:$A$50,密度!$B$2:$B$50)</f>
        <v>0</v>
      </c>
      <c r="F7" s="62" ph="1">
        <f>((F6*5885)*4.48)*LOOKUP(F8,密度!$A$2:$A$50,密度!$B$2:$B$50)</f>
        <v>10.242724800000001</v>
      </c>
      <c r="G7" s="62" ph="1">
        <f>((G6*5885)*4.48)*LOOKUP(G8,密度!$A$2:$A$50,密度!$B$2:$B$50)</f>
        <v>22.533994560000004</v>
      </c>
      <c r="H7" s="62" ph="1">
        <f>IF(H6&lt;=0,0,IF(H6&lt;=745,PI()*(5.3235*(H6/1000)^2-(4/3)*(H6/1000)^3),7.55+15.2053*((H6-745)/1000))*LOOKUP(H8,密度!$A$2:$A$50,密度!$B$2:$B$50)*1000)</f>
        <v>36525.155525949987</v>
      </c>
      <c r="I7" s="62" ph="1">
        <f>IF(I6&lt;=0,0,IF(I6&lt;=745,PI()*(5.3235*(I6/1000)^2-(4/3)*(I6/1000)^3),7.55+15.2053*((I6-745)/1000))*LOOKUP(I8,密度!$A$2:$A$50,密度!$B$2:$B$50)*1000)</f>
        <v>60529.967907499995</v>
      </c>
      <c r="J7" s="62" ph="1">
        <f>IF(J6&lt;=0,0,IF(J6&lt;=745,PI()*(5.3235*(J6/1000)^2-(4/3)*(J6/1000)^3),7.55+15.2053*((J6-745)/1000))*LOOKUP(J8,密度!$A$2:$A$50,密度!$B$2:$B$50)*1000)</f>
        <v>66099.314765439995</v>
      </c>
      <c r="K7" s="62" ph="1">
        <f>IF(K6&lt;=0,0,IF(K6&lt;=745,PI()*(5.3235*(K6/1000)^2-(4/3)*(K6/1000)^3),7.55+15.2053*((K6-745)/1000))*LOOKUP(K8,密度!$A$2:$A$50,密度!$B$2:$B$50)*1000)</f>
        <v>66900.01369919999</v>
      </c>
      <c r="L7" s="62" ph="1">
        <f>L6*26.42*LOOKUP(L8,密度!$A$2:$A$50,密度!$B$2:$B$50)</f>
        <v>123637.95933600001</v>
      </c>
      <c r="M7" s="62" ph="1">
        <f>M6*26.42*1</f>
        <v>43091.020000000004</v>
      </c>
      <c r="N7" s="62" ph="1">
        <f>N6*18.32*LOOKUP(N8,密度!$A$2:$A$50,密度!$B$2:$B$50)</f>
        <v>30722.161848000003</v>
      </c>
      <c r="O7" s="62" ph="1">
        <f>O6*81.71*LOOKUP(O8,密度!$A$2:$A$50,密度!$B$2:$B$50)</f>
        <v>202230.81190399997</v>
      </c>
      <c r="P7" s="62" ph="1">
        <f>P6*81.71*LOOKUP(P8,密度!$A$2:$A$50,密度!$B$2:$B$50)</f>
        <v>210013.78745599999</v>
      </c>
      <c r="Q7" s="294"/>
      <c r="R7" s="295"/>
      <c r="S7" s="295"/>
      <c r="T7" s="295"/>
      <c r="U7" s="296"/>
    </row>
    <row r="8" spans="1:43" ht="25.95" customHeight="1" ph="1">
      <c r="B8" s="284" ph="1"/>
      <c r="C8" s="57" t="s" ph="1">
        <v>44</v>
      </c>
      <c r="D8" s="149">
        <v>33</v>
      </c>
      <c r="E8" s="149">
        <v>29</v>
      </c>
      <c r="F8" s="149">
        <v>28</v>
      </c>
      <c r="G8" s="149">
        <v>28</v>
      </c>
      <c r="H8" s="149">
        <v>32</v>
      </c>
      <c r="I8" s="149">
        <v>32</v>
      </c>
      <c r="J8" s="149">
        <v>31</v>
      </c>
      <c r="K8" s="149">
        <v>31</v>
      </c>
      <c r="L8" s="149">
        <v>30</v>
      </c>
      <c r="M8" s="149">
        <v>30</v>
      </c>
      <c r="N8" s="149">
        <v>30</v>
      </c>
      <c r="O8" s="149">
        <v>31</v>
      </c>
      <c r="P8" s="149">
        <v>31</v>
      </c>
      <c r="Q8" s="294"/>
      <c r="R8" s="295"/>
      <c r="S8" s="295"/>
      <c r="T8" s="295"/>
      <c r="U8" s="296"/>
    </row>
    <row r="9" spans="1:43" ht="25.95" customHeight="1" ph="1">
      <c r="B9" s="284" ph="1">
        <v>0.66666666666666663</v>
      </c>
      <c r="C9" s="180" t="s" ph="1">
        <v>45</v>
      </c>
      <c r="D9" s="151">
        <v>0.77859999999999996</v>
      </c>
      <c r="E9" s="151">
        <v>0.44170000000000004</v>
      </c>
      <c r="F9" s="151">
        <v>2.0000000000000001E-4</v>
      </c>
      <c r="G9" s="151">
        <v>8.9999999999999998E-4</v>
      </c>
      <c r="H9" s="150">
        <v>1895</v>
      </c>
      <c r="I9" s="150">
        <v>3511</v>
      </c>
      <c r="J9" s="150">
        <v>5862</v>
      </c>
      <c r="K9" s="150">
        <v>5930</v>
      </c>
      <c r="L9" s="150">
        <v>6120</v>
      </c>
      <c r="M9" s="150">
        <v>1629</v>
      </c>
      <c r="N9" s="150">
        <v>2234</v>
      </c>
      <c r="O9" s="150">
        <v>4683</v>
      </c>
      <c r="P9" s="150">
        <v>3635</v>
      </c>
      <c r="Q9" s="294"/>
      <c r="R9" s="295"/>
      <c r="S9" s="295"/>
      <c r="T9" s="295"/>
      <c r="U9" s="296"/>
    </row>
    <row r="10" spans="1:43" s="61" customFormat="1" ht="25.95" customHeight="1" ph="1">
      <c r="B10" s="284" ph="1"/>
      <c r="C10" s="180" t="s" ph="1">
        <v>43</v>
      </c>
      <c r="D10" s="62" ph="1">
        <f>((D9*5885)*4.48)*LOOKUP(D11,密度!$A$2:$A$50,密度!$B$2:$B$50)</f>
        <v>15861.702235456003</v>
      </c>
      <c r="E10" s="62" ph="1">
        <f>((E9*5885)*4.48)*LOOKUP(E11,密度!$A$2:$A$50,密度!$B$2:$B$50)</f>
        <v>8977.3865621440018</v>
      </c>
      <c r="F10" s="62" ph="1">
        <f>((F9*5885)*4.48)*LOOKUP(F11,密度!$A$2:$A$50,密度!$B$2:$B$50)</f>
        <v>4.064924864</v>
      </c>
      <c r="G10" s="62" ph="1">
        <f>((G9*5885)*4.48)*LOOKUP(G11,密度!$A$2:$A$50,密度!$B$2:$B$50)</f>
        <v>18.292161888000003</v>
      </c>
      <c r="H10" s="62" ph="1">
        <f>IF(H9&lt;=0,0,IF(H9&lt;=745,PI()*(5.3235*(H9/1000)^2-(4/3)*(H9/1000)^3),7.55+15.2053*((H9-745)/1000))*LOOKUP(H11,密度!$A$2:$A$50,密度!$B$2:$B$50)*1000)</f>
        <v>19300.325635500001</v>
      </c>
      <c r="I10" s="62" ph="1">
        <f>IF(I9&lt;=0,0,IF(I9&lt;=745,PI()*(5.3235*(I9/1000)^2-(4/3)*(I9/1000)^3),7.55+15.2053*((I9-745)/1000))*LOOKUP(I11,密度!$A$2:$A$50,密度!$B$2:$B$50)*1000)</f>
        <v>38287.346193639998</v>
      </c>
      <c r="J10" s="62" ph="1">
        <f>IF(J9&lt;=0,0,IF(J9&lt;=745,PI()*(5.3235*(J9/1000)^2-(4/3)*(J9/1000)^3),7.55+15.2053*((J9-745)/1000))*LOOKUP(J11,密度!$A$2:$A$50,密度!$B$2:$B$50)*1000)</f>
        <v>65954.210381270008</v>
      </c>
      <c r="K10" s="62" ph="1">
        <f>IF(K9&lt;=0,0,IF(K9&lt;=745,PI()*(5.3235*(K9/1000)^2-(4/3)*(K9/1000)^3),7.55+15.2053*((K9-745)/1000))*LOOKUP(K11,密度!$A$2:$A$50,密度!$B$2:$B$50)*1000)</f>
        <v>66822.263166749995</v>
      </c>
      <c r="L10" s="62" ph="1">
        <f>L9*26.42*LOOKUP(L11,密度!$A$2:$A$50,密度!$B$2:$B$50)</f>
        <v>125067.52440000001</v>
      </c>
      <c r="M10" s="62" ph="1">
        <f>M9*26.42*1</f>
        <v>43038.18</v>
      </c>
      <c r="N10" s="62" ph="1">
        <f>N9*18.32*LOOKUP(N11,密度!$A$2:$A$50,密度!$B$2:$B$50)</f>
        <v>31693.775871999998</v>
      </c>
      <c r="O10" s="62" ph="1">
        <f>O9*81.71*LOOKUP(O11,密度!$A$2:$A$50,密度!$B$2:$B$50)</f>
        <v>296322.55699199997</v>
      </c>
      <c r="P10" s="62" ph="1">
        <f>P9*81.71*LOOKUP(P11,密度!$A$2:$A$50,密度!$B$2:$B$50)</f>
        <v>229741.75997499996</v>
      </c>
      <c r="Q10" s="294"/>
      <c r="R10" s="295"/>
      <c r="S10" s="295"/>
      <c r="T10" s="295"/>
      <c r="U10" s="296"/>
    </row>
    <row r="11" spans="1:43" ht="25.95" customHeight="1" ph="1">
      <c r="A11" s="53" t="s" ph="1">
        <v>40</v>
      </c>
      <c r="B11" s="284" ph="1"/>
      <c r="C11" s="180" t="s" ph="1">
        <v>44</v>
      </c>
      <c r="D11" s="149">
        <v>33</v>
      </c>
      <c r="E11" s="149">
        <v>35</v>
      </c>
      <c r="F11" s="149">
        <v>35</v>
      </c>
      <c r="G11" s="149">
        <v>35</v>
      </c>
      <c r="H11" s="149">
        <v>35</v>
      </c>
      <c r="I11" s="149">
        <v>34</v>
      </c>
      <c r="J11" s="149">
        <v>33</v>
      </c>
      <c r="K11" s="149">
        <v>32</v>
      </c>
      <c r="L11" s="149">
        <v>32</v>
      </c>
      <c r="M11" s="149">
        <v>31</v>
      </c>
      <c r="N11" s="149">
        <v>31</v>
      </c>
      <c r="O11" s="149">
        <v>31</v>
      </c>
      <c r="P11" s="149">
        <v>32</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80" t="s" ph="1">
        <v>1</v>
      </c>
      <c r="F14" s="88" t="s" ph="1">
        <v>28</v>
      </c>
      <c r="G14" s="86" t="s" ph="1">
        <v>0</v>
      </c>
      <c r="H14" s="180" t="s" ph="1">
        <v>1</v>
      </c>
      <c r="I14" s="181" t="s" ph="1">
        <v>28</v>
      </c>
      <c r="J14" s="86" t="s" ph="1">
        <v>0</v>
      </c>
      <c r="K14" s="180" t="s" ph="1">
        <v>1</v>
      </c>
      <c r="L14" s="181" t="s" ph="1">
        <v>28</v>
      </c>
      <c r="M14" s="86" t="s" ph="1">
        <v>0</v>
      </c>
      <c r="N14" s="180" t="s" ph="1">
        <v>1</v>
      </c>
      <c r="O14" s="181" t="s" ph="1">
        <v>28</v>
      </c>
      <c r="P14" s="86" t="s" ph="1">
        <v>0</v>
      </c>
      <c r="Q14" s="87" t="s" ph="1">
        <v>1</v>
      </c>
      <c r="R14" s="88" t="s" ph="1">
        <v>28</v>
      </c>
      <c r="S14" s="86" t="s" ph="1">
        <v>0</v>
      </c>
      <c r="T14" s="180" t="s" ph="1">
        <v>1</v>
      </c>
      <c r="U14" s="88" t="s" ph="1">
        <v>28</v>
      </c>
    </row>
    <row r="15" spans="1:43" ph="1">
      <c r="A15" s="53"/>
      <c r="B15" s="300" t="s" ph="1">
        <v>46</v>
      </c>
      <c r="C15" s="301" ph="1"/>
      <c r="D15" s="241" ph="1">
        <f>O10+P10</f>
        <v>526064.3169669999</v>
      </c>
      <c r="E15" s="233" ph="1">
        <f>H10+I10+J10+K10</f>
        <v>190364.14537715999</v>
      </c>
      <c r="F15" s="257" ph="1">
        <f>L10+N10</f>
        <v>156761.30027200002</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82" ph="1"/>
      <c r="P18" s="90" ph="1"/>
      <c r="Q18" s="182" t="s" ph="1">
        <v>50</v>
      </c>
      <c r="R18" s="218" t="s" ph="1">
        <v>176</v>
      </c>
      <c r="S18" s="218" ph="1"/>
    </row>
    <row r="19" spans="1:21" s="182"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1461" priority="72">
      <formula>ABS(D$7-D$10)&gt;=1000</formula>
    </cfRule>
  </conditionalFormatting>
  <conditionalFormatting sqref="E4">
    <cfRule type="expression" dxfId="1460" priority="71">
      <formula>ABS(E$7-E$10)&gt;=1000</formula>
    </cfRule>
  </conditionalFormatting>
  <conditionalFormatting sqref="F4">
    <cfRule type="expression" dxfId="1459" priority="70">
      <formula>ABS(F$7-F$10)&gt;=1000</formula>
    </cfRule>
  </conditionalFormatting>
  <conditionalFormatting sqref="G4">
    <cfRule type="expression" dxfId="1458" priority="69">
      <formula>ABS(G$7-G$10)&gt;=1000</formula>
    </cfRule>
  </conditionalFormatting>
  <conditionalFormatting sqref="H4:K4">
    <cfRule type="expression" dxfId="1457" priority="68">
      <formula>ABS(H$7-H$10)&gt;=1000</formula>
    </cfRule>
  </conditionalFormatting>
  <conditionalFormatting sqref="I8">
    <cfRule type="expression" dxfId="1456" priority="67">
      <formula>ABS(I$7-I$10)&gt;=1000</formula>
    </cfRule>
  </conditionalFormatting>
  <conditionalFormatting sqref="L4:L5 M4:N4">
    <cfRule type="expression" dxfId="1455" priority="66">
      <formula>ABS(L$7-L$10)&gt;=1000</formula>
    </cfRule>
  </conditionalFormatting>
  <conditionalFormatting sqref="M5">
    <cfRule type="expression" dxfId="1454" priority="65">
      <formula>ABS(M$7-M$10)&gt;=1000</formula>
    </cfRule>
  </conditionalFormatting>
  <conditionalFormatting sqref="N5">
    <cfRule type="expression" dxfId="1453" priority="64">
      <formula>ABS(N$7-N$10)&gt;=1000</formula>
    </cfRule>
  </conditionalFormatting>
  <conditionalFormatting sqref="D5">
    <cfRule type="expression" dxfId="1452" priority="63">
      <formula>ABS(D$7-D$10)&gt;=1000</formula>
    </cfRule>
  </conditionalFormatting>
  <conditionalFormatting sqref="E5:G5">
    <cfRule type="expression" dxfId="1451" priority="62">
      <formula>ABS(E$7-E$10)&gt;=1000</formula>
    </cfRule>
  </conditionalFormatting>
  <conditionalFormatting sqref="H5">
    <cfRule type="expression" dxfId="1450" priority="61">
      <formula>ABS(H$7-H$10)&gt;=1000</formula>
    </cfRule>
  </conditionalFormatting>
  <conditionalFormatting sqref="O4:P4">
    <cfRule type="expression" dxfId="1449" priority="60">
      <formula>ABS(O$7-O$10)&gt;=1000</formula>
    </cfRule>
  </conditionalFormatting>
  <conditionalFormatting sqref="O5">
    <cfRule type="expression" dxfId="1448" priority="59">
      <formula>ABS(O$7-O$10)&gt;=1000</formula>
    </cfRule>
  </conditionalFormatting>
  <conditionalFormatting sqref="I6">
    <cfRule type="expression" dxfId="1447" priority="58">
      <formula>ABS(I$7-I$10)&gt;=1000</formula>
    </cfRule>
  </conditionalFormatting>
  <conditionalFormatting sqref="P5">
    <cfRule type="expression" dxfId="1446" priority="57">
      <formula>ABS(P$7-P$10)&gt;=1000</formula>
    </cfRule>
  </conditionalFormatting>
  <conditionalFormatting sqref="I5">
    <cfRule type="expression" dxfId="1445" priority="56">
      <formula>ABS(I$7-I$10)&gt;=1000</formula>
    </cfRule>
  </conditionalFormatting>
  <conditionalFormatting sqref="D6 D8">
    <cfRule type="expression" dxfId="1444" priority="55">
      <formula>ABS(D$7-D$10)&gt;=1000</formula>
    </cfRule>
  </conditionalFormatting>
  <conditionalFormatting sqref="E6 E8">
    <cfRule type="expression" dxfId="1443" priority="54">
      <formula>ABS(E$7-E$10)&gt;=1000</formula>
    </cfRule>
  </conditionalFormatting>
  <conditionalFormatting sqref="F6 F8">
    <cfRule type="expression" dxfId="1442" priority="53">
      <formula>ABS(F$7-F$10)&gt;=1000</formula>
    </cfRule>
  </conditionalFormatting>
  <conditionalFormatting sqref="G6 G8">
    <cfRule type="expression" dxfId="1441" priority="52">
      <formula>ABS(G$7-G$10)&gt;=1000</formula>
    </cfRule>
  </conditionalFormatting>
  <conditionalFormatting sqref="H8">
    <cfRule type="expression" dxfId="1440" priority="51">
      <formula>ABS(H$7-H$10)&gt;=1000</formula>
    </cfRule>
  </conditionalFormatting>
  <conditionalFormatting sqref="H6">
    <cfRule type="expression" dxfId="1439" priority="50">
      <formula>ABS(H$7-H$10)&gt;=1000</formula>
    </cfRule>
  </conditionalFormatting>
  <conditionalFormatting sqref="J8">
    <cfRule type="expression" dxfId="1438" priority="49">
      <formula>ABS(J$7-J$10)&gt;=1000</formula>
    </cfRule>
  </conditionalFormatting>
  <conditionalFormatting sqref="K8">
    <cfRule type="expression" dxfId="1437" priority="48">
      <formula>ABS(K$7-K$10)&gt;=1000</formula>
    </cfRule>
  </conditionalFormatting>
  <conditionalFormatting sqref="L8">
    <cfRule type="expression" dxfId="1436" priority="47">
      <formula>ABS(L$7-L$10)&gt;=1000</formula>
    </cfRule>
  </conditionalFormatting>
  <conditionalFormatting sqref="M8">
    <cfRule type="expression" dxfId="1435" priority="46">
      <formula>ABS(M$7-M$10)&gt;=1000</formula>
    </cfRule>
  </conditionalFormatting>
  <conditionalFormatting sqref="N8">
    <cfRule type="expression" dxfId="1434" priority="45">
      <formula>ABS(N$7-N$10)&gt;=1000</formula>
    </cfRule>
  </conditionalFormatting>
  <conditionalFormatting sqref="O8">
    <cfRule type="expression" dxfId="1433" priority="44">
      <formula>ABS(O$7-O$10)&gt;=1000</formula>
    </cfRule>
  </conditionalFormatting>
  <conditionalFormatting sqref="P8">
    <cfRule type="expression" dxfId="1432" priority="43">
      <formula>ABS(P$7-P$10)&gt;=1000</formula>
    </cfRule>
  </conditionalFormatting>
  <conditionalFormatting sqref="J6">
    <cfRule type="expression" dxfId="1431" priority="42">
      <formula>ABS(J$7-J$10)&gt;=1000</formula>
    </cfRule>
  </conditionalFormatting>
  <conditionalFormatting sqref="K6">
    <cfRule type="expression" dxfId="1430" priority="41">
      <formula>ABS(K$7-K$10)&gt;=1000</formula>
    </cfRule>
  </conditionalFormatting>
  <conditionalFormatting sqref="L6">
    <cfRule type="expression" dxfId="1429" priority="40">
      <formula>ABS(L$7-L$10)&gt;=1000</formula>
    </cfRule>
  </conditionalFormatting>
  <conditionalFormatting sqref="M6">
    <cfRule type="expression" dxfId="1428" priority="39">
      <formula>ABS(M$7-M$10)&gt;=1000</formula>
    </cfRule>
  </conditionalFormatting>
  <conditionalFormatting sqref="N6">
    <cfRule type="expression" dxfId="1427" priority="38">
      <formula>ABS(N$7-N$10)&gt;=1000</formula>
    </cfRule>
  </conditionalFormatting>
  <conditionalFormatting sqref="O6">
    <cfRule type="expression" dxfId="1426" priority="37">
      <formula>ABS(O$7-O$10)&gt;=1000</formula>
    </cfRule>
  </conditionalFormatting>
  <conditionalFormatting sqref="P6">
    <cfRule type="expression" dxfId="1425" priority="36">
      <formula>ABS(P$7-P$10)&gt;=1000</formula>
    </cfRule>
  </conditionalFormatting>
  <conditionalFormatting sqref="L7">
    <cfRule type="expression" dxfId="1424" priority="35">
      <formula>ABS(L$7-L$10)&gt;=1000</formula>
    </cfRule>
  </conditionalFormatting>
  <conditionalFormatting sqref="M7">
    <cfRule type="expression" dxfId="1423" priority="34">
      <formula>ABS(M$7-M$10)&gt;=1000</formula>
    </cfRule>
  </conditionalFormatting>
  <conditionalFormatting sqref="O7:P7">
    <cfRule type="expression" dxfId="1422" priority="33">
      <formula>ABS(O$7-O$10)&gt;=1000</formula>
    </cfRule>
  </conditionalFormatting>
  <conditionalFormatting sqref="N7">
    <cfRule type="expression" dxfId="1421" priority="32">
      <formula>ABS(N$7-N$10)&gt;=1000</formula>
    </cfRule>
  </conditionalFormatting>
  <conditionalFormatting sqref="H7:K7">
    <cfRule type="expression" dxfId="1420" priority="31">
      <formula>ABS(H$7-H$10)&gt;=1000</formula>
    </cfRule>
  </conditionalFormatting>
  <conditionalFormatting sqref="D7:G7">
    <cfRule type="expression" dxfId="1419" priority="30">
      <formula>ABS(D$7-D$10)&gt;=1000</formula>
    </cfRule>
  </conditionalFormatting>
  <conditionalFormatting sqref="J5:K5">
    <cfRule type="expression" dxfId="1418" priority="29">
      <formula>ABS(J$7-J$10)&gt;=1000</formula>
    </cfRule>
  </conditionalFormatting>
  <conditionalFormatting sqref="D9 D11">
    <cfRule type="expression" dxfId="1417" priority="28">
      <formula>ABS(D$7-D$10)&gt;=1000</formula>
    </cfRule>
  </conditionalFormatting>
  <conditionalFormatting sqref="E9 E11">
    <cfRule type="expression" dxfId="1416" priority="27">
      <formula>ABS(E$7-E$10)&gt;=1000</formula>
    </cfRule>
  </conditionalFormatting>
  <conditionalFormatting sqref="F9 F11">
    <cfRule type="expression" dxfId="1415" priority="26">
      <formula>ABS(F$7-F$10)&gt;=1000</formula>
    </cfRule>
  </conditionalFormatting>
  <conditionalFormatting sqref="G9 G11">
    <cfRule type="expression" dxfId="1414" priority="25">
      <formula>ABS(G$7-G$10)&gt;=1000</formula>
    </cfRule>
  </conditionalFormatting>
  <conditionalFormatting sqref="H11">
    <cfRule type="expression" dxfId="1413" priority="24">
      <formula>ABS(H$7-H$10)&gt;=1000</formula>
    </cfRule>
  </conditionalFormatting>
  <conditionalFormatting sqref="I11">
    <cfRule type="expression" dxfId="1412" priority="23">
      <formula>ABS(I$7-I$10)&gt;=1000</formula>
    </cfRule>
  </conditionalFormatting>
  <conditionalFormatting sqref="J11">
    <cfRule type="expression" dxfId="1411" priority="22">
      <formula>ABS(J$7-J$10)&gt;=1000</formula>
    </cfRule>
  </conditionalFormatting>
  <conditionalFormatting sqref="K11">
    <cfRule type="expression" dxfId="1410" priority="21">
      <formula>ABS(K$7-K$10)&gt;=1000</formula>
    </cfRule>
  </conditionalFormatting>
  <conditionalFormatting sqref="L11">
    <cfRule type="expression" dxfId="1409" priority="20">
      <formula>ABS(L$7-L$10)&gt;=1000</formula>
    </cfRule>
  </conditionalFormatting>
  <conditionalFormatting sqref="M11">
    <cfRule type="expression" dxfId="1408" priority="19">
      <formula>ABS(M$7-M$10)&gt;=1000</formula>
    </cfRule>
  </conditionalFormatting>
  <conditionalFormatting sqref="N11">
    <cfRule type="expression" dxfId="1407" priority="18">
      <formula>ABS(N$7-N$10)&gt;=1000</formula>
    </cfRule>
  </conditionalFormatting>
  <conditionalFormatting sqref="O11">
    <cfRule type="expression" dxfId="1406" priority="17">
      <formula>ABS(O$7-O$10)&gt;=1000</formula>
    </cfRule>
  </conditionalFormatting>
  <conditionalFormatting sqref="P11">
    <cfRule type="expression" dxfId="1405" priority="16">
      <formula>ABS(P$7-P$10)&gt;=1000</formula>
    </cfRule>
  </conditionalFormatting>
  <conditionalFormatting sqref="H9">
    <cfRule type="expression" dxfId="1404" priority="15">
      <formula>ABS(H$7-H$10)&gt;=1000</formula>
    </cfRule>
  </conditionalFormatting>
  <conditionalFormatting sqref="J9">
    <cfRule type="expression" dxfId="1403" priority="14">
      <formula>ABS(J$7-J$10)&gt;=1000</formula>
    </cfRule>
  </conditionalFormatting>
  <conditionalFormatting sqref="K9">
    <cfRule type="expression" dxfId="1402" priority="13">
      <formula>ABS(K$7-K$10)&gt;=1000</formula>
    </cfRule>
  </conditionalFormatting>
  <conditionalFormatting sqref="L9">
    <cfRule type="expression" dxfId="1401" priority="12">
      <formula>ABS(L$7-L$10)&gt;=1000</formula>
    </cfRule>
  </conditionalFormatting>
  <conditionalFormatting sqref="M9">
    <cfRule type="expression" dxfId="1400" priority="11">
      <formula>ABS(M$7-M$10)&gt;=1000</formula>
    </cfRule>
  </conditionalFormatting>
  <conditionalFormatting sqref="N9">
    <cfRule type="expression" dxfId="1399" priority="10">
      <formula>ABS(N$7-N$10)&gt;=1000</formula>
    </cfRule>
  </conditionalFormatting>
  <conditionalFormatting sqref="O9">
    <cfRule type="expression" dxfId="1398" priority="9">
      <formula>ABS(O$7-O$10)&gt;=1000</formula>
    </cfRule>
  </conditionalFormatting>
  <conditionalFormatting sqref="P9">
    <cfRule type="expression" dxfId="1397" priority="8">
      <formula>ABS(P$7-P$10)&gt;=1000</formula>
    </cfRule>
  </conditionalFormatting>
  <conditionalFormatting sqref="I9">
    <cfRule type="expression" dxfId="1396" priority="7">
      <formula>ABS(I$7-I$10)&gt;=1000</formula>
    </cfRule>
  </conditionalFormatting>
  <conditionalFormatting sqref="L10">
    <cfRule type="expression" dxfId="1395" priority="6">
      <formula>ABS(L$7-L$10)&gt;=1000</formula>
    </cfRule>
  </conditionalFormatting>
  <conditionalFormatting sqref="M10">
    <cfRule type="expression" dxfId="1394" priority="5">
      <formula>ABS(M$7-M$10)&gt;=1000</formula>
    </cfRule>
  </conditionalFormatting>
  <conditionalFormatting sqref="O10:P10">
    <cfRule type="expression" dxfId="1393" priority="4">
      <formula>ABS(O$7-O$10)&gt;=1000</formula>
    </cfRule>
  </conditionalFormatting>
  <conditionalFormatting sqref="N10">
    <cfRule type="expression" dxfId="1392" priority="3">
      <formula>ABS(N$7-N$10)&gt;=1000</formula>
    </cfRule>
  </conditionalFormatting>
  <conditionalFormatting sqref="H10:K10">
    <cfRule type="expression" dxfId="1391" priority="2">
      <formula>ABS(H$7-H$10)&gt;=1000</formula>
    </cfRule>
  </conditionalFormatting>
  <conditionalFormatting sqref="D10:G10">
    <cfRule type="expression" dxfId="1390" priority="1">
      <formula>ABS(D$7-D$10)&gt;=1000</formula>
    </cfRule>
  </conditionalFormatting>
  <conditionalFormatting sqref="I12">
    <cfRule type="expression" dxfId="1389" priority="73">
      <formula>ABS(#REF!-#REF!)&gt;=1000</formula>
    </cfRule>
  </conditionalFormatting>
  <conditionalFormatting sqref="D6">
    <cfRule type="expression" dxfId="1388" priority="82" stopIfTrue="1">
      <formula>MOD(ROUND($D$6*100,2),1)=0</formula>
    </cfRule>
  </conditionalFormatting>
  <conditionalFormatting sqref="E6">
    <cfRule type="expression" dxfId="1387" priority="83" stopIfTrue="1">
      <formula>MOD(ROUND($E$6*100,2),1)=0</formula>
    </cfRule>
  </conditionalFormatting>
  <conditionalFormatting sqref="F6">
    <cfRule type="expression" dxfId="1386" priority="84" stopIfTrue="1">
      <formula>MOD(ROUND($F$6*100,2),1)=0</formula>
    </cfRule>
  </conditionalFormatting>
  <conditionalFormatting sqref="G6">
    <cfRule type="expression" dxfId="1385" priority="85" stopIfTrue="1">
      <formula>MOD(ROUND($G$6*100,2),1)=0</formula>
    </cfRule>
  </conditionalFormatting>
  <conditionalFormatting sqref="D9">
    <cfRule type="expression" dxfId="1384" priority="86" stopIfTrue="1">
      <formula>MOD(ROUND($D$9*100,2),1)=0</formula>
    </cfRule>
  </conditionalFormatting>
  <conditionalFormatting sqref="E9">
    <cfRule type="expression" dxfId="1383" priority="87" stopIfTrue="1">
      <formula>MOD(ROUND($E$9*100,2),1)=0</formula>
    </cfRule>
  </conditionalFormatting>
  <conditionalFormatting sqref="F9">
    <cfRule type="expression" dxfId="1382" priority="88" stopIfTrue="1">
      <formula>MOD(ROUND($F$9*100,2),1)=0</formula>
    </cfRule>
  </conditionalFormatting>
  <conditionalFormatting sqref="G9">
    <cfRule type="expression" dxfId="1381"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27969"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27969" r:id="rId4"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6">
    <pageSetUpPr fitToPage="1"/>
  </sheetPr>
  <dimension ref="A1:AQ205"/>
  <sheetViews>
    <sheetView view="pageBreakPreview" zoomScaleNormal="100" zoomScaleSheetLayoutView="100" workbookViewId="0">
      <selection activeCell="T21" sqref="T21"/>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46241</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80" t="s" ph="1">
        <v>42</v>
      </c>
      <c r="D6" s="151">
        <v>0.88060000000000005</v>
      </c>
      <c r="E6" s="151">
        <v>0</v>
      </c>
      <c r="F6" s="151">
        <v>5.0000000000000001E-4</v>
      </c>
      <c r="G6" s="151">
        <v>1E-3</v>
      </c>
      <c r="H6" s="150">
        <v>2722</v>
      </c>
      <c r="I6" s="150">
        <v>2902</v>
      </c>
      <c r="J6" s="150">
        <v>5861</v>
      </c>
      <c r="K6" s="150">
        <v>5929</v>
      </c>
      <c r="L6" s="150">
        <v>6192</v>
      </c>
      <c r="M6" s="150">
        <v>1628</v>
      </c>
      <c r="N6" s="150">
        <v>2349</v>
      </c>
      <c r="O6" s="150">
        <v>4331</v>
      </c>
      <c r="P6" s="150">
        <v>3659</v>
      </c>
      <c r="Q6" s="294"/>
      <c r="R6" s="295"/>
      <c r="S6" s="295"/>
      <c r="T6" s="295"/>
      <c r="U6" s="296"/>
    </row>
    <row r="7" spans="1:43" s="61" customFormat="1" ht="25.95" customHeight="1" ph="1">
      <c r="B7" s="284" ph="1"/>
      <c r="C7" s="57" t="s" ph="1">
        <v>43</v>
      </c>
      <c r="D7" s="62" ph="1">
        <f>((D6*5885)*4.48)*LOOKUP(D8,密度!$A$2:$A$50,密度!$B$2:$B$50)</f>
        <v>17918.759334784005</v>
      </c>
      <c r="E7" s="62" ph="1">
        <f>((E6*5885)*4.48)*LOOKUP(E8,密度!$A$2:$A$50,密度!$B$2:$B$50)</f>
        <v>0</v>
      </c>
      <c r="F7" s="62" ph="1">
        <f>((F6*5885)*4.48)*LOOKUP(F8,密度!$A$2:$A$50,密度!$B$2:$B$50)</f>
        <v>10.232178880000001</v>
      </c>
      <c r="G7" s="62" ph="1">
        <f>((G6*5885)*4.48)*LOOKUP(G8,密度!$A$2:$A$50,密度!$B$2:$B$50)</f>
        <v>20.464357760000002</v>
      </c>
      <c r="H7" s="62" ph="1">
        <f>IF(H6&lt;=0,0,IF(H6&lt;=745,PI()*(5.3235*(H6/1000)^2-(4/3)*(H6/1000)^3),7.55+15.2053*((H6-745)/1000))*LOOKUP(H8,密度!$A$2:$A$50,密度!$B$2:$B$50)*1000)</f>
        <v>29092.014210349997</v>
      </c>
      <c r="I7" s="62" ph="1">
        <f>IF(I6&lt;=0,0,IF(I6&lt;=745,PI()*(5.3235*(I6/1000)^2-(4/3)*(I6/1000)^3),7.55+15.2053*((I6-745)/1000))*LOOKUP(I8,密度!$A$2:$A$50,密度!$B$2:$B$50)*1000)</f>
        <v>31176.769863670001</v>
      </c>
      <c r="J7" s="62" ph="1">
        <f>IF(J6&lt;=0,0,IF(J6&lt;=745,PI()*(5.3235*(J6/1000)^2-(4/3)*(J6/1000)^3),7.55+15.2053*((J6-745)/1000))*LOOKUP(J8,密度!$A$2:$A$50,密度!$B$2:$B$50)*1000)</f>
        <v>66087.53978111998</v>
      </c>
      <c r="K7" s="62" ph="1">
        <f>IF(K6&lt;=0,0,IF(K6&lt;=745,PI()*(5.3235*(K6/1000)^2-(4/3)*(K6/1000)^3),7.55+15.2053*((K6-745)/1000))*LOOKUP(K8,密度!$A$2:$A$50,密度!$B$2:$B$50)*1000)</f>
        <v>66810.501867200001</v>
      </c>
      <c r="L7" s="62" ph="1">
        <f>L6*26.42*LOOKUP(L8,密度!$A$2:$A$50,密度!$B$2:$B$50)</f>
        <v>126833.37379200001</v>
      </c>
      <c r="M7" s="62" ph="1">
        <f>M6*26.42*1</f>
        <v>43011.76</v>
      </c>
      <c r="N7" s="62" ph="1">
        <f>N6*18.32*LOOKUP(N8,密度!$A$2:$A$50,密度!$B$2:$B$50)</f>
        <v>33364.012104000001</v>
      </c>
      <c r="O7" s="62" ph="1">
        <f>O6*81.71*LOOKUP(O8,密度!$A$2:$A$50,密度!$B$2:$B$50)</f>
        <v>274049.32614399993</v>
      </c>
      <c r="P7" s="62" ph="1">
        <f>P6*81.71*LOOKUP(P8,密度!$A$2:$A$50,密度!$B$2:$B$50)</f>
        <v>231527.70361599996</v>
      </c>
      <c r="Q7" s="294"/>
      <c r="R7" s="295"/>
      <c r="S7" s="295"/>
      <c r="T7" s="295"/>
      <c r="U7" s="296"/>
    </row>
    <row r="8" spans="1:43" ht="25.95" customHeight="1" ph="1">
      <c r="B8" s="284" ph="1"/>
      <c r="C8" s="57" t="s" ph="1">
        <v>44</v>
      </c>
      <c r="D8" s="149">
        <v>34</v>
      </c>
      <c r="E8" s="149">
        <v>29</v>
      </c>
      <c r="F8" s="149">
        <v>29</v>
      </c>
      <c r="G8" s="149">
        <v>29</v>
      </c>
      <c r="H8" s="149">
        <v>32</v>
      </c>
      <c r="I8" s="149">
        <v>33</v>
      </c>
      <c r="J8" s="149">
        <v>31</v>
      </c>
      <c r="K8" s="149">
        <v>32</v>
      </c>
      <c r="L8" s="149">
        <v>30</v>
      </c>
      <c r="M8" s="149">
        <v>30</v>
      </c>
      <c r="N8" s="149">
        <v>30</v>
      </c>
      <c r="O8" s="149">
        <v>31</v>
      </c>
      <c r="P8" s="149">
        <v>31</v>
      </c>
      <c r="Q8" s="294"/>
      <c r="R8" s="295"/>
      <c r="S8" s="295"/>
      <c r="T8" s="295"/>
      <c r="U8" s="296"/>
    </row>
    <row r="9" spans="1:43" ht="25.95" customHeight="1" ph="1">
      <c r="B9" s="284" ph="1">
        <v>0.66666666666666663</v>
      </c>
      <c r="C9" s="180" t="s" ph="1">
        <v>45</v>
      </c>
      <c r="D9" s="151">
        <v>1.1399999999999999E-2</v>
      </c>
      <c r="E9" s="151">
        <v>0.45049999999999996</v>
      </c>
      <c r="F9" s="151">
        <v>0</v>
      </c>
      <c r="G9" s="151">
        <v>0</v>
      </c>
      <c r="H9" s="150">
        <v>1037</v>
      </c>
      <c r="I9" s="150">
        <v>2597</v>
      </c>
      <c r="J9" s="150">
        <v>5867</v>
      </c>
      <c r="K9" s="150">
        <v>5935</v>
      </c>
      <c r="L9" s="150">
        <v>5433</v>
      </c>
      <c r="M9" s="150">
        <v>1627</v>
      </c>
      <c r="N9" s="150">
        <v>1419</v>
      </c>
      <c r="O9" s="150">
        <v>4165</v>
      </c>
      <c r="P9" s="150">
        <v>3671</v>
      </c>
      <c r="Q9" s="294"/>
      <c r="R9" s="295"/>
      <c r="S9" s="295"/>
      <c r="T9" s="295"/>
      <c r="U9" s="296"/>
    </row>
    <row r="10" spans="1:43" s="61" customFormat="1" ht="25.95" customHeight="1" ph="1">
      <c r="B10" s="284" ph="1"/>
      <c r="C10" s="180" t="s" ph="1">
        <v>43</v>
      </c>
      <c r="D10" s="62" ph="1">
        <f>((D9*5885)*4.48)*LOOKUP(D11,密度!$A$2:$A$50,密度!$B$2:$B$50)</f>
        <v>231.97122009600005</v>
      </c>
      <c r="E10" s="62" ph="1">
        <f>((E9*5885)*4.48)*LOOKUP(E11,密度!$A$2:$A$50,密度!$B$2:$B$50)</f>
        <v>9145.5536479999992</v>
      </c>
      <c r="F10" s="62" ph="1">
        <f>((F9*5885)*4.48)*LOOKUP(F11,密度!$A$2:$A$50,密度!$B$2:$B$50)</f>
        <v>0</v>
      </c>
      <c r="G10" s="62" ph="1">
        <f>((G9*5885)*4.48)*LOOKUP(G11,密度!$A$2:$A$50,密度!$B$2:$B$50)</f>
        <v>0</v>
      </c>
      <c r="H10" s="62" ph="1">
        <f>IF(H9&lt;=0,0,IF(H9&lt;=745,PI()*(5.3235*(H9/1000)^2-(4/3)*(H9/1000)^3),7.55+15.2053*((H9-745)/1000))*LOOKUP(H11,密度!$A$2:$A$50,密度!$B$2:$B$50)*1000)</f>
        <v>9243.0506048399984</v>
      </c>
      <c r="I10" s="62" ph="1">
        <f>IF(I9&lt;=0,0,IF(I9&lt;=745,PI()*(5.3235*(I9/1000)^2-(4/3)*(I9/1000)^3),7.55+15.2053*((I9-745)/1000))*LOOKUP(I11,密度!$A$2:$A$50,密度!$B$2:$B$50)*1000)</f>
        <v>27529.005206040001</v>
      </c>
      <c r="J10" s="62" ph="1">
        <f>IF(J9&lt;=0,0,IF(J9&lt;=745,PI()*(5.3235*(J9/1000)^2-(4/3)*(J9/1000)^3),7.55+15.2053*((J9-745)/1000))*LOOKUP(J11,密度!$A$2:$A$50,密度!$B$2:$B$50)*1000)</f>
        <v>66012.956057819989</v>
      </c>
      <c r="K10" s="62" ph="1">
        <f>IF(K9&lt;=0,0,IF(K9&lt;=745,PI()*(5.3235*(K9/1000)^2-(4/3)*(K9/1000)^3),7.55+15.2053*((K9-745)/1000))*LOOKUP(K11,密度!$A$2:$A$50,密度!$B$2:$B$50)*1000)</f>
        <v>66811.897258900004</v>
      </c>
      <c r="L10" s="62" ph="1">
        <f>L9*26.42*LOOKUP(L11,密度!$A$2:$A$50,密度!$B$2:$B$50)</f>
        <v>111157.26758400002</v>
      </c>
      <c r="M10" s="62" ph="1">
        <f>M9*26.42*1</f>
        <v>42985.340000000004</v>
      </c>
      <c r="N10" s="62" ph="1">
        <f>N9*18.32*LOOKUP(N11,密度!$A$2:$A$50,密度!$B$2:$B$50)</f>
        <v>20087.171016000004</v>
      </c>
      <c r="O10" s="62" ph="1">
        <f>O9*81.71*LOOKUP(O11,密度!$A$2:$A$50,密度!$B$2:$B$50)</f>
        <v>263545.47295999998</v>
      </c>
      <c r="P10" s="62" ph="1">
        <f>P9*81.71*LOOKUP(P11,密度!$A$2:$A$50,密度!$B$2:$B$50)</f>
        <v>232287.01830399997</v>
      </c>
      <c r="Q10" s="294"/>
      <c r="R10" s="295"/>
      <c r="S10" s="295"/>
      <c r="T10" s="295"/>
      <c r="U10" s="296"/>
    </row>
    <row r="11" spans="1:43" ht="25.95" customHeight="1" ph="1">
      <c r="A11" s="53" t="s" ph="1">
        <v>40</v>
      </c>
      <c r="B11" s="284" ph="1"/>
      <c r="C11" s="180" t="s" ph="1">
        <v>44</v>
      </c>
      <c r="D11" s="149">
        <v>34</v>
      </c>
      <c r="E11" s="149">
        <v>36</v>
      </c>
      <c r="F11" s="149">
        <v>35</v>
      </c>
      <c r="G11" s="149">
        <v>34</v>
      </c>
      <c r="H11" s="149">
        <v>35</v>
      </c>
      <c r="I11" s="149">
        <v>35</v>
      </c>
      <c r="J11" s="149">
        <v>33</v>
      </c>
      <c r="K11" s="149">
        <v>33</v>
      </c>
      <c r="L11" s="149">
        <v>31</v>
      </c>
      <c r="M11" s="149">
        <v>31</v>
      </c>
      <c r="N11" s="149">
        <v>33</v>
      </c>
      <c r="O11" s="149">
        <v>31</v>
      </c>
      <c r="P11" s="149">
        <v>31</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80" t="s" ph="1">
        <v>1</v>
      </c>
      <c r="F14" s="88" t="s" ph="1">
        <v>28</v>
      </c>
      <c r="G14" s="86" t="s" ph="1">
        <v>0</v>
      </c>
      <c r="H14" s="180" t="s" ph="1">
        <v>1</v>
      </c>
      <c r="I14" s="181" t="s" ph="1">
        <v>28</v>
      </c>
      <c r="J14" s="86" t="s" ph="1">
        <v>0</v>
      </c>
      <c r="K14" s="180" t="s" ph="1">
        <v>1</v>
      </c>
      <c r="L14" s="181" t="s" ph="1">
        <v>28</v>
      </c>
      <c r="M14" s="86" t="s" ph="1">
        <v>0</v>
      </c>
      <c r="N14" s="180" t="s" ph="1">
        <v>1</v>
      </c>
      <c r="O14" s="181" t="s" ph="1">
        <v>28</v>
      </c>
      <c r="P14" s="86" t="s" ph="1">
        <v>0</v>
      </c>
      <c r="Q14" s="87" t="s" ph="1">
        <v>1</v>
      </c>
      <c r="R14" s="88" t="s" ph="1">
        <v>28</v>
      </c>
      <c r="S14" s="86" t="s" ph="1">
        <v>0</v>
      </c>
      <c r="T14" s="180" t="s" ph="1">
        <v>1</v>
      </c>
      <c r="U14" s="88" t="s" ph="1">
        <v>28</v>
      </c>
    </row>
    <row r="15" spans="1:43" ph="1">
      <c r="A15" s="53"/>
      <c r="B15" s="300" t="s" ph="1">
        <v>46</v>
      </c>
      <c r="C15" s="301" ph="1"/>
      <c r="D15" s="241" ph="1">
        <f>O10+P10</f>
        <v>495832.49126399995</v>
      </c>
      <c r="E15" s="233" ph="1">
        <f>H10+I10+J10+K10</f>
        <v>169596.9091276</v>
      </c>
      <c r="F15" s="257" ph="1">
        <f>L10+N10</f>
        <v>131244.43860000002</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82" ph="1"/>
      <c r="P18" s="90" ph="1"/>
      <c r="Q18" s="182" t="s" ph="1">
        <v>50</v>
      </c>
      <c r="R18" s="218" t="s" ph="1">
        <v>176</v>
      </c>
      <c r="S18" s="218" ph="1"/>
    </row>
    <row r="19" spans="1:21" s="182"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1380" priority="72">
      <formula>ABS(D$7-D$10)&gt;=1000</formula>
    </cfRule>
  </conditionalFormatting>
  <conditionalFormatting sqref="E4">
    <cfRule type="expression" dxfId="1379" priority="71">
      <formula>ABS(E$7-E$10)&gt;=1000</formula>
    </cfRule>
  </conditionalFormatting>
  <conditionalFormatting sqref="F4">
    <cfRule type="expression" dxfId="1378" priority="70">
      <formula>ABS(F$7-F$10)&gt;=1000</formula>
    </cfRule>
  </conditionalFormatting>
  <conditionalFormatting sqref="G4">
    <cfRule type="expression" dxfId="1377" priority="69">
      <formula>ABS(G$7-G$10)&gt;=1000</formula>
    </cfRule>
  </conditionalFormatting>
  <conditionalFormatting sqref="H4:K4">
    <cfRule type="expression" dxfId="1376" priority="68">
      <formula>ABS(H$7-H$10)&gt;=1000</formula>
    </cfRule>
  </conditionalFormatting>
  <conditionalFormatting sqref="I8">
    <cfRule type="expression" dxfId="1375" priority="67">
      <formula>ABS(I$7-I$10)&gt;=1000</formula>
    </cfRule>
  </conditionalFormatting>
  <conditionalFormatting sqref="L4:L5 M4:N4">
    <cfRule type="expression" dxfId="1374" priority="66">
      <formula>ABS(L$7-L$10)&gt;=1000</formula>
    </cfRule>
  </conditionalFormatting>
  <conditionalFormatting sqref="M5">
    <cfRule type="expression" dxfId="1373" priority="65">
      <formula>ABS(M$7-M$10)&gt;=1000</formula>
    </cfRule>
  </conditionalFormatting>
  <conditionalFormatting sqref="N5">
    <cfRule type="expression" dxfId="1372" priority="64">
      <formula>ABS(N$7-N$10)&gt;=1000</formula>
    </cfRule>
  </conditionalFormatting>
  <conditionalFormatting sqref="D5">
    <cfRule type="expression" dxfId="1371" priority="63">
      <formula>ABS(D$7-D$10)&gt;=1000</formula>
    </cfRule>
  </conditionalFormatting>
  <conditionalFormatting sqref="E5:G5">
    <cfRule type="expression" dxfId="1370" priority="62">
      <formula>ABS(E$7-E$10)&gt;=1000</formula>
    </cfRule>
  </conditionalFormatting>
  <conditionalFormatting sqref="H5">
    <cfRule type="expression" dxfId="1369" priority="61">
      <formula>ABS(H$7-H$10)&gt;=1000</formula>
    </cfRule>
  </conditionalFormatting>
  <conditionalFormatting sqref="O4:P4">
    <cfRule type="expression" dxfId="1368" priority="60">
      <formula>ABS(O$7-O$10)&gt;=1000</formula>
    </cfRule>
  </conditionalFormatting>
  <conditionalFormatting sqref="O5">
    <cfRule type="expression" dxfId="1367" priority="59">
      <formula>ABS(O$7-O$10)&gt;=1000</formula>
    </cfRule>
  </conditionalFormatting>
  <conditionalFormatting sqref="I6">
    <cfRule type="expression" dxfId="1366" priority="58">
      <formula>ABS(I$7-I$10)&gt;=1000</formula>
    </cfRule>
  </conditionalFormatting>
  <conditionalFormatting sqref="P5">
    <cfRule type="expression" dxfId="1365" priority="57">
      <formula>ABS(P$7-P$10)&gt;=1000</formula>
    </cfRule>
  </conditionalFormatting>
  <conditionalFormatting sqref="I5">
    <cfRule type="expression" dxfId="1364" priority="56">
      <formula>ABS(I$7-I$10)&gt;=1000</formula>
    </cfRule>
  </conditionalFormatting>
  <conditionalFormatting sqref="D6 D8">
    <cfRule type="expression" dxfId="1363" priority="55">
      <formula>ABS(D$7-D$10)&gt;=1000</formula>
    </cfRule>
  </conditionalFormatting>
  <conditionalFormatting sqref="E6 E8">
    <cfRule type="expression" dxfId="1362" priority="54">
      <formula>ABS(E$7-E$10)&gt;=1000</formula>
    </cfRule>
  </conditionalFormatting>
  <conditionalFormatting sqref="F6 F8">
    <cfRule type="expression" dxfId="1361" priority="53">
      <formula>ABS(F$7-F$10)&gt;=1000</formula>
    </cfRule>
  </conditionalFormatting>
  <conditionalFormatting sqref="G6 G8">
    <cfRule type="expression" dxfId="1360" priority="52">
      <formula>ABS(G$7-G$10)&gt;=1000</formula>
    </cfRule>
  </conditionalFormatting>
  <conditionalFormatting sqref="H8">
    <cfRule type="expression" dxfId="1359" priority="51">
      <formula>ABS(H$7-H$10)&gt;=1000</formula>
    </cfRule>
  </conditionalFormatting>
  <conditionalFormatting sqref="H6">
    <cfRule type="expression" dxfId="1358" priority="50">
      <formula>ABS(H$7-H$10)&gt;=1000</formula>
    </cfRule>
  </conditionalFormatting>
  <conditionalFormatting sqref="J8">
    <cfRule type="expression" dxfId="1357" priority="49">
      <formula>ABS(J$7-J$10)&gt;=1000</formula>
    </cfRule>
  </conditionalFormatting>
  <conditionalFormatting sqref="K8">
    <cfRule type="expression" dxfId="1356" priority="48">
      <formula>ABS(K$7-K$10)&gt;=1000</formula>
    </cfRule>
  </conditionalFormatting>
  <conditionalFormatting sqref="L8">
    <cfRule type="expression" dxfId="1355" priority="47">
      <formula>ABS(L$7-L$10)&gt;=1000</formula>
    </cfRule>
  </conditionalFormatting>
  <conditionalFormatting sqref="M8">
    <cfRule type="expression" dxfId="1354" priority="46">
      <formula>ABS(M$7-M$10)&gt;=1000</formula>
    </cfRule>
  </conditionalFormatting>
  <conditionalFormatting sqref="N8">
    <cfRule type="expression" dxfId="1353" priority="45">
      <formula>ABS(N$7-N$10)&gt;=1000</formula>
    </cfRule>
  </conditionalFormatting>
  <conditionalFormatting sqref="O8">
    <cfRule type="expression" dxfId="1352" priority="44">
      <formula>ABS(O$7-O$10)&gt;=1000</formula>
    </cfRule>
  </conditionalFormatting>
  <conditionalFormatting sqref="P8">
    <cfRule type="expression" dxfId="1351" priority="43">
      <formula>ABS(P$7-P$10)&gt;=1000</formula>
    </cfRule>
  </conditionalFormatting>
  <conditionalFormatting sqref="J6">
    <cfRule type="expression" dxfId="1350" priority="42">
      <formula>ABS(J$7-J$10)&gt;=1000</formula>
    </cfRule>
  </conditionalFormatting>
  <conditionalFormatting sqref="K6">
    <cfRule type="expression" dxfId="1349" priority="41">
      <formula>ABS(K$7-K$10)&gt;=1000</formula>
    </cfRule>
  </conditionalFormatting>
  <conditionalFormatting sqref="L6">
    <cfRule type="expression" dxfId="1348" priority="40">
      <formula>ABS(L$7-L$10)&gt;=1000</formula>
    </cfRule>
  </conditionalFormatting>
  <conditionalFormatting sqref="M6">
    <cfRule type="expression" dxfId="1347" priority="39">
      <formula>ABS(M$7-M$10)&gt;=1000</formula>
    </cfRule>
  </conditionalFormatting>
  <conditionalFormatting sqref="N6">
    <cfRule type="expression" dxfId="1346" priority="38">
      <formula>ABS(N$7-N$10)&gt;=1000</formula>
    </cfRule>
  </conditionalFormatting>
  <conditionalFormatting sqref="O6">
    <cfRule type="expression" dxfId="1345" priority="37">
      <formula>ABS(O$7-O$10)&gt;=1000</formula>
    </cfRule>
  </conditionalFormatting>
  <conditionalFormatting sqref="P6">
    <cfRule type="expression" dxfId="1344" priority="36">
      <formula>ABS(P$7-P$10)&gt;=1000</formula>
    </cfRule>
  </conditionalFormatting>
  <conditionalFormatting sqref="L7">
    <cfRule type="expression" dxfId="1343" priority="35">
      <formula>ABS(L$7-L$10)&gt;=1000</formula>
    </cfRule>
  </conditionalFormatting>
  <conditionalFormatting sqref="M7">
    <cfRule type="expression" dxfId="1342" priority="34">
      <formula>ABS(M$7-M$10)&gt;=1000</formula>
    </cfRule>
  </conditionalFormatting>
  <conditionalFormatting sqref="O7:P7">
    <cfRule type="expression" dxfId="1341" priority="33">
      <formula>ABS(O$7-O$10)&gt;=1000</formula>
    </cfRule>
  </conditionalFormatting>
  <conditionalFormatting sqref="N7">
    <cfRule type="expression" dxfId="1340" priority="32">
      <formula>ABS(N$7-N$10)&gt;=1000</formula>
    </cfRule>
  </conditionalFormatting>
  <conditionalFormatting sqref="H7:K7">
    <cfRule type="expression" dxfId="1339" priority="31">
      <formula>ABS(H$7-H$10)&gt;=1000</formula>
    </cfRule>
  </conditionalFormatting>
  <conditionalFormatting sqref="D7:G7">
    <cfRule type="expression" dxfId="1338" priority="30">
      <formula>ABS(D$7-D$10)&gt;=1000</formula>
    </cfRule>
  </conditionalFormatting>
  <conditionalFormatting sqref="J5:K5">
    <cfRule type="expression" dxfId="1337" priority="29">
      <formula>ABS(J$7-J$10)&gt;=1000</formula>
    </cfRule>
  </conditionalFormatting>
  <conditionalFormatting sqref="D9 D11">
    <cfRule type="expression" dxfId="1336" priority="28">
      <formula>ABS(D$7-D$10)&gt;=1000</formula>
    </cfRule>
  </conditionalFormatting>
  <conditionalFormatting sqref="E9 E11">
    <cfRule type="expression" dxfId="1335" priority="27">
      <formula>ABS(E$7-E$10)&gt;=1000</formula>
    </cfRule>
  </conditionalFormatting>
  <conditionalFormatting sqref="F9 F11">
    <cfRule type="expression" dxfId="1334" priority="26">
      <formula>ABS(F$7-F$10)&gt;=1000</formula>
    </cfRule>
  </conditionalFormatting>
  <conditionalFormatting sqref="G9 G11">
    <cfRule type="expression" dxfId="1333" priority="25">
      <formula>ABS(G$7-G$10)&gt;=1000</formula>
    </cfRule>
  </conditionalFormatting>
  <conditionalFormatting sqref="H11">
    <cfRule type="expression" dxfId="1332" priority="24">
      <formula>ABS(H$7-H$10)&gt;=1000</formula>
    </cfRule>
  </conditionalFormatting>
  <conditionalFormatting sqref="I11">
    <cfRule type="expression" dxfId="1331" priority="23">
      <formula>ABS(I$7-I$10)&gt;=1000</formula>
    </cfRule>
  </conditionalFormatting>
  <conditionalFormatting sqref="J11">
    <cfRule type="expression" dxfId="1330" priority="22">
      <formula>ABS(J$7-J$10)&gt;=1000</formula>
    </cfRule>
  </conditionalFormatting>
  <conditionalFormatting sqref="K11">
    <cfRule type="expression" dxfId="1329" priority="21">
      <formula>ABS(K$7-K$10)&gt;=1000</formula>
    </cfRule>
  </conditionalFormatting>
  <conditionalFormatting sqref="L11">
    <cfRule type="expression" dxfId="1328" priority="20">
      <formula>ABS(L$7-L$10)&gt;=1000</formula>
    </cfRule>
  </conditionalFormatting>
  <conditionalFormatting sqref="M11">
    <cfRule type="expression" dxfId="1327" priority="19">
      <formula>ABS(M$7-M$10)&gt;=1000</formula>
    </cfRule>
  </conditionalFormatting>
  <conditionalFormatting sqref="N11">
    <cfRule type="expression" dxfId="1326" priority="18">
      <formula>ABS(N$7-N$10)&gt;=1000</formula>
    </cfRule>
  </conditionalFormatting>
  <conditionalFormatting sqref="O11">
    <cfRule type="expression" dxfId="1325" priority="17">
      <formula>ABS(O$7-O$10)&gt;=1000</formula>
    </cfRule>
  </conditionalFormatting>
  <conditionalFormatting sqref="P11">
    <cfRule type="expression" dxfId="1324" priority="16">
      <formula>ABS(P$7-P$10)&gt;=1000</formula>
    </cfRule>
  </conditionalFormatting>
  <conditionalFormatting sqref="H9">
    <cfRule type="expression" dxfId="1323" priority="15">
      <formula>ABS(H$7-H$10)&gt;=1000</formula>
    </cfRule>
  </conditionalFormatting>
  <conditionalFormatting sqref="J9">
    <cfRule type="expression" dxfId="1322" priority="14">
      <formula>ABS(J$7-J$10)&gt;=1000</formula>
    </cfRule>
  </conditionalFormatting>
  <conditionalFormatting sqref="K9">
    <cfRule type="expression" dxfId="1321" priority="13">
      <formula>ABS(K$7-K$10)&gt;=1000</formula>
    </cfRule>
  </conditionalFormatting>
  <conditionalFormatting sqref="L9">
    <cfRule type="expression" dxfId="1320" priority="12">
      <formula>ABS(L$7-L$10)&gt;=1000</formula>
    </cfRule>
  </conditionalFormatting>
  <conditionalFormatting sqref="M9">
    <cfRule type="expression" dxfId="1319" priority="11">
      <formula>ABS(M$7-M$10)&gt;=1000</formula>
    </cfRule>
  </conditionalFormatting>
  <conditionalFormatting sqref="N9">
    <cfRule type="expression" dxfId="1318" priority="10">
      <formula>ABS(N$7-N$10)&gt;=1000</formula>
    </cfRule>
  </conditionalFormatting>
  <conditionalFormatting sqref="O9">
    <cfRule type="expression" dxfId="1317" priority="9">
      <formula>ABS(O$7-O$10)&gt;=1000</formula>
    </cfRule>
  </conditionalFormatting>
  <conditionalFormatting sqref="P9">
    <cfRule type="expression" dxfId="1316" priority="8">
      <formula>ABS(P$7-P$10)&gt;=1000</formula>
    </cfRule>
  </conditionalFormatting>
  <conditionalFormatting sqref="I9">
    <cfRule type="expression" dxfId="1315" priority="7">
      <formula>ABS(I$7-I$10)&gt;=1000</formula>
    </cfRule>
  </conditionalFormatting>
  <conditionalFormatting sqref="L10">
    <cfRule type="expression" dxfId="1314" priority="6">
      <formula>ABS(L$7-L$10)&gt;=1000</formula>
    </cfRule>
  </conditionalFormatting>
  <conditionalFormatting sqref="M10">
    <cfRule type="expression" dxfId="1313" priority="5">
      <formula>ABS(M$7-M$10)&gt;=1000</formula>
    </cfRule>
  </conditionalFormatting>
  <conditionalFormatting sqref="O10:P10">
    <cfRule type="expression" dxfId="1312" priority="4">
      <formula>ABS(O$7-O$10)&gt;=1000</formula>
    </cfRule>
  </conditionalFormatting>
  <conditionalFormatting sqref="N10">
    <cfRule type="expression" dxfId="1311" priority="3">
      <formula>ABS(N$7-N$10)&gt;=1000</formula>
    </cfRule>
  </conditionalFormatting>
  <conditionalFormatting sqref="H10:K10">
    <cfRule type="expression" dxfId="1310" priority="2">
      <formula>ABS(H$7-H$10)&gt;=1000</formula>
    </cfRule>
  </conditionalFormatting>
  <conditionalFormatting sqref="D10:G10">
    <cfRule type="expression" dxfId="1309" priority="1">
      <formula>ABS(D$7-D$10)&gt;=1000</formula>
    </cfRule>
  </conditionalFormatting>
  <conditionalFormatting sqref="I12">
    <cfRule type="expression" dxfId="1308" priority="73">
      <formula>ABS(#REF!-#REF!)&gt;=1000</formula>
    </cfRule>
  </conditionalFormatting>
  <conditionalFormatting sqref="D6">
    <cfRule type="expression" dxfId="1307" priority="82" stopIfTrue="1">
      <formula>MOD(ROUND($D$6*100,2),1)=0</formula>
    </cfRule>
  </conditionalFormatting>
  <conditionalFormatting sqref="E6">
    <cfRule type="expression" dxfId="1306" priority="83" stopIfTrue="1">
      <formula>MOD(ROUND($E$6*100,2),1)=0</formula>
    </cfRule>
  </conditionalFormatting>
  <conditionalFormatting sqref="F6">
    <cfRule type="expression" dxfId="1305" priority="84" stopIfTrue="1">
      <formula>MOD(ROUND($F$6*100,2),1)=0</formula>
    </cfRule>
  </conditionalFormatting>
  <conditionalFormatting sqref="G6">
    <cfRule type="expression" dxfId="1304" priority="85" stopIfTrue="1">
      <formula>MOD(ROUND($G$6*100,2),1)=0</formula>
    </cfRule>
  </conditionalFormatting>
  <conditionalFormatting sqref="D9">
    <cfRule type="expression" dxfId="1303" priority="86" stopIfTrue="1">
      <formula>MOD(ROUND($D$9*100,2),1)=0</formula>
    </cfRule>
  </conditionalFormatting>
  <conditionalFormatting sqref="E9">
    <cfRule type="expression" dxfId="1302" priority="87" stopIfTrue="1">
      <formula>MOD(ROUND($E$9*100,2),1)=0</formula>
    </cfRule>
  </conditionalFormatting>
  <conditionalFormatting sqref="F9">
    <cfRule type="expression" dxfId="1301" priority="88" stopIfTrue="1">
      <formula>MOD(ROUND($F$9*100,2),1)=0</formula>
    </cfRule>
  </conditionalFormatting>
  <conditionalFormatting sqref="G9">
    <cfRule type="expression" dxfId="1300"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28993"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28993" r:id="rId4"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7">
    <pageSetUpPr fitToPage="1"/>
  </sheetPr>
  <dimension ref="A1:AQ205"/>
  <sheetViews>
    <sheetView view="pageBreakPreview" zoomScaleNormal="100" zoomScaleSheetLayoutView="100" workbookViewId="0">
      <selection activeCell="T21" sqref="T21"/>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46244</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80" t="s" ph="1">
        <v>42</v>
      </c>
      <c r="D6" s="151">
        <v>0.89749999999999996</v>
      </c>
      <c r="E6" s="151">
        <v>9.1600000000000001E-2</v>
      </c>
      <c r="F6" s="151">
        <v>5.0000000000000001E-4</v>
      </c>
      <c r="G6" s="151">
        <v>1E-3</v>
      </c>
      <c r="H6" s="150">
        <v>2140</v>
      </c>
      <c r="I6" s="150">
        <v>1952</v>
      </c>
      <c r="J6" s="150">
        <v>5858</v>
      </c>
      <c r="K6" s="150">
        <v>5926</v>
      </c>
      <c r="L6" s="150">
        <v>5648</v>
      </c>
      <c r="M6" s="150">
        <v>1621</v>
      </c>
      <c r="N6" s="150">
        <v>1899</v>
      </c>
      <c r="O6" s="150">
        <v>2803</v>
      </c>
      <c r="P6" s="150">
        <v>3658</v>
      </c>
      <c r="Q6" s="294"/>
      <c r="R6" s="295"/>
      <c r="S6" s="295"/>
      <c r="T6" s="295"/>
      <c r="U6" s="296"/>
    </row>
    <row r="7" spans="1:43" s="61" customFormat="1" ht="25.95" customHeight="1" ph="1">
      <c r="B7" s="284" ph="1"/>
      <c r="C7" s="57" t="s" ph="1">
        <v>43</v>
      </c>
      <c r="D7" s="62" ph="1">
        <f>((D6*5885)*4.48)*LOOKUP(D8,密度!$A$2:$A$50,密度!$B$2:$B$50)</f>
        <v>18283.942661600002</v>
      </c>
      <c r="E7" s="62" ph="1">
        <f>((E6*5885)*4.48)*LOOKUP(E8,密度!$A$2:$A$50,密度!$B$2:$B$50)</f>
        <v>1872.3616567040003</v>
      </c>
      <c r="F7" s="62" ph="1">
        <f>((F6*5885)*4.48)*LOOKUP(F8,密度!$A$2:$A$50,密度!$B$2:$B$50)</f>
        <v>10.254588960000001</v>
      </c>
      <c r="G7" s="62" ph="1">
        <f>((G6*5885)*4.48)*LOOKUP(G8,密度!$A$2:$A$50,密度!$B$2:$B$50)</f>
        <v>20.509177920000003</v>
      </c>
      <c r="H7" s="62" ph="1">
        <f>IF(H6&lt;=0,0,IF(H6&lt;=745,PI()*(5.3235*(H6/1000)^2-(4/3)*(H6/1000)^3),7.55+15.2053*((H6-745)/1000))*LOOKUP(H8,密度!$A$2:$A$50,密度!$B$2:$B$50)*1000)</f>
        <v>22272.823126399999</v>
      </c>
      <c r="I7" s="62" ph="1">
        <f>IF(I6&lt;=0,0,IF(I6&lt;=745,PI()*(5.3235*(I6/1000)^2-(4/3)*(I6/1000)^3),7.55+15.2053*((I6-745)/1000))*LOOKUP(I8,密度!$A$2:$A$50,密度!$B$2:$B$50)*1000)</f>
        <v>20059.126074240001</v>
      </c>
      <c r="J7" s="62" ph="1">
        <f>IF(J6&lt;=0,0,IF(J6&lt;=745,PI()*(5.3235*(J6/1000)^2-(4/3)*(J6/1000)^3),7.55+15.2053*((J6-745)/1000))*LOOKUP(J8,密度!$A$2:$A$50,密度!$B$2:$B$50)*1000)</f>
        <v>66052.214828160009</v>
      </c>
      <c r="K7" s="62" ph="1">
        <f>IF(K6&lt;=0,0,IF(K6&lt;=745,PI()*(5.3235*(K6/1000)^2-(4/3)*(K6/1000)^3),7.55+15.2053*((K6-745)/1000))*LOOKUP(K8,密度!$A$2:$A$50,密度!$B$2:$B$50)*1000)</f>
        <v>66852.91376191999</v>
      </c>
      <c r="L7" s="62" ph="1">
        <f>L6*26.42*LOOKUP(L8,密度!$A$2:$A$50,密度!$B$2:$B$50)</f>
        <v>115824.688192</v>
      </c>
      <c r="M7" s="62" ph="1">
        <f>M6*26.42*1</f>
        <v>42826.82</v>
      </c>
      <c r="N7" s="62" ph="1">
        <f>N6*18.32*LOOKUP(N8,密度!$A$2:$A$50,密度!$B$2:$B$50)</f>
        <v>27003.749616000001</v>
      </c>
      <c r="O7" s="62" ph="1">
        <f>O6*81.71*LOOKUP(O8,密度!$A$2:$A$50,密度!$B$2:$B$50)</f>
        <v>177363.25587199998</v>
      </c>
      <c r="P7" s="62" ph="1">
        <f>P6*81.71*LOOKUP(P8,密度!$A$2:$A$50,密度!$B$2:$B$50)</f>
        <v>231733.43305399999</v>
      </c>
      <c r="Q7" s="294"/>
      <c r="R7" s="295"/>
      <c r="S7" s="295"/>
      <c r="T7" s="295"/>
      <c r="U7" s="296"/>
    </row>
    <row r="8" spans="1:43" ht="25.95" customHeight="1" ph="1">
      <c r="B8" s="284" ph="1"/>
      <c r="C8" s="57" t="s" ph="1">
        <v>44</v>
      </c>
      <c r="D8" s="149">
        <v>33</v>
      </c>
      <c r="E8" s="149">
        <v>30</v>
      </c>
      <c r="F8" s="149">
        <v>27</v>
      </c>
      <c r="G8" s="149">
        <v>27</v>
      </c>
      <c r="H8" s="149">
        <v>31</v>
      </c>
      <c r="I8" s="149">
        <v>31</v>
      </c>
      <c r="J8" s="149">
        <v>31</v>
      </c>
      <c r="K8" s="149">
        <v>31</v>
      </c>
      <c r="L8" s="149">
        <v>29</v>
      </c>
      <c r="M8" s="149">
        <v>29</v>
      </c>
      <c r="N8" s="149">
        <v>29</v>
      </c>
      <c r="O8" s="149">
        <v>31</v>
      </c>
      <c r="P8" s="149">
        <v>30</v>
      </c>
      <c r="Q8" s="294"/>
      <c r="R8" s="295"/>
      <c r="S8" s="295"/>
      <c r="T8" s="295"/>
      <c r="U8" s="296"/>
    </row>
    <row r="9" spans="1:43" ht="25.95" customHeight="1" ph="1">
      <c r="B9" s="284" ph="1">
        <v>0.66666666666666663</v>
      </c>
      <c r="C9" s="180" t="s" ph="1">
        <v>45</v>
      </c>
      <c r="D9" s="151">
        <v>0</v>
      </c>
      <c r="E9" s="151">
        <v>0.55000000000000004</v>
      </c>
      <c r="F9" s="151">
        <v>2.9999999999999997E-4</v>
      </c>
      <c r="G9" s="151">
        <v>1E-3</v>
      </c>
      <c r="H9" s="150">
        <v>1678</v>
      </c>
      <c r="I9" s="150">
        <v>2268</v>
      </c>
      <c r="J9" s="150">
        <v>2993</v>
      </c>
      <c r="K9" s="150">
        <v>5931</v>
      </c>
      <c r="L9" s="150">
        <v>5715</v>
      </c>
      <c r="M9" s="150">
        <v>1619</v>
      </c>
      <c r="N9" s="150">
        <v>1956</v>
      </c>
      <c r="O9" s="150">
        <v>2911</v>
      </c>
      <c r="P9" s="150">
        <v>3669</v>
      </c>
      <c r="Q9" s="294"/>
      <c r="R9" s="295"/>
      <c r="S9" s="295"/>
      <c r="T9" s="295"/>
      <c r="U9" s="296"/>
    </row>
    <row r="10" spans="1:43" s="61" customFormat="1" ht="25.95" customHeight="1" ph="1">
      <c r="B10" s="284" ph="1"/>
      <c r="C10" s="180" t="s" ph="1">
        <v>43</v>
      </c>
      <c r="D10" s="62" ph="1">
        <f>((D9*5885)*4.48)*LOOKUP(D11,密度!$A$2:$A$50,密度!$B$2:$B$50)</f>
        <v>0</v>
      </c>
      <c r="E10" s="62" ph="1">
        <f>((E9*5885)*4.48)*LOOKUP(E11,密度!$A$2:$A$50,密度!$B$2:$B$50)</f>
        <v>11178.543376000003</v>
      </c>
      <c r="F10" s="62" ph="1">
        <f>((F9*5885)*4.48)*LOOKUP(F11,密度!$A$2:$A$50,密度!$B$2:$B$50)</f>
        <v>6.1179518399999999</v>
      </c>
      <c r="G10" s="62" ph="1">
        <f>((G9*5885)*4.48)*LOOKUP(G11,密度!$A$2:$A$50,密度!$B$2:$B$50)</f>
        <v>20.393172800000002</v>
      </c>
      <c r="H10" s="62" ph="1">
        <f>IF(H9&lt;=0,0,IF(H9&lt;=745,PI()*(5.3235*(H9/1000)^2-(4/3)*(H9/1000)^3),7.55+15.2053*((H9-745)/1000))*LOOKUP(H11,密度!$A$2:$A$50,密度!$B$2:$B$50)*1000)</f>
        <v>16795.828244229997</v>
      </c>
      <c r="I10" s="62" ph="1">
        <f>IF(I9&lt;=0,0,IF(I9&lt;=745,PI()*(5.3235*(I9/1000)^2-(4/3)*(I9/1000)^3),7.55+15.2053*((I9-745)/1000))*LOOKUP(I11,密度!$A$2:$A$50,密度!$B$2:$B$50)*1000)</f>
        <v>23727.818077129999</v>
      </c>
      <c r="J10" s="62" ph="1">
        <f>IF(J9&lt;=0,0,IF(J9&lt;=745,PI()*(5.3235*(J9/1000)^2-(4/3)*(J9/1000)^3),7.55+15.2053*((J9-745)/1000))*LOOKUP(J11,密度!$A$2:$A$50,密度!$B$2:$B$50)*1000)</f>
        <v>32279.326388400001</v>
      </c>
      <c r="K10" s="62" ph="1">
        <f>IF(K9&lt;=0,0,IF(K9&lt;=745,PI()*(5.3235*(K9/1000)^2-(4/3)*(K9/1000)^3),7.55+15.2053*((K9-745)/1000))*LOOKUP(K11,密度!$A$2:$A$50,密度!$B$2:$B$50)*1000)</f>
        <v>66834.02446629999</v>
      </c>
      <c r="L10" s="62" ph="1">
        <f>L9*26.42*LOOKUP(L11,密度!$A$2:$A$50,密度!$B$2:$B$50)</f>
        <v>117062.77959000001</v>
      </c>
      <c r="M10" s="62" ph="1">
        <f>M9*26.42*1</f>
        <v>42773.98</v>
      </c>
      <c r="N10" s="62" ph="1">
        <f>N9*18.32*LOOKUP(N11,密度!$A$2:$A$50,密度!$B$2:$B$50)</f>
        <v>27782.038175999998</v>
      </c>
      <c r="O10" s="62" ph="1">
        <f>O9*81.71*LOOKUP(O11,密度!$A$2:$A$50,密度!$B$2:$B$50)</f>
        <v>184197.08806399998</v>
      </c>
      <c r="P10" s="62" ph="1">
        <f>P9*81.71*LOOKUP(P11,密度!$A$2:$A$50,密度!$B$2:$B$50)</f>
        <v>232160.465856</v>
      </c>
      <c r="Q10" s="294"/>
      <c r="R10" s="295"/>
      <c r="S10" s="295"/>
      <c r="T10" s="295"/>
      <c r="U10" s="296"/>
    </row>
    <row r="11" spans="1:43" ht="25.95" customHeight="1" ph="1">
      <c r="A11" s="53" t="s" ph="1">
        <v>40</v>
      </c>
      <c r="B11" s="284" ph="1"/>
      <c r="C11" s="180" t="s" ph="1">
        <v>44</v>
      </c>
      <c r="D11" s="149">
        <v>32</v>
      </c>
      <c r="E11" s="149">
        <v>35</v>
      </c>
      <c r="F11" s="149">
        <v>32</v>
      </c>
      <c r="G11" s="149">
        <v>32</v>
      </c>
      <c r="H11" s="149">
        <v>33</v>
      </c>
      <c r="I11" s="149">
        <v>33</v>
      </c>
      <c r="J11" s="149">
        <v>32</v>
      </c>
      <c r="K11" s="149">
        <v>32</v>
      </c>
      <c r="L11" s="149">
        <v>30</v>
      </c>
      <c r="M11" s="149">
        <v>31</v>
      </c>
      <c r="N11" s="149">
        <v>30</v>
      </c>
      <c r="O11" s="149">
        <v>31</v>
      </c>
      <c r="P11" s="149">
        <v>31</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80" t="s" ph="1">
        <v>1</v>
      </c>
      <c r="F14" s="88" t="s" ph="1">
        <v>28</v>
      </c>
      <c r="G14" s="86" t="s" ph="1">
        <v>0</v>
      </c>
      <c r="H14" s="180" t="s" ph="1">
        <v>1</v>
      </c>
      <c r="I14" s="181" t="s" ph="1">
        <v>28</v>
      </c>
      <c r="J14" s="86" t="s" ph="1">
        <v>0</v>
      </c>
      <c r="K14" s="180" t="s" ph="1">
        <v>1</v>
      </c>
      <c r="L14" s="181" t="s" ph="1">
        <v>28</v>
      </c>
      <c r="M14" s="86" t="s" ph="1">
        <v>0</v>
      </c>
      <c r="N14" s="180" t="s" ph="1">
        <v>1</v>
      </c>
      <c r="O14" s="181" t="s" ph="1">
        <v>28</v>
      </c>
      <c r="P14" s="86" t="s" ph="1">
        <v>0</v>
      </c>
      <c r="Q14" s="87" t="s" ph="1">
        <v>1</v>
      </c>
      <c r="R14" s="88" t="s" ph="1">
        <v>28</v>
      </c>
      <c r="S14" s="86" t="s" ph="1">
        <v>0</v>
      </c>
      <c r="T14" s="180" t="s" ph="1">
        <v>1</v>
      </c>
      <c r="U14" s="88" t="s" ph="1">
        <v>28</v>
      </c>
    </row>
    <row r="15" spans="1:43" ph="1">
      <c r="A15" s="53"/>
      <c r="B15" s="300" t="s" ph="1">
        <v>46</v>
      </c>
      <c r="C15" s="301" ph="1"/>
      <c r="D15" s="241" ph="1">
        <f>O10+P10</f>
        <v>416357.55391999998</v>
      </c>
      <c r="E15" s="233" ph="1">
        <f>H10+I10+J10+K10</f>
        <v>139636.99717605999</v>
      </c>
      <c r="F15" s="257" ph="1">
        <f>L10+N10</f>
        <v>144844.81776599999</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82" ph="1"/>
      <c r="P18" s="90" ph="1"/>
      <c r="Q18" s="182" t="s" ph="1">
        <v>50</v>
      </c>
      <c r="R18" s="218" t="s" ph="1">
        <v>176</v>
      </c>
      <c r="S18" s="218" ph="1"/>
    </row>
    <row r="19" spans="1:21" s="182"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1299" priority="72">
      <formula>ABS(D$7-D$10)&gt;=1000</formula>
    </cfRule>
  </conditionalFormatting>
  <conditionalFormatting sqref="E4">
    <cfRule type="expression" dxfId="1298" priority="71">
      <formula>ABS(E$7-E$10)&gt;=1000</formula>
    </cfRule>
  </conditionalFormatting>
  <conditionalFormatting sqref="F4">
    <cfRule type="expression" dxfId="1297" priority="70">
      <formula>ABS(F$7-F$10)&gt;=1000</formula>
    </cfRule>
  </conditionalFormatting>
  <conditionalFormatting sqref="G4">
    <cfRule type="expression" dxfId="1296" priority="69">
      <formula>ABS(G$7-G$10)&gt;=1000</formula>
    </cfRule>
  </conditionalFormatting>
  <conditionalFormatting sqref="H4:K4">
    <cfRule type="expression" dxfId="1295" priority="68">
      <formula>ABS(H$7-H$10)&gt;=1000</formula>
    </cfRule>
  </conditionalFormatting>
  <conditionalFormatting sqref="I8">
    <cfRule type="expression" dxfId="1294" priority="67">
      <formula>ABS(I$7-I$10)&gt;=1000</formula>
    </cfRule>
  </conditionalFormatting>
  <conditionalFormatting sqref="L4:L5 M4:N4">
    <cfRule type="expression" dxfId="1293" priority="66">
      <formula>ABS(L$7-L$10)&gt;=1000</formula>
    </cfRule>
  </conditionalFormatting>
  <conditionalFormatting sqref="M5">
    <cfRule type="expression" dxfId="1292" priority="65">
      <formula>ABS(M$7-M$10)&gt;=1000</formula>
    </cfRule>
  </conditionalFormatting>
  <conditionalFormatting sqref="N5">
    <cfRule type="expression" dxfId="1291" priority="64">
      <formula>ABS(N$7-N$10)&gt;=1000</formula>
    </cfRule>
  </conditionalFormatting>
  <conditionalFormatting sqref="D5">
    <cfRule type="expression" dxfId="1290" priority="63">
      <formula>ABS(D$7-D$10)&gt;=1000</formula>
    </cfRule>
  </conditionalFormatting>
  <conditionalFormatting sqref="E5:G5">
    <cfRule type="expression" dxfId="1289" priority="62">
      <formula>ABS(E$7-E$10)&gt;=1000</formula>
    </cfRule>
  </conditionalFormatting>
  <conditionalFormatting sqref="H5">
    <cfRule type="expression" dxfId="1288" priority="61">
      <formula>ABS(H$7-H$10)&gt;=1000</formula>
    </cfRule>
  </conditionalFormatting>
  <conditionalFormatting sqref="O4:P4">
    <cfRule type="expression" dxfId="1287" priority="60">
      <formula>ABS(O$7-O$10)&gt;=1000</formula>
    </cfRule>
  </conditionalFormatting>
  <conditionalFormatting sqref="O5">
    <cfRule type="expression" dxfId="1286" priority="59">
      <formula>ABS(O$7-O$10)&gt;=1000</formula>
    </cfRule>
  </conditionalFormatting>
  <conditionalFormatting sqref="I6">
    <cfRule type="expression" dxfId="1285" priority="58">
      <formula>ABS(I$7-I$10)&gt;=1000</formula>
    </cfRule>
  </conditionalFormatting>
  <conditionalFormatting sqref="P5">
    <cfRule type="expression" dxfId="1284" priority="57">
      <formula>ABS(P$7-P$10)&gt;=1000</formula>
    </cfRule>
  </conditionalFormatting>
  <conditionalFormatting sqref="I5">
    <cfRule type="expression" dxfId="1283" priority="56">
      <formula>ABS(I$7-I$10)&gt;=1000</formula>
    </cfRule>
  </conditionalFormatting>
  <conditionalFormatting sqref="D6 D8">
    <cfRule type="expression" dxfId="1282" priority="55">
      <formula>ABS(D$7-D$10)&gt;=1000</formula>
    </cfRule>
  </conditionalFormatting>
  <conditionalFormatting sqref="E6 E8">
    <cfRule type="expression" dxfId="1281" priority="54">
      <formula>ABS(E$7-E$10)&gt;=1000</formula>
    </cfRule>
  </conditionalFormatting>
  <conditionalFormatting sqref="F6 F8">
    <cfRule type="expression" dxfId="1280" priority="53">
      <formula>ABS(F$7-F$10)&gt;=1000</formula>
    </cfRule>
  </conditionalFormatting>
  <conditionalFormatting sqref="G6 G8">
    <cfRule type="expression" dxfId="1279" priority="52">
      <formula>ABS(G$7-G$10)&gt;=1000</formula>
    </cfRule>
  </conditionalFormatting>
  <conditionalFormatting sqref="H8">
    <cfRule type="expression" dxfId="1278" priority="51">
      <formula>ABS(H$7-H$10)&gt;=1000</formula>
    </cfRule>
  </conditionalFormatting>
  <conditionalFormatting sqref="H6">
    <cfRule type="expression" dxfId="1277" priority="50">
      <formula>ABS(H$7-H$10)&gt;=1000</formula>
    </cfRule>
  </conditionalFormatting>
  <conditionalFormatting sqref="J8">
    <cfRule type="expression" dxfId="1276" priority="49">
      <formula>ABS(J$7-J$10)&gt;=1000</formula>
    </cfRule>
  </conditionalFormatting>
  <conditionalFormatting sqref="K8">
    <cfRule type="expression" dxfId="1275" priority="48">
      <formula>ABS(K$7-K$10)&gt;=1000</formula>
    </cfRule>
  </conditionalFormatting>
  <conditionalFormatting sqref="L8">
    <cfRule type="expression" dxfId="1274" priority="47">
      <formula>ABS(L$7-L$10)&gt;=1000</formula>
    </cfRule>
  </conditionalFormatting>
  <conditionalFormatting sqref="M8">
    <cfRule type="expression" dxfId="1273" priority="46">
      <formula>ABS(M$7-M$10)&gt;=1000</formula>
    </cfRule>
  </conditionalFormatting>
  <conditionalFormatting sqref="N8">
    <cfRule type="expression" dxfId="1272" priority="45">
      <formula>ABS(N$7-N$10)&gt;=1000</formula>
    </cfRule>
  </conditionalFormatting>
  <conditionalFormatting sqref="O8">
    <cfRule type="expression" dxfId="1271" priority="44">
      <formula>ABS(O$7-O$10)&gt;=1000</formula>
    </cfRule>
  </conditionalFormatting>
  <conditionalFormatting sqref="P8">
    <cfRule type="expression" dxfId="1270" priority="43">
      <formula>ABS(P$7-P$10)&gt;=1000</formula>
    </cfRule>
  </conditionalFormatting>
  <conditionalFormatting sqref="J6">
    <cfRule type="expression" dxfId="1269" priority="42">
      <formula>ABS(J$7-J$10)&gt;=1000</formula>
    </cfRule>
  </conditionalFormatting>
  <conditionalFormatting sqref="K6">
    <cfRule type="expression" dxfId="1268" priority="41">
      <formula>ABS(K$7-K$10)&gt;=1000</formula>
    </cfRule>
  </conditionalFormatting>
  <conditionalFormatting sqref="L6">
    <cfRule type="expression" dxfId="1267" priority="40">
      <formula>ABS(L$7-L$10)&gt;=1000</formula>
    </cfRule>
  </conditionalFormatting>
  <conditionalFormatting sqref="M6">
    <cfRule type="expression" dxfId="1266" priority="39">
      <formula>ABS(M$7-M$10)&gt;=1000</formula>
    </cfRule>
  </conditionalFormatting>
  <conditionalFormatting sqref="N6">
    <cfRule type="expression" dxfId="1265" priority="38">
      <formula>ABS(N$7-N$10)&gt;=1000</formula>
    </cfRule>
  </conditionalFormatting>
  <conditionalFormatting sqref="O6">
    <cfRule type="expression" dxfId="1264" priority="37">
      <formula>ABS(O$7-O$10)&gt;=1000</formula>
    </cfRule>
  </conditionalFormatting>
  <conditionalFormatting sqref="P6">
    <cfRule type="expression" dxfId="1263" priority="36">
      <formula>ABS(P$7-P$10)&gt;=1000</formula>
    </cfRule>
  </conditionalFormatting>
  <conditionalFormatting sqref="L7">
    <cfRule type="expression" dxfId="1262" priority="35">
      <formula>ABS(L$7-L$10)&gt;=1000</formula>
    </cfRule>
  </conditionalFormatting>
  <conditionalFormatting sqref="M7">
    <cfRule type="expression" dxfId="1261" priority="34">
      <formula>ABS(M$7-M$10)&gt;=1000</formula>
    </cfRule>
  </conditionalFormatting>
  <conditionalFormatting sqref="O7:P7">
    <cfRule type="expression" dxfId="1260" priority="33">
      <formula>ABS(O$7-O$10)&gt;=1000</formula>
    </cfRule>
  </conditionalFormatting>
  <conditionalFormatting sqref="N7">
    <cfRule type="expression" dxfId="1259" priority="32">
      <formula>ABS(N$7-N$10)&gt;=1000</formula>
    </cfRule>
  </conditionalFormatting>
  <conditionalFormatting sqref="H7:K7">
    <cfRule type="expression" dxfId="1258" priority="31">
      <formula>ABS(H$7-H$10)&gt;=1000</formula>
    </cfRule>
  </conditionalFormatting>
  <conditionalFormatting sqref="D7:G7">
    <cfRule type="expression" dxfId="1257" priority="30">
      <formula>ABS(D$7-D$10)&gt;=1000</formula>
    </cfRule>
  </conditionalFormatting>
  <conditionalFormatting sqref="J5:K5">
    <cfRule type="expression" dxfId="1256" priority="29">
      <formula>ABS(J$7-J$10)&gt;=1000</formula>
    </cfRule>
  </conditionalFormatting>
  <conditionalFormatting sqref="D9 D11">
    <cfRule type="expression" dxfId="1255" priority="28">
      <formula>ABS(D$7-D$10)&gt;=1000</formula>
    </cfRule>
  </conditionalFormatting>
  <conditionalFormatting sqref="E9 E11">
    <cfRule type="expression" dxfId="1254" priority="27">
      <formula>ABS(E$7-E$10)&gt;=1000</formula>
    </cfRule>
  </conditionalFormatting>
  <conditionalFormatting sqref="F9 F11">
    <cfRule type="expression" dxfId="1253" priority="26">
      <formula>ABS(F$7-F$10)&gt;=1000</formula>
    </cfRule>
  </conditionalFormatting>
  <conditionalFormatting sqref="G9 G11">
    <cfRule type="expression" dxfId="1252" priority="25">
      <formula>ABS(G$7-G$10)&gt;=1000</formula>
    </cfRule>
  </conditionalFormatting>
  <conditionalFormatting sqref="H11">
    <cfRule type="expression" dxfId="1251" priority="24">
      <formula>ABS(H$7-H$10)&gt;=1000</formula>
    </cfRule>
  </conditionalFormatting>
  <conditionalFormatting sqref="I11">
    <cfRule type="expression" dxfId="1250" priority="23">
      <formula>ABS(I$7-I$10)&gt;=1000</formula>
    </cfRule>
  </conditionalFormatting>
  <conditionalFormatting sqref="J11">
    <cfRule type="expression" dxfId="1249" priority="22">
      <formula>ABS(J$7-J$10)&gt;=1000</formula>
    </cfRule>
  </conditionalFormatting>
  <conditionalFormatting sqref="K11">
    <cfRule type="expression" dxfId="1248" priority="21">
      <formula>ABS(K$7-K$10)&gt;=1000</formula>
    </cfRule>
  </conditionalFormatting>
  <conditionalFormatting sqref="L11">
    <cfRule type="expression" dxfId="1247" priority="20">
      <formula>ABS(L$7-L$10)&gt;=1000</formula>
    </cfRule>
  </conditionalFormatting>
  <conditionalFormatting sqref="M11">
    <cfRule type="expression" dxfId="1246" priority="19">
      <formula>ABS(M$7-M$10)&gt;=1000</formula>
    </cfRule>
  </conditionalFormatting>
  <conditionalFormatting sqref="N11">
    <cfRule type="expression" dxfId="1245" priority="18">
      <formula>ABS(N$7-N$10)&gt;=1000</formula>
    </cfRule>
  </conditionalFormatting>
  <conditionalFormatting sqref="O11">
    <cfRule type="expression" dxfId="1244" priority="17">
      <formula>ABS(O$7-O$10)&gt;=1000</formula>
    </cfRule>
  </conditionalFormatting>
  <conditionalFormatting sqref="P11">
    <cfRule type="expression" dxfId="1243" priority="16">
      <formula>ABS(P$7-P$10)&gt;=1000</formula>
    </cfRule>
  </conditionalFormatting>
  <conditionalFormatting sqref="H9">
    <cfRule type="expression" dxfId="1242" priority="15">
      <formula>ABS(H$7-H$10)&gt;=1000</formula>
    </cfRule>
  </conditionalFormatting>
  <conditionalFormatting sqref="J9">
    <cfRule type="expression" dxfId="1241" priority="14">
      <formula>ABS(J$7-J$10)&gt;=1000</formula>
    </cfRule>
  </conditionalFormatting>
  <conditionalFormatting sqref="K9">
    <cfRule type="expression" dxfId="1240" priority="13">
      <formula>ABS(K$7-K$10)&gt;=1000</formula>
    </cfRule>
  </conditionalFormatting>
  <conditionalFormatting sqref="L9">
    <cfRule type="expression" dxfId="1239" priority="12">
      <formula>ABS(L$7-L$10)&gt;=1000</formula>
    </cfRule>
  </conditionalFormatting>
  <conditionalFormatting sqref="M9">
    <cfRule type="expression" dxfId="1238" priority="11">
      <formula>ABS(M$7-M$10)&gt;=1000</formula>
    </cfRule>
  </conditionalFormatting>
  <conditionalFormatting sqref="N9">
    <cfRule type="expression" dxfId="1237" priority="10">
      <formula>ABS(N$7-N$10)&gt;=1000</formula>
    </cfRule>
  </conditionalFormatting>
  <conditionalFormatting sqref="O9">
    <cfRule type="expression" dxfId="1236" priority="9">
      <formula>ABS(O$7-O$10)&gt;=1000</formula>
    </cfRule>
  </conditionalFormatting>
  <conditionalFormatting sqref="P9">
    <cfRule type="expression" dxfId="1235" priority="8">
      <formula>ABS(P$7-P$10)&gt;=1000</formula>
    </cfRule>
  </conditionalFormatting>
  <conditionalFormatting sqref="I9">
    <cfRule type="expression" dxfId="1234" priority="7">
      <formula>ABS(I$7-I$10)&gt;=1000</formula>
    </cfRule>
  </conditionalFormatting>
  <conditionalFormatting sqref="L10">
    <cfRule type="expression" dxfId="1233" priority="6">
      <formula>ABS(L$7-L$10)&gt;=1000</formula>
    </cfRule>
  </conditionalFormatting>
  <conditionalFormatting sqref="M10">
    <cfRule type="expression" dxfId="1232" priority="5">
      <formula>ABS(M$7-M$10)&gt;=1000</formula>
    </cfRule>
  </conditionalFormatting>
  <conditionalFormatting sqref="O10:P10">
    <cfRule type="expression" dxfId="1231" priority="4">
      <formula>ABS(O$7-O$10)&gt;=1000</formula>
    </cfRule>
  </conditionalFormatting>
  <conditionalFormatting sqref="N10">
    <cfRule type="expression" dxfId="1230" priority="3">
      <formula>ABS(N$7-N$10)&gt;=1000</formula>
    </cfRule>
  </conditionalFormatting>
  <conditionalFormatting sqref="H10:K10">
    <cfRule type="expression" dxfId="1229" priority="2">
      <formula>ABS(H$7-H$10)&gt;=1000</formula>
    </cfRule>
  </conditionalFormatting>
  <conditionalFormatting sqref="D10:G10">
    <cfRule type="expression" dxfId="1228" priority="1">
      <formula>ABS(D$7-D$10)&gt;=1000</formula>
    </cfRule>
  </conditionalFormatting>
  <conditionalFormatting sqref="I12">
    <cfRule type="expression" dxfId="1227" priority="73">
      <formula>ABS(#REF!-#REF!)&gt;=1000</formula>
    </cfRule>
  </conditionalFormatting>
  <conditionalFormatting sqref="D6">
    <cfRule type="expression" dxfId="1226" priority="82" stopIfTrue="1">
      <formula>MOD(ROUND($D$6*100,2),1)=0</formula>
    </cfRule>
  </conditionalFormatting>
  <conditionalFormatting sqref="E6">
    <cfRule type="expression" dxfId="1225" priority="83" stopIfTrue="1">
      <formula>MOD(ROUND($E$6*100,2),1)=0</formula>
    </cfRule>
  </conditionalFormatting>
  <conditionalFormatting sqref="F6">
    <cfRule type="expression" dxfId="1224" priority="84" stopIfTrue="1">
      <formula>MOD(ROUND($F$6*100,2),1)=0</formula>
    </cfRule>
  </conditionalFormatting>
  <conditionalFormatting sqref="G6">
    <cfRule type="expression" dxfId="1223" priority="85" stopIfTrue="1">
      <formula>MOD(ROUND($G$6*100,2),1)=0</formula>
    </cfRule>
  </conditionalFormatting>
  <conditionalFormatting sqref="D9">
    <cfRule type="expression" dxfId="1222" priority="86" stopIfTrue="1">
      <formula>MOD(ROUND($D$9*100,2),1)=0</formula>
    </cfRule>
  </conditionalFormatting>
  <conditionalFormatting sqref="E9">
    <cfRule type="expression" dxfId="1221" priority="87" stopIfTrue="1">
      <formula>MOD(ROUND($E$9*100,2),1)=0</formula>
    </cfRule>
  </conditionalFormatting>
  <conditionalFormatting sqref="F9">
    <cfRule type="expression" dxfId="1220" priority="88" stopIfTrue="1">
      <formula>MOD(ROUND($F$9*100,2),1)=0</formula>
    </cfRule>
  </conditionalFormatting>
  <conditionalFormatting sqref="G9">
    <cfRule type="expression" dxfId="1219"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30017"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30017" r:id="rId4"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8">
    <pageSetUpPr fitToPage="1"/>
  </sheetPr>
  <dimension ref="A1:AQ205"/>
  <sheetViews>
    <sheetView view="pageBreakPreview" zoomScaleNormal="100" zoomScaleSheetLayoutView="100" workbookViewId="0">
      <selection activeCell="W4" sqref="W4"/>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46245</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85" t="s" ph="1">
        <v>42</v>
      </c>
      <c r="D6" s="151">
        <v>0.90910000000000002</v>
      </c>
      <c r="E6" s="151">
        <v>8.14E-2</v>
      </c>
      <c r="F6" s="151">
        <v>5.0000000000000001E-4</v>
      </c>
      <c r="G6" s="151">
        <v>1E-3</v>
      </c>
      <c r="H6" s="150">
        <v>2607</v>
      </c>
      <c r="I6" s="150">
        <v>2264</v>
      </c>
      <c r="J6" s="150">
        <v>2944</v>
      </c>
      <c r="K6" s="150">
        <v>5928</v>
      </c>
      <c r="L6" s="150">
        <v>5747</v>
      </c>
      <c r="M6" s="150">
        <v>1618</v>
      </c>
      <c r="N6" s="150">
        <v>2147</v>
      </c>
      <c r="O6" s="150">
        <v>2554</v>
      </c>
      <c r="P6" s="150">
        <v>3658</v>
      </c>
      <c r="Q6" s="294"/>
      <c r="R6" s="295"/>
      <c r="S6" s="295"/>
      <c r="T6" s="295"/>
      <c r="U6" s="296"/>
    </row>
    <row r="7" spans="1:43" s="61" customFormat="1" ht="25.95" customHeight="1" ph="1">
      <c r="B7" s="284" ph="1"/>
      <c r="C7" s="57" t="s" ph="1">
        <v>43</v>
      </c>
      <c r="D7" s="62" ph="1">
        <f>((D6*5885)*4.48)*LOOKUP(D8,密度!$A$2:$A$50,密度!$B$2:$B$50)</f>
        <v>18520.258800736003</v>
      </c>
      <c r="E7" s="62" ph="1">
        <f>((E6*5885)*4.48)*LOOKUP(E8,密度!$A$2:$A$50,密度!$B$2:$B$50)</f>
        <v>1660.0042659199999</v>
      </c>
      <c r="F7" s="62" ph="1">
        <f>((F6*5885)*4.48)*LOOKUP(F8,密度!$A$2:$A$50,密度!$B$2:$B$50)</f>
        <v>10.232178880000001</v>
      </c>
      <c r="G7" s="62" ph="1">
        <f>((G6*5885)*4.48)*LOOKUP(G8,密度!$A$2:$A$50,密度!$B$2:$B$50)</f>
        <v>20.464357760000002</v>
      </c>
      <c r="H7" s="62" ph="1">
        <f>IF(H6&lt;=0,0,IF(H6&lt;=745,PI()*(5.3235*(H6/1000)^2-(4/3)*(H6/1000)^3),7.55+15.2053*((H6-745)/1000))*LOOKUP(H8,密度!$A$2:$A$50,密度!$B$2:$B$50)*1000)</f>
        <v>27710.774947220001</v>
      </c>
      <c r="I7" s="62" ph="1">
        <f>IF(I6&lt;=0,0,IF(I6&lt;=745,PI()*(5.3235*(I6/1000)^2-(4/3)*(I6/1000)^3),7.55+15.2053*((I6-745)/1000))*LOOKUP(I8,密度!$A$2:$A$50,密度!$B$2:$B$50)*1000)</f>
        <v>23705.339016449998</v>
      </c>
      <c r="J7" s="62" ph="1">
        <f>IF(J6&lt;=0,0,IF(J6&lt;=745,PI()*(5.3235*(J6/1000)^2-(4/3)*(J6/1000)^3),7.55+15.2053*((J6-745)/1000))*LOOKUP(J8,密度!$A$2:$A$50,密度!$B$2:$B$50)*1000)</f>
        <v>31739.910519679994</v>
      </c>
      <c r="K7" s="62" ph="1">
        <f>IF(K6&lt;=0,0,IF(K6&lt;=745,PI()*(5.3235*(K6/1000)^2-(4/3)*(K6/1000)^3),7.55+15.2053*((K6-745)/1000))*LOOKUP(K8,密度!$A$2:$A$50,密度!$B$2:$B$50)*1000)</f>
        <v>66876.46373055999</v>
      </c>
      <c r="L7" s="62" ph="1">
        <f>L6*26.42*LOOKUP(L8,密度!$A$2:$A$50,密度!$B$2:$B$50)</f>
        <v>117718.24922200001</v>
      </c>
      <c r="M7" s="62" ph="1">
        <f>M6*26.42*1</f>
        <v>42747.560000000005</v>
      </c>
      <c r="N7" s="62" ph="1">
        <f>N6*18.32*LOOKUP(N8,密度!$A$2:$A$50,密度!$B$2:$B$50)</f>
        <v>30494.905912000002</v>
      </c>
      <c r="O7" s="62" ph="1">
        <f>O6*81.71*LOOKUP(O8,密度!$A$2:$A$50,密度!$B$2:$B$50)</f>
        <v>161607.476096</v>
      </c>
      <c r="P7" s="62" ph="1">
        <f>P6*81.71*LOOKUP(P8,密度!$A$2:$A$50,密度!$B$2:$B$50)</f>
        <v>231733.43305399999</v>
      </c>
      <c r="Q7" s="294"/>
      <c r="R7" s="295"/>
      <c r="S7" s="295"/>
      <c r="T7" s="295"/>
      <c r="U7" s="296"/>
    </row>
    <row r="8" spans="1:43" ht="25.95" customHeight="1" ph="1">
      <c r="B8" s="284" ph="1"/>
      <c r="C8" s="57" t="s" ph="1">
        <v>44</v>
      </c>
      <c r="D8" s="149">
        <v>33</v>
      </c>
      <c r="E8" s="149">
        <v>32</v>
      </c>
      <c r="F8" s="149">
        <v>29</v>
      </c>
      <c r="G8" s="149">
        <v>29</v>
      </c>
      <c r="H8" s="149">
        <v>33</v>
      </c>
      <c r="I8" s="149">
        <v>32</v>
      </c>
      <c r="J8" s="149">
        <v>31</v>
      </c>
      <c r="K8" s="149">
        <v>31</v>
      </c>
      <c r="L8" s="149">
        <v>30</v>
      </c>
      <c r="M8" s="149">
        <v>31</v>
      </c>
      <c r="N8" s="149">
        <v>30</v>
      </c>
      <c r="O8" s="149">
        <v>31</v>
      </c>
      <c r="P8" s="149">
        <v>30</v>
      </c>
      <c r="Q8" s="294"/>
      <c r="R8" s="295"/>
      <c r="S8" s="295"/>
      <c r="T8" s="295"/>
      <c r="U8" s="296"/>
    </row>
    <row r="9" spans="1:43" ht="25.95" customHeight="1" ph="1">
      <c r="B9" s="284" ph="1">
        <v>0.66666666666666663</v>
      </c>
      <c r="C9" s="185" t="s" ph="1">
        <v>45</v>
      </c>
      <c r="D9" s="151">
        <v>0</v>
      </c>
      <c r="E9" s="151">
        <v>0.41509999999999997</v>
      </c>
      <c r="F9" s="151">
        <v>7.9899999999999999E-2</v>
      </c>
      <c r="G9" s="151">
        <v>8.9999999999999998E-4</v>
      </c>
      <c r="H9" s="150">
        <v>2147</v>
      </c>
      <c r="I9" s="150">
        <v>1912</v>
      </c>
      <c r="J9" s="150">
        <v>256</v>
      </c>
      <c r="K9" s="150">
        <v>5936</v>
      </c>
      <c r="L9" s="150">
        <v>5747</v>
      </c>
      <c r="M9" s="150">
        <v>1617</v>
      </c>
      <c r="N9" s="150">
        <v>2210</v>
      </c>
      <c r="O9" s="150">
        <v>2425</v>
      </c>
      <c r="P9" s="150">
        <v>4004</v>
      </c>
      <c r="Q9" s="294"/>
      <c r="R9" s="295"/>
      <c r="S9" s="295"/>
      <c r="T9" s="295"/>
      <c r="U9" s="296"/>
    </row>
    <row r="10" spans="1:43" s="61" customFormat="1" ht="25.95" customHeight="1" ph="1">
      <c r="B10" s="284" ph="1"/>
      <c r="C10" s="185" t="s" ph="1">
        <v>43</v>
      </c>
      <c r="D10" s="62" ph="1">
        <f>((D9*5885)*4.48)*LOOKUP(D11,密度!$A$2:$A$50,密度!$B$2:$B$50)</f>
        <v>0</v>
      </c>
      <c r="E10" s="62" ph="1">
        <f>((E9*5885)*4.48)*LOOKUP(E11,密度!$A$2:$A$50,密度!$B$2:$B$50)</f>
        <v>8426.9019296000006</v>
      </c>
      <c r="F10" s="62" ph="1">
        <f>((F9*5885)*4.48)*LOOKUP(F11,密度!$A$2:$A$50,密度!$B$2:$B$50)</f>
        <v>1627.7292687040001</v>
      </c>
      <c r="G10" s="62" ph="1">
        <f>((G9*5885)*4.48)*LOOKUP(G11,密度!$A$2:$A$50,密度!$B$2:$B$50)</f>
        <v>18.334872864000005</v>
      </c>
      <c r="H10" s="62" ph="1">
        <f>IF(H9&lt;=0,0,IF(H9&lt;=745,PI()*(5.3235*(H9/1000)^2-(4/3)*(H9/1000)^3),7.55+15.2053*((H9-745)/1000))*LOOKUP(H11,密度!$A$2:$A$50,密度!$B$2:$B$50)*1000)</f>
        <v>22280.191657079999</v>
      </c>
      <c r="I10" s="62" ph="1">
        <f>IF(I9&lt;=0,0,IF(I9&lt;=745,PI()*(5.3235*(I9/1000)^2-(4/3)*(I9/1000)^3),7.55+15.2053*((I9-745)/1000))*LOOKUP(I11,密度!$A$2:$A$50,密度!$B$2:$B$50)*1000)</f>
        <v>19522.360780180003</v>
      </c>
      <c r="J10" s="62" ph="1">
        <f>IF(J9&lt;=0,0,IF(J9&lt;=745,PI()*(5.3235*(J9/1000)^2-(4/3)*(J9/1000)^3),7.55+15.2053*((J9-745)/1000))*LOOKUP(J11,密度!$A$2:$A$50,密度!$B$2:$B$50)*1000)</f>
        <v>792.60894143029918</v>
      </c>
      <c r="K10" s="62" ph="1">
        <f>IF(K9&lt;=0,0,IF(K9&lt;=745,PI()*(5.3235*(K9/1000)^2-(4/3)*(K9/1000)^3),7.55+15.2053*((K9-745)/1000))*LOOKUP(K11,密度!$A$2:$A$50,密度!$B$2:$B$50)*1000)</f>
        <v>66823.646394209994</v>
      </c>
      <c r="L10" s="62" ph="1">
        <f>L9*26.42*LOOKUP(L11,密度!$A$2:$A$50,密度!$B$2:$B$50)</f>
        <v>117718.24922200001</v>
      </c>
      <c r="M10" s="62" ph="1">
        <f>M9*26.42*1</f>
        <v>42721.14</v>
      </c>
      <c r="N10" s="62" ph="1">
        <f>N9*18.32*LOOKUP(N11,密度!$A$2:$A$50,密度!$B$2:$B$50)</f>
        <v>31389.726159999998</v>
      </c>
      <c r="O10" s="62" ph="1">
        <f>O9*81.71*LOOKUP(O11,密度!$A$2:$A$50,密度!$B$2:$B$50)</f>
        <v>153444.84319999997</v>
      </c>
      <c r="P10" s="62" ph="1">
        <f>P9*81.71*LOOKUP(P11,密度!$A$2:$A$50,密度!$B$2:$B$50)</f>
        <v>253063.55073999998</v>
      </c>
      <c r="Q10" s="294"/>
      <c r="R10" s="295"/>
      <c r="S10" s="295"/>
      <c r="T10" s="295"/>
      <c r="U10" s="296"/>
    </row>
    <row r="11" spans="1:43" ht="25.95" customHeight="1" ph="1">
      <c r="A11" s="53" t="s" ph="1">
        <v>40</v>
      </c>
      <c r="B11" s="284" ph="1"/>
      <c r="C11" s="185" t="s" ph="1">
        <v>44</v>
      </c>
      <c r="D11" s="149">
        <v>33</v>
      </c>
      <c r="E11" s="149">
        <v>36</v>
      </c>
      <c r="F11" s="149">
        <v>33</v>
      </c>
      <c r="G11" s="149">
        <v>33</v>
      </c>
      <c r="H11" s="149">
        <v>34</v>
      </c>
      <c r="I11" s="149">
        <v>34</v>
      </c>
      <c r="J11" s="149">
        <v>33</v>
      </c>
      <c r="K11" s="149">
        <v>33</v>
      </c>
      <c r="L11" s="149">
        <v>30</v>
      </c>
      <c r="M11" s="149">
        <v>30</v>
      </c>
      <c r="N11" s="149">
        <v>30</v>
      </c>
      <c r="O11" s="149">
        <v>31</v>
      </c>
      <c r="P11" s="149">
        <v>32</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85" t="s" ph="1">
        <v>1</v>
      </c>
      <c r="F14" s="88" t="s" ph="1">
        <v>28</v>
      </c>
      <c r="G14" s="86" t="s" ph="1">
        <v>0</v>
      </c>
      <c r="H14" s="185" t="s" ph="1">
        <v>1</v>
      </c>
      <c r="I14" s="184" t="s" ph="1">
        <v>28</v>
      </c>
      <c r="J14" s="86" t="s" ph="1">
        <v>0</v>
      </c>
      <c r="K14" s="185" t="s" ph="1">
        <v>1</v>
      </c>
      <c r="L14" s="184" t="s" ph="1">
        <v>28</v>
      </c>
      <c r="M14" s="86" t="s" ph="1">
        <v>0</v>
      </c>
      <c r="N14" s="185" t="s" ph="1">
        <v>1</v>
      </c>
      <c r="O14" s="184" t="s" ph="1">
        <v>28</v>
      </c>
      <c r="P14" s="86" t="s" ph="1">
        <v>0</v>
      </c>
      <c r="Q14" s="87" t="s" ph="1">
        <v>1</v>
      </c>
      <c r="R14" s="88" t="s" ph="1">
        <v>28</v>
      </c>
      <c r="S14" s="86" t="s" ph="1">
        <v>0</v>
      </c>
      <c r="T14" s="185" t="s" ph="1">
        <v>1</v>
      </c>
      <c r="U14" s="88" t="s" ph="1">
        <v>28</v>
      </c>
    </row>
    <row r="15" spans="1:43" ph="1">
      <c r="A15" s="53"/>
      <c r="B15" s="300" t="s" ph="1">
        <v>46</v>
      </c>
      <c r="C15" s="301" ph="1"/>
      <c r="D15" s="241" ph="1">
        <f>O10+P10</f>
        <v>406508.39393999998</v>
      </c>
      <c r="E15" s="233" ph="1">
        <f>H10+I10+J10+K10</f>
        <v>109418.8077729003</v>
      </c>
      <c r="F15" s="257" ph="1">
        <f>L10+N10</f>
        <v>149107.975382</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83" ph="1"/>
      <c r="P18" s="90" ph="1"/>
      <c r="Q18" s="183" t="s" ph="1">
        <v>50</v>
      </c>
      <c r="R18" s="218" t="s" ph="1">
        <v>176</v>
      </c>
      <c r="S18" s="218" ph="1"/>
    </row>
    <row r="19" spans="1:21" s="183"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1218" priority="72">
      <formula>ABS(D$7-D$10)&gt;=1000</formula>
    </cfRule>
  </conditionalFormatting>
  <conditionalFormatting sqref="E4">
    <cfRule type="expression" dxfId="1217" priority="71">
      <formula>ABS(E$7-E$10)&gt;=1000</formula>
    </cfRule>
  </conditionalFormatting>
  <conditionalFormatting sqref="F4">
    <cfRule type="expression" dxfId="1216" priority="70">
      <formula>ABS(F$7-F$10)&gt;=1000</formula>
    </cfRule>
  </conditionalFormatting>
  <conditionalFormatting sqref="G4">
    <cfRule type="expression" dxfId="1215" priority="69">
      <formula>ABS(G$7-G$10)&gt;=1000</formula>
    </cfRule>
  </conditionalFormatting>
  <conditionalFormatting sqref="H4:K4">
    <cfRule type="expression" dxfId="1214" priority="68">
      <formula>ABS(H$7-H$10)&gt;=1000</formula>
    </cfRule>
  </conditionalFormatting>
  <conditionalFormatting sqref="I8">
    <cfRule type="expression" dxfId="1213" priority="67">
      <formula>ABS(I$7-I$10)&gt;=1000</formula>
    </cfRule>
  </conditionalFormatting>
  <conditionalFormatting sqref="L4:L5 M4:N4">
    <cfRule type="expression" dxfId="1212" priority="66">
      <formula>ABS(L$7-L$10)&gt;=1000</formula>
    </cfRule>
  </conditionalFormatting>
  <conditionalFormatting sqref="M5">
    <cfRule type="expression" dxfId="1211" priority="65">
      <formula>ABS(M$7-M$10)&gt;=1000</formula>
    </cfRule>
  </conditionalFormatting>
  <conditionalFormatting sqref="N5">
    <cfRule type="expression" dxfId="1210" priority="64">
      <formula>ABS(N$7-N$10)&gt;=1000</formula>
    </cfRule>
  </conditionalFormatting>
  <conditionalFormatting sqref="D5">
    <cfRule type="expression" dxfId="1209" priority="63">
      <formula>ABS(D$7-D$10)&gt;=1000</formula>
    </cfRule>
  </conditionalFormatting>
  <conditionalFormatting sqref="E5:G5">
    <cfRule type="expression" dxfId="1208" priority="62">
      <formula>ABS(E$7-E$10)&gt;=1000</formula>
    </cfRule>
  </conditionalFormatting>
  <conditionalFormatting sqref="H5">
    <cfRule type="expression" dxfId="1207" priority="61">
      <formula>ABS(H$7-H$10)&gt;=1000</formula>
    </cfRule>
  </conditionalFormatting>
  <conditionalFormatting sqref="O4:P4">
    <cfRule type="expression" dxfId="1206" priority="60">
      <formula>ABS(O$7-O$10)&gt;=1000</formula>
    </cfRule>
  </conditionalFormatting>
  <conditionalFormatting sqref="O5">
    <cfRule type="expression" dxfId="1205" priority="59">
      <formula>ABS(O$7-O$10)&gt;=1000</formula>
    </cfRule>
  </conditionalFormatting>
  <conditionalFormatting sqref="I6">
    <cfRule type="expression" dxfId="1204" priority="58">
      <formula>ABS(I$7-I$10)&gt;=1000</formula>
    </cfRule>
  </conditionalFormatting>
  <conditionalFormatting sqref="P5">
    <cfRule type="expression" dxfId="1203" priority="57">
      <formula>ABS(P$7-P$10)&gt;=1000</formula>
    </cfRule>
  </conditionalFormatting>
  <conditionalFormatting sqref="I5">
    <cfRule type="expression" dxfId="1202" priority="56">
      <formula>ABS(I$7-I$10)&gt;=1000</formula>
    </cfRule>
  </conditionalFormatting>
  <conditionalFormatting sqref="D6 D8">
    <cfRule type="expression" dxfId="1201" priority="55">
      <formula>ABS(D$7-D$10)&gt;=1000</formula>
    </cfRule>
  </conditionalFormatting>
  <conditionalFormatting sqref="E6 E8">
    <cfRule type="expression" dxfId="1200" priority="54">
      <formula>ABS(E$7-E$10)&gt;=1000</formula>
    </cfRule>
  </conditionalFormatting>
  <conditionalFormatting sqref="F6 F8">
    <cfRule type="expression" dxfId="1199" priority="53">
      <formula>ABS(F$7-F$10)&gt;=1000</formula>
    </cfRule>
  </conditionalFormatting>
  <conditionalFormatting sqref="G6 G8">
    <cfRule type="expression" dxfId="1198" priority="52">
      <formula>ABS(G$7-G$10)&gt;=1000</formula>
    </cfRule>
  </conditionalFormatting>
  <conditionalFormatting sqref="H8">
    <cfRule type="expression" dxfId="1197" priority="51">
      <formula>ABS(H$7-H$10)&gt;=1000</formula>
    </cfRule>
  </conditionalFormatting>
  <conditionalFormatting sqref="H6">
    <cfRule type="expression" dxfId="1196" priority="50">
      <formula>ABS(H$7-H$10)&gt;=1000</formula>
    </cfRule>
  </conditionalFormatting>
  <conditionalFormatting sqref="J8">
    <cfRule type="expression" dxfId="1195" priority="49">
      <formula>ABS(J$7-J$10)&gt;=1000</formula>
    </cfRule>
  </conditionalFormatting>
  <conditionalFormatting sqref="K8">
    <cfRule type="expression" dxfId="1194" priority="48">
      <formula>ABS(K$7-K$10)&gt;=1000</formula>
    </cfRule>
  </conditionalFormatting>
  <conditionalFormatting sqref="L8">
    <cfRule type="expression" dxfId="1193" priority="47">
      <formula>ABS(L$7-L$10)&gt;=1000</formula>
    </cfRule>
  </conditionalFormatting>
  <conditionalFormatting sqref="M8">
    <cfRule type="expression" dxfId="1192" priority="46">
      <formula>ABS(M$7-M$10)&gt;=1000</formula>
    </cfRule>
  </conditionalFormatting>
  <conditionalFormatting sqref="N8">
    <cfRule type="expression" dxfId="1191" priority="45">
      <formula>ABS(N$7-N$10)&gt;=1000</formula>
    </cfRule>
  </conditionalFormatting>
  <conditionalFormatting sqref="O8">
    <cfRule type="expression" dxfId="1190" priority="44">
      <formula>ABS(O$7-O$10)&gt;=1000</formula>
    </cfRule>
  </conditionalFormatting>
  <conditionalFormatting sqref="P8">
    <cfRule type="expression" dxfId="1189" priority="43">
      <formula>ABS(P$7-P$10)&gt;=1000</formula>
    </cfRule>
  </conditionalFormatting>
  <conditionalFormatting sqref="J6">
    <cfRule type="expression" dxfId="1188" priority="42">
      <formula>ABS(J$7-J$10)&gt;=1000</formula>
    </cfRule>
  </conditionalFormatting>
  <conditionalFormatting sqref="K6">
    <cfRule type="expression" dxfId="1187" priority="41">
      <formula>ABS(K$7-K$10)&gt;=1000</formula>
    </cfRule>
  </conditionalFormatting>
  <conditionalFormatting sqref="L6">
    <cfRule type="expression" dxfId="1186" priority="40">
      <formula>ABS(L$7-L$10)&gt;=1000</formula>
    </cfRule>
  </conditionalFormatting>
  <conditionalFormatting sqref="M6">
    <cfRule type="expression" dxfId="1185" priority="39">
      <formula>ABS(M$7-M$10)&gt;=1000</formula>
    </cfRule>
  </conditionalFormatting>
  <conditionalFormatting sqref="N6">
    <cfRule type="expression" dxfId="1184" priority="38">
      <formula>ABS(N$7-N$10)&gt;=1000</formula>
    </cfRule>
  </conditionalFormatting>
  <conditionalFormatting sqref="O6">
    <cfRule type="expression" dxfId="1183" priority="37">
      <formula>ABS(O$7-O$10)&gt;=1000</formula>
    </cfRule>
  </conditionalFormatting>
  <conditionalFormatting sqref="P6">
    <cfRule type="expression" dxfId="1182" priority="36">
      <formula>ABS(P$7-P$10)&gt;=1000</formula>
    </cfRule>
  </conditionalFormatting>
  <conditionalFormatting sqref="L7">
    <cfRule type="expression" dxfId="1181" priority="35">
      <formula>ABS(L$7-L$10)&gt;=1000</formula>
    </cfRule>
  </conditionalFormatting>
  <conditionalFormatting sqref="M7">
    <cfRule type="expression" dxfId="1180" priority="34">
      <formula>ABS(M$7-M$10)&gt;=1000</formula>
    </cfRule>
  </conditionalFormatting>
  <conditionalFormatting sqref="O7:P7">
    <cfRule type="expression" dxfId="1179" priority="33">
      <formula>ABS(O$7-O$10)&gt;=1000</formula>
    </cfRule>
  </conditionalFormatting>
  <conditionalFormatting sqref="N7">
    <cfRule type="expression" dxfId="1178" priority="32">
      <formula>ABS(N$7-N$10)&gt;=1000</formula>
    </cfRule>
  </conditionalFormatting>
  <conditionalFormatting sqref="H7:K7">
    <cfRule type="expression" dxfId="1177" priority="31">
      <formula>ABS(H$7-H$10)&gt;=1000</formula>
    </cfRule>
  </conditionalFormatting>
  <conditionalFormatting sqref="D7:G7">
    <cfRule type="expression" dxfId="1176" priority="30">
      <formula>ABS(D$7-D$10)&gt;=1000</formula>
    </cfRule>
  </conditionalFormatting>
  <conditionalFormatting sqref="J5:K5">
    <cfRule type="expression" dxfId="1175" priority="29">
      <formula>ABS(J$7-J$10)&gt;=1000</formula>
    </cfRule>
  </conditionalFormatting>
  <conditionalFormatting sqref="D9 D11">
    <cfRule type="expression" dxfId="1174" priority="28">
      <formula>ABS(D$7-D$10)&gt;=1000</formula>
    </cfRule>
  </conditionalFormatting>
  <conditionalFormatting sqref="E9 E11">
    <cfRule type="expression" dxfId="1173" priority="27">
      <formula>ABS(E$7-E$10)&gt;=1000</formula>
    </cfRule>
  </conditionalFormatting>
  <conditionalFormatting sqref="F9 F11">
    <cfRule type="expression" dxfId="1172" priority="26">
      <formula>ABS(F$7-F$10)&gt;=1000</formula>
    </cfRule>
  </conditionalFormatting>
  <conditionalFormatting sqref="G9 G11">
    <cfRule type="expression" dxfId="1171" priority="25">
      <formula>ABS(G$7-G$10)&gt;=1000</formula>
    </cfRule>
  </conditionalFormatting>
  <conditionalFormatting sqref="H11">
    <cfRule type="expression" dxfId="1170" priority="24">
      <formula>ABS(H$7-H$10)&gt;=1000</formula>
    </cfRule>
  </conditionalFormatting>
  <conditionalFormatting sqref="I11">
    <cfRule type="expression" dxfId="1169" priority="23">
      <formula>ABS(I$7-I$10)&gt;=1000</formula>
    </cfRule>
  </conditionalFormatting>
  <conditionalFormatting sqref="J11">
    <cfRule type="expression" dxfId="1168" priority="22">
      <formula>ABS(J$7-J$10)&gt;=1000</formula>
    </cfRule>
  </conditionalFormatting>
  <conditionalFormatting sqref="K11">
    <cfRule type="expression" dxfId="1167" priority="21">
      <formula>ABS(K$7-K$10)&gt;=1000</formula>
    </cfRule>
  </conditionalFormatting>
  <conditionalFormatting sqref="L11">
    <cfRule type="expression" dxfId="1166" priority="20">
      <formula>ABS(L$7-L$10)&gt;=1000</formula>
    </cfRule>
  </conditionalFormatting>
  <conditionalFormatting sqref="M11">
    <cfRule type="expression" dxfId="1165" priority="19">
      <formula>ABS(M$7-M$10)&gt;=1000</formula>
    </cfRule>
  </conditionalFormatting>
  <conditionalFormatting sqref="N11">
    <cfRule type="expression" dxfId="1164" priority="18">
      <formula>ABS(N$7-N$10)&gt;=1000</formula>
    </cfRule>
  </conditionalFormatting>
  <conditionalFormatting sqref="O11">
    <cfRule type="expression" dxfId="1163" priority="17">
      <formula>ABS(O$7-O$10)&gt;=1000</formula>
    </cfRule>
  </conditionalFormatting>
  <conditionalFormatting sqref="P11">
    <cfRule type="expression" dxfId="1162" priority="16">
      <formula>ABS(P$7-P$10)&gt;=1000</formula>
    </cfRule>
  </conditionalFormatting>
  <conditionalFormatting sqref="H9">
    <cfRule type="expression" dxfId="1161" priority="15">
      <formula>ABS(H$7-H$10)&gt;=1000</formula>
    </cfRule>
  </conditionalFormatting>
  <conditionalFormatting sqref="J9">
    <cfRule type="expression" dxfId="1160" priority="14">
      <formula>ABS(J$7-J$10)&gt;=1000</formula>
    </cfRule>
  </conditionalFormatting>
  <conditionalFormatting sqref="K9">
    <cfRule type="expression" dxfId="1159" priority="13">
      <formula>ABS(K$7-K$10)&gt;=1000</formula>
    </cfRule>
  </conditionalFormatting>
  <conditionalFormatting sqref="L9">
    <cfRule type="expression" dxfId="1158" priority="12">
      <formula>ABS(L$7-L$10)&gt;=1000</formula>
    </cfRule>
  </conditionalFormatting>
  <conditionalFormatting sqref="M9">
    <cfRule type="expression" dxfId="1157" priority="11">
      <formula>ABS(M$7-M$10)&gt;=1000</formula>
    </cfRule>
  </conditionalFormatting>
  <conditionalFormatting sqref="N9">
    <cfRule type="expression" dxfId="1156" priority="10">
      <formula>ABS(N$7-N$10)&gt;=1000</formula>
    </cfRule>
  </conditionalFormatting>
  <conditionalFormatting sqref="O9">
    <cfRule type="expression" dxfId="1155" priority="9">
      <formula>ABS(O$7-O$10)&gt;=1000</formula>
    </cfRule>
  </conditionalFormatting>
  <conditionalFormatting sqref="P9">
    <cfRule type="expression" dxfId="1154" priority="8">
      <formula>ABS(P$7-P$10)&gt;=1000</formula>
    </cfRule>
  </conditionalFormatting>
  <conditionalFormatting sqref="I9">
    <cfRule type="expression" dxfId="1153" priority="7">
      <formula>ABS(I$7-I$10)&gt;=1000</formula>
    </cfRule>
  </conditionalFormatting>
  <conditionalFormatting sqref="L10">
    <cfRule type="expression" dxfId="1152" priority="6">
      <formula>ABS(L$7-L$10)&gt;=1000</formula>
    </cfRule>
  </conditionalFormatting>
  <conditionalFormatting sqref="M10">
    <cfRule type="expression" dxfId="1151" priority="5">
      <formula>ABS(M$7-M$10)&gt;=1000</formula>
    </cfRule>
  </conditionalFormatting>
  <conditionalFormatting sqref="O10:P10">
    <cfRule type="expression" dxfId="1150" priority="4">
      <formula>ABS(O$7-O$10)&gt;=1000</formula>
    </cfRule>
  </conditionalFormatting>
  <conditionalFormatting sqref="N10">
    <cfRule type="expression" dxfId="1149" priority="3">
      <formula>ABS(N$7-N$10)&gt;=1000</formula>
    </cfRule>
  </conditionalFormatting>
  <conditionalFormatting sqref="H10:K10">
    <cfRule type="expression" dxfId="1148" priority="2">
      <formula>ABS(H$7-H$10)&gt;=1000</formula>
    </cfRule>
  </conditionalFormatting>
  <conditionalFormatting sqref="D10:G10">
    <cfRule type="expression" dxfId="1147" priority="1">
      <formula>ABS(D$7-D$10)&gt;=1000</formula>
    </cfRule>
  </conditionalFormatting>
  <conditionalFormatting sqref="I12">
    <cfRule type="expression" dxfId="1146" priority="73">
      <formula>ABS(#REF!-#REF!)&gt;=1000</formula>
    </cfRule>
  </conditionalFormatting>
  <conditionalFormatting sqref="D6">
    <cfRule type="expression" dxfId="1145" priority="82" stopIfTrue="1">
      <formula>MOD(ROUND($D$6*100,2),1)=0</formula>
    </cfRule>
  </conditionalFormatting>
  <conditionalFormatting sqref="E6">
    <cfRule type="expression" dxfId="1144" priority="83" stopIfTrue="1">
      <formula>MOD(ROUND($E$6*100,2),1)=0</formula>
    </cfRule>
  </conditionalFormatting>
  <conditionalFormatting sqref="F6">
    <cfRule type="expression" dxfId="1143" priority="84" stopIfTrue="1">
      <formula>MOD(ROUND($F$6*100,2),1)=0</formula>
    </cfRule>
  </conditionalFormatting>
  <conditionalFormatting sqref="G6">
    <cfRule type="expression" dxfId="1142" priority="85" stopIfTrue="1">
      <formula>MOD(ROUND($G$6*100,2),1)=0</formula>
    </cfRule>
  </conditionalFormatting>
  <conditionalFormatting sqref="D9">
    <cfRule type="expression" dxfId="1141" priority="86" stopIfTrue="1">
      <formula>MOD(ROUND($D$9*100,2),1)=0</formula>
    </cfRule>
  </conditionalFormatting>
  <conditionalFormatting sqref="E9">
    <cfRule type="expression" dxfId="1140" priority="87" stopIfTrue="1">
      <formula>MOD(ROUND($E$9*100,2),1)=0</formula>
    </cfRule>
  </conditionalFormatting>
  <conditionalFormatting sqref="F9">
    <cfRule type="expression" dxfId="1139" priority="88" stopIfTrue="1">
      <formula>MOD(ROUND($F$9*100,2),1)=0</formula>
    </cfRule>
  </conditionalFormatting>
  <conditionalFormatting sqref="G9">
    <cfRule type="expression" dxfId="1138"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34113"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34113" r:id="rId4"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9">
    <pageSetUpPr fitToPage="1"/>
  </sheetPr>
  <dimension ref="A1:AQ205"/>
  <sheetViews>
    <sheetView view="pageBreakPreview" zoomScaleNormal="100" zoomScaleSheetLayoutView="100" workbookViewId="0">
      <selection activeCell="W6" sqref="W6"/>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46246</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86" t="s" ph="1">
        <v>42</v>
      </c>
      <c r="D6" s="151">
        <v>0</v>
      </c>
      <c r="E6" s="151">
        <v>0</v>
      </c>
      <c r="F6" s="151">
        <v>0.22140000000000001</v>
      </c>
      <c r="G6" s="151">
        <v>0.59</v>
      </c>
      <c r="H6" s="150">
        <v>2119</v>
      </c>
      <c r="I6" s="150">
        <v>2574</v>
      </c>
      <c r="J6" s="150">
        <v>251</v>
      </c>
      <c r="K6" s="150">
        <v>5931</v>
      </c>
      <c r="L6" s="150">
        <v>4989</v>
      </c>
      <c r="M6" s="150">
        <v>1617</v>
      </c>
      <c r="N6" s="150">
        <v>2640</v>
      </c>
      <c r="O6" s="150">
        <v>2363</v>
      </c>
      <c r="P6" s="150">
        <v>4000</v>
      </c>
      <c r="Q6" s="294"/>
      <c r="R6" s="295"/>
      <c r="S6" s="295"/>
      <c r="T6" s="295"/>
      <c r="U6" s="296"/>
    </row>
    <row r="7" spans="1:43" s="61" customFormat="1" ht="25.95" customHeight="1" ph="1">
      <c r="B7" s="284" ph="1"/>
      <c r="C7" s="57" t="s" ph="1">
        <v>43</v>
      </c>
      <c r="D7" s="62" ph="1">
        <f>((D6*5885)*4.48)*LOOKUP(D8,密度!$A$2:$A$50,密度!$B$2:$B$50)</f>
        <v>0</v>
      </c>
      <c r="E7" s="62" ph="1">
        <f>((E6*5885)*4.48)*LOOKUP(E8,密度!$A$2:$A$50,密度!$B$2:$B$50)</f>
        <v>0</v>
      </c>
      <c r="F7" s="62" ph="1">
        <f>((F6*5885)*4.48)*LOOKUP(F8,密度!$A$2:$A$50,密度!$B$2:$B$50)</f>
        <v>4520.3019079680007</v>
      </c>
      <c r="G7" s="62" ph="1">
        <f>((G6*5885)*4.48)*LOOKUP(G8,密度!$A$2:$A$50,密度!$B$2:$B$50)</f>
        <v>12031.971952</v>
      </c>
      <c r="H7" s="62" ph="1">
        <f>IF(H6&lt;=0,0,IF(H6&lt;=745,PI()*(5.3235*(H6/1000)^2-(4/3)*(H6/1000)^3),7.55+15.2053*((H6-745)/1000))*LOOKUP(H8,密度!$A$2:$A$50,密度!$B$2:$B$50)*1000)</f>
        <v>21977.196915940003</v>
      </c>
      <c r="I7" s="62" ph="1">
        <f>IF(I6&lt;=0,0,IF(I6&lt;=745,PI()*(5.3235*(I6/1000)^2-(4/3)*(I6/1000)^3),7.55+15.2053*((I6-745)/1000))*LOOKUP(I8,密度!$A$2:$A$50,密度!$B$2:$B$50)*1000)</f>
        <v>27323.053481990002</v>
      </c>
      <c r="J7" s="62" ph="1">
        <f>IF(J6&lt;=0,0,IF(J6&lt;=745,PI()*(5.3235*(J6/1000)^2-(4/3)*(J6/1000)^3),7.55+15.2053*((J6-745)/1000))*LOOKUP(J8,密度!$A$2:$A$50,密度!$B$2:$B$50)*1000)</f>
        <v>766.42550615462653</v>
      </c>
      <c r="K7" s="62" ph="1">
        <f>IF(K6&lt;=0,0,IF(K6&lt;=745,PI()*(5.3235*(K6/1000)^2-(4/3)*(K6/1000)^3),7.55+15.2053*((K6-745)/1000))*LOOKUP(K8,密度!$A$2:$A$50,密度!$B$2:$B$50)*1000)</f>
        <v>66834.02446629999</v>
      </c>
      <c r="L7" s="62" ph="1">
        <f>L6*26.42*LOOKUP(L8,密度!$A$2:$A$50,密度!$B$2:$B$50)</f>
        <v>102191.812314</v>
      </c>
      <c r="M7" s="62" ph="1">
        <f>M6*26.42*1</f>
        <v>42721.14</v>
      </c>
      <c r="N7" s="62" ph="1">
        <f>N6*18.32*LOOKUP(N8,密度!$A$2:$A$50,密度!$B$2:$B$50)</f>
        <v>37497.229440000003</v>
      </c>
      <c r="O7" s="62" ph="1">
        <f>O6*81.71*LOOKUP(O8,密度!$A$2:$A$50,密度!$B$2:$B$50)</f>
        <v>149521.71731199999</v>
      </c>
      <c r="P7" s="62" ph="1">
        <f>P6*81.71*LOOKUP(P8,密度!$A$2:$A$50,密度!$B$2:$B$50)</f>
        <v>253104.89599999998</v>
      </c>
      <c r="Q7" s="294"/>
      <c r="R7" s="295"/>
      <c r="S7" s="295"/>
      <c r="T7" s="295"/>
      <c r="U7" s="296"/>
    </row>
    <row r="8" spans="1:43" ht="25.95" customHeight="1" ph="1">
      <c r="B8" s="284" ph="1"/>
      <c r="C8" s="57" t="s" ph="1">
        <v>44</v>
      </c>
      <c r="D8" s="149">
        <v>29</v>
      </c>
      <c r="E8" s="149">
        <v>30</v>
      </c>
      <c r="F8" s="149">
        <v>31</v>
      </c>
      <c r="G8" s="149">
        <v>32</v>
      </c>
      <c r="H8" s="149">
        <v>33</v>
      </c>
      <c r="I8" s="149">
        <v>33</v>
      </c>
      <c r="J8" s="149">
        <v>29</v>
      </c>
      <c r="K8" s="149">
        <v>32</v>
      </c>
      <c r="L8" s="149">
        <v>30</v>
      </c>
      <c r="M8" s="149">
        <v>30</v>
      </c>
      <c r="N8" s="149">
        <v>30</v>
      </c>
      <c r="O8" s="149">
        <v>31</v>
      </c>
      <c r="P8" s="149">
        <v>31</v>
      </c>
      <c r="Q8" s="294"/>
      <c r="R8" s="295"/>
      <c r="S8" s="295"/>
      <c r="T8" s="295"/>
      <c r="U8" s="296"/>
    </row>
    <row r="9" spans="1:43" ht="25.95" customHeight="1" ph="1">
      <c r="B9" s="284" ph="1">
        <v>0.66666666666666663</v>
      </c>
      <c r="C9" s="186" t="s" ph="1">
        <v>45</v>
      </c>
      <c r="D9" s="151">
        <v>0.17149999999999999</v>
      </c>
      <c r="E9" s="151">
        <v>0</v>
      </c>
      <c r="F9" s="151">
        <v>0.32369999999999999</v>
      </c>
      <c r="G9" s="151">
        <v>1E-3</v>
      </c>
      <c r="H9" s="150">
        <v>1688</v>
      </c>
      <c r="I9" s="150">
        <v>1367</v>
      </c>
      <c r="J9" s="150">
        <v>1884</v>
      </c>
      <c r="K9" s="150">
        <v>3018</v>
      </c>
      <c r="L9" s="150">
        <v>4641</v>
      </c>
      <c r="M9" s="150">
        <v>1615</v>
      </c>
      <c r="N9" s="150">
        <v>1298</v>
      </c>
      <c r="O9" s="150">
        <v>3191</v>
      </c>
      <c r="P9" s="150">
        <v>4346</v>
      </c>
      <c r="Q9" s="294"/>
      <c r="R9" s="295"/>
      <c r="S9" s="295"/>
      <c r="T9" s="295"/>
      <c r="U9" s="296"/>
    </row>
    <row r="10" spans="1:43" s="61" customFormat="1" ht="25.95" customHeight="1" ph="1">
      <c r="B10" s="284" ph="1"/>
      <c r="C10" s="186" t="s" ph="1">
        <v>43</v>
      </c>
      <c r="D10" s="62" ph="1">
        <f>((D9*5885)*4.48)*LOOKUP(D11,密度!$A$2:$A$50,密度!$B$2:$B$50)</f>
        <v>3461.7087859200001</v>
      </c>
      <c r="E10" s="62" ph="1">
        <f>((E9*5885)*4.48)*LOOKUP(E11,密度!$A$2:$A$50,密度!$B$2:$B$50)</f>
        <v>0</v>
      </c>
      <c r="F10" s="62" ph="1">
        <f>((F9*5885)*4.48)*LOOKUP(F11,密度!$A$2:$A$50,密度!$B$2:$B$50)</f>
        <v>6601.2700353600003</v>
      </c>
      <c r="G10" s="62" ph="1">
        <f>((G9*5885)*4.48)*LOOKUP(G11,密度!$A$2:$A$50,密度!$B$2:$B$50)</f>
        <v>20.393172800000002</v>
      </c>
      <c r="H10" s="62" ph="1">
        <f>IF(H9&lt;=0,0,IF(H9&lt;=745,PI()*(5.3235*(H9/1000)^2-(4/3)*(H9/1000)^3),7.55+15.2053*((H9-745)/1000))*LOOKUP(H11,密度!$A$2:$A$50,密度!$B$2:$B$50)*1000)</f>
        <v>16873.920121109997</v>
      </c>
      <c r="I10" s="62" ph="1">
        <f>IF(I9&lt;=0,0,IF(I9&lt;=745,PI()*(5.3235*(I9/1000)^2-(4/3)*(I9/1000)^3),7.55+15.2053*((I9-745)/1000))*LOOKUP(I11,密度!$A$2:$A$50,密度!$B$2:$B$50)*1000)</f>
        <v>13111.23330894</v>
      </c>
      <c r="J10" s="62" ph="1">
        <f>IF(J9&lt;=0,0,IF(J9&lt;=745,PI()*(5.3235*(J9/1000)^2-(4/3)*(J9/1000)^3),7.55+15.2053*((J9-745)/1000))*LOOKUP(J11,密度!$A$2:$A$50,密度!$B$2:$B$50)*1000)</f>
        <v>19216.150118090001</v>
      </c>
      <c r="K10" s="62" ph="1">
        <f>IF(K9&lt;=0,0,IF(K9&lt;=745,PI()*(5.3235*(K9/1000)^2-(4/3)*(K9/1000)^3),7.55+15.2053*((K9-745)/1000))*LOOKUP(K11,密度!$A$2:$A$50,密度!$B$2:$B$50)*1000)</f>
        <v>32539.669559629998</v>
      </c>
      <c r="L10" s="62" ph="1">
        <f>L9*26.42*LOOKUP(L11,密度!$A$2:$A$50,密度!$B$2:$B$50)</f>
        <v>94953.226368000003</v>
      </c>
      <c r="M10" s="62" ph="1">
        <f>M9*26.42*1</f>
        <v>42668.3</v>
      </c>
      <c r="N10" s="62" ph="1">
        <f>N9*18.32*LOOKUP(N11,密度!$A$2:$A$50,密度!$B$2:$B$50)</f>
        <v>18414.736384</v>
      </c>
      <c r="O10" s="62" ph="1">
        <f>O9*81.71*LOOKUP(O11,密度!$A$2:$A$50,密度!$B$2:$B$50)</f>
        <v>201679.76783499998</v>
      </c>
      <c r="P10" s="62" ph="1">
        <f>P9*81.71*LOOKUP(P11,密度!$A$2:$A$50,密度!$B$2:$B$50)</f>
        <v>274678.86900999997</v>
      </c>
      <c r="Q10" s="294"/>
      <c r="R10" s="295"/>
      <c r="S10" s="295"/>
      <c r="T10" s="295"/>
      <c r="U10" s="296"/>
    </row>
    <row r="11" spans="1:43" ht="25.95" customHeight="1" ph="1">
      <c r="A11" s="53" t="s" ph="1">
        <v>40</v>
      </c>
      <c r="B11" s="284" ph="1"/>
      <c r="C11" s="186" t="s" ph="1">
        <v>44</v>
      </c>
      <c r="D11" s="149">
        <v>41</v>
      </c>
      <c r="E11" s="149">
        <v>33</v>
      </c>
      <c r="F11" s="149">
        <v>32</v>
      </c>
      <c r="G11" s="149">
        <v>32</v>
      </c>
      <c r="H11" s="149">
        <v>35</v>
      </c>
      <c r="I11" s="149">
        <v>35</v>
      </c>
      <c r="J11" s="149">
        <v>33</v>
      </c>
      <c r="K11" s="149">
        <v>33</v>
      </c>
      <c r="L11" s="149">
        <v>31</v>
      </c>
      <c r="M11" s="149">
        <v>31</v>
      </c>
      <c r="N11" s="149">
        <v>31</v>
      </c>
      <c r="O11" s="149">
        <v>32</v>
      </c>
      <c r="P11" s="149">
        <v>32</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86" t="s" ph="1">
        <v>1</v>
      </c>
      <c r="F14" s="88" t="s" ph="1">
        <v>28</v>
      </c>
      <c r="G14" s="86" t="s" ph="1">
        <v>0</v>
      </c>
      <c r="H14" s="186" t="s" ph="1">
        <v>1</v>
      </c>
      <c r="I14" s="187" t="s" ph="1">
        <v>28</v>
      </c>
      <c r="J14" s="86" t="s" ph="1">
        <v>0</v>
      </c>
      <c r="K14" s="186" t="s" ph="1">
        <v>1</v>
      </c>
      <c r="L14" s="187" t="s" ph="1">
        <v>28</v>
      </c>
      <c r="M14" s="86" t="s" ph="1">
        <v>0</v>
      </c>
      <c r="N14" s="186" t="s" ph="1">
        <v>1</v>
      </c>
      <c r="O14" s="187" t="s" ph="1">
        <v>28</v>
      </c>
      <c r="P14" s="86" t="s" ph="1">
        <v>0</v>
      </c>
      <c r="Q14" s="87" t="s" ph="1">
        <v>1</v>
      </c>
      <c r="R14" s="88" t="s" ph="1">
        <v>28</v>
      </c>
      <c r="S14" s="86" t="s" ph="1">
        <v>0</v>
      </c>
      <c r="T14" s="186" t="s" ph="1">
        <v>1</v>
      </c>
      <c r="U14" s="88" t="s" ph="1">
        <v>28</v>
      </c>
    </row>
    <row r="15" spans="1:43" ph="1">
      <c r="A15" s="53"/>
      <c r="B15" s="300" t="s" ph="1">
        <v>46</v>
      </c>
      <c r="C15" s="301" ph="1"/>
      <c r="D15" s="241" ph="1">
        <f>O10+P10</f>
        <v>476358.63684499997</v>
      </c>
      <c r="E15" s="233" ph="1">
        <f>H10+I10+J10+K10</f>
        <v>81740.973107769998</v>
      </c>
      <c r="F15" s="257" ph="1">
        <f>L10+N10</f>
        <v>113367.96275200001</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88" ph="1"/>
      <c r="P18" s="90" ph="1"/>
      <c r="Q18" s="188" t="s" ph="1">
        <v>50</v>
      </c>
      <c r="R18" s="218" t="s" ph="1">
        <v>176</v>
      </c>
      <c r="S18" s="218" ph="1"/>
    </row>
    <row r="19" spans="1:21" s="188"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1137" priority="72">
      <formula>ABS(D$7-D$10)&gt;=1000</formula>
    </cfRule>
  </conditionalFormatting>
  <conditionalFormatting sqref="E4">
    <cfRule type="expression" dxfId="1136" priority="71">
      <formula>ABS(E$7-E$10)&gt;=1000</formula>
    </cfRule>
  </conditionalFormatting>
  <conditionalFormatting sqref="F4">
    <cfRule type="expression" dxfId="1135" priority="70">
      <formula>ABS(F$7-F$10)&gt;=1000</formula>
    </cfRule>
  </conditionalFormatting>
  <conditionalFormatting sqref="G4">
    <cfRule type="expression" dxfId="1134" priority="69">
      <formula>ABS(G$7-G$10)&gt;=1000</formula>
    </cfRule>
  </conditionalFormatting>
  <conditionalFormatting sqref="H4:K4">
    <cfRule type="expression" dxfId="1133" priority="68">
      <formula>ABS(H$7-H$10)&gt;=1000</formula>
    </cfRule>
  </conditionalFormatting>
  <conditionalFormatting sqref="I8">
    <cfRule type="expression" dxfId="1132" priority="67">
      <formula>ABS(I$7-I$10)&gt;=1000</formula>
    </cfRule>
  </conditionalFormatting>
  <conditionalFormatting sqref="L4:L5 M4:N4">
    <cfRule type="expression" dxfId="1131" priority="66">
      <formula>ABS(L$7-L$10)&gt;=1000</formula>
    </cfRule>
  </conditionalFormatting>
  <conditionalFormatting sqref="M5">
    <cfRule type="expression" dxfId="1130" priority="65">
      <formula>ABS(M$7-M$10)&gt;=1000</formula>
    </cfRule>
  </conditionalFormatting>
  <conditionalFormatting sqref="N5">
    <cfRule type="expression" dxfId="1129" priority="64">
      <formula>ABS(N$7-N$10)&gt;=1000</formula>
    </cfRule>
  </conditionalFormatting>
  <conditionalFormatting sqref="D5">
    <cfRule type="expression" dxfId="1128" priority="63">
      <formula>ABS(D$7-D$10)&gt;=1000</formula>
    </cfRule>
  </conditionalFormatting>
  <conditionalFormatting sqref="E5:G5">
    <cfRule type="expression" dxfId="1127" priority="62">
      <formula>ABS(E$7-E$10)&gt;=1000</formula>
    </cfRule>
  </conditionalFormatting>
  <conditionalFormatting sqref="H5">
    <cfRule type="expression" dxfId="1126" priority="61">
      <formula>ABS(H$7-H$10)&gt;=1000</formula>
    </cfRule>
  </conditionalFormatting>
  <conditionalFormatting sqref="O4:P4">
    <cfRule type="expression" dxfId="1125" priority="60">
      <formula>ABS(O$7-O$10)&gt;=1000</formula>
    </cfRule>
  </conditionalFormatting>
  <conditionalFormatting sqref="O5">
    <cfRule type="expression" dxfId="1124" priority="59">
      <formula>ABS(O$7-O$10)&gt;=1000</formula>
    </cfRule>
  </conditionalFormatting>
  <conditionalFormatting sqref="I6">
    <cfRule type="expression" dxfId="1123" priority="58">
      <formula>ABS(I$7-I$10)&gt;=1000</formula>
    </cfRule>
  </conditionalFormatting>
  <conditionalFormatting sqref="P5">
    <cfRule type="expression" dxfId="1122" priority="57">
      <formula>ABS(P$7-P$10)&gt;=1000</formula>
    </cfRule>
  </conditionalFormatting>
  <conditionalFormatting sqref="I5">
    <cfRule type="expression" dxfId="1121" priority="56">
      <formula>ABS(I$7-I$10)&gt;=1000</formula>
    </cfRule>
  </conditionalFormatting>
  <conditionalFormatting sqref="D6 D8">
    <cfRule type="expression" dxfId="1120" priority="55">
      <formula>ABS(D$7-D$10)&gt;=1000</formula>
    </cfRule>
  </conditionalFormatting>
  <conditionalFormatting sqref="E6 E8">
    <cfRule type="expression" dxfId="1119" priority="54">
      <formula>ABS(E$7-E$10)&gt;=1000</formula>
    </cfRule>
  </conditionalFormatting>
  <conditionalFormatting sqref="F6 F8">
    <cfRule type="expression" dxfId="1118" priority="53">
      <formula>ABS(F$7-F$10)&gt;=1000</formula>
    </cfRule>
  </conditionalFormatting>
  <conditionalFormatting sqref="G6 G8">
    <cfRule type="expression" dxfId="1117" priority="52">
      <formula>ABS(G$7-G$10)&gt;=1000</formula>
    </cfRule>
  </conditionalFormatting>
  <conditionalFormatting sqref="H8">
    <cfRule type="expression" dxfId="1116" priority="51">
      <formula>ABS(H$7-H$10)&gt;=1000</formula>
    </cfRule>
  </conditionalFormatting>
  <conditionalFormatting sqref="H6">
    <cfRule type="expression" dxfId="1115" priority="50">
      <formula>ABS(H$7-H$10)&gt;=1000</formula>
    </cfRule>
  </conditionalFormatting>
  <conditionalFormatting sqref="J8">
    <cfRule type="expression" dxfId="1114" priority="49">
      <formula>ABS(J$7-J$10)&gt;=1000</formula>
    </cfRule>
  </conditionalFormatting>
  <conditionalFormatting sqref="K8">
    <cfRule type="expression" dxfId="1113" priority="48">
      <formula>ABS(K$7-K$10)&gt;=1000</formula>
    </cfRule>
  </conditionalFormatting>
  <conditionalFormatting sqref="L8">
    <cfRule type="expression" dxfId="1112" priority="47">
      <formula>ABS(L$7-L$10)&gt;=1000</formula>
    </cfRule>
  </conditionalFormatting>
  <conditionalFormatting sqref="M8">
    <cfRule type="expression" dxfId="1111" priority="46">
      <formula>ABS(M$7-M$10)&gt;=1000</formula>
    </cfRule>
  </conditionalFormatting>
  <conditionalFormatting sqref="N8">
    <cfRule type="expression" dxfId="1110" priority="45">
      <formula>ABS(N$7-N$10)&gt;=1000</formula>
    </cfRule>
  </conditionalFormatting>
  <conditionalFormatting sqref="O8">
    <cfRule type="expression" dxfId="1109" priority="44">
      <formula>ABS(O$7-O$10)&gt;=1000</formula>
    </cfRule>
  </conditionalFormatting>
  <conditionalFormatting sqref="P8">
    <cfRule type="expression" dxfId="1108" priority="43">
      <formula>ABS(P$7-P$10)&gt;=1000</formula>
    </cfRule>
  </conditionalFormatting>
  <conditionalFormatting sqref="J6">
    <cfRule type="expression" dxfId="1107" priority="42">
      <formula>ABS(J$7-J$10)&gt;=1000</formula>
    </cfRule>
  </conditionalFormatting>
  <conditionalFormatting sqref="K6">
    <cfRule type="expression" dxfId="1106" priority="41">
      <formula>ABS(K$7-K$10)&gt;=1000</formula>
    </cfRule>
  </conditionalFormatting>
  <conditionalFormatting sqref="L6">
    <cfRule type="expression" dxfId="1105" priority="40">
      <formula>ABS(L$7-L$10)&gt;=1000</formula>
    </cfRule>
  </conditionalFormatting>
  <conditionalFormatting sqref="M6">
    <cfRule type="expression" dxfId="1104" priority="39">
      <formula>ABS(M$7-M$10)&gt;=1000</formula>
    </cfRule>
  </conditionalFormatting>
  <conditionalFormatting sqref="N6">
    <cfRule type="expression" dxfId="1103" priority="38">
      <formula>ABS(N$7-N$10)&gt;=1000</formula>
    </cfRule>
  </conditionalFormatting>
  <conditionalFormatting sqref="O6">
    <cfRule type="expression" dxfId="1102" priority="37">
      <formula>ABS(O$7-O$10)&gt;=1000</formula>
    </cfRule>
  </conditionalFormatting>
  <conditionalFormatting sqref="P6">
    <cfRule type="expression" dxfId="1101" priority="36">
      <formula>ABS(P$7-P$10)&gt;=1000</formula>
    </cfRule>
  </conditionalFormatting>
  <conditionalFormatting sqref="L7">
    <cfRule type="expression" dxfId="1100" priority="35">
      <formula>ABS(L$7-L$10)&gt;=1000</formula>
    </cfRule>
  </conditionalFormatting>
  <conditionalFormatting sqref="M7">
    <cfRule type="expression" dxfId="1099" priority="34">
      <formula>ABS(M$7-M$10)&gt;=1000</formula>
    </cfRule>
  </conditionalFormatting>
  <conditionalFormatting sqref="O7:P7">
    <cfRule type="expression" dxfId="1098" priority="33">
      <formula>ABS(O$7-O$10)&gt;=1000</formula>
    </cfRule>
  </conditionalFormatting>
  <conditionalFormatting sqref="N7">
    <cfRule type="expression" dxfId="1097" priority="32">
      <formula>ABS(N$7-N$10)&gt;=1000</formula>
    </cfRule>
  </conditionalFormatting>
  <conditionalFormatting sqref="H7:K7">
    <cfRule type="expression" dxfId="1096" priority="31">
      <formula>ABS(H$7-H$10)&gt;=1000</formula>
    </cfRule>
  </conditionalFormatting>
  <conditionalFormatting sqref="D7:G7">
    <cfRule type="expression" dxfId="1095" priority="30">
      <formula>ABS(D$7-D$10)&gt;=1000</formula>
    </cfRule>
  </conditionalFormatting>
  <conditionalFormatting sqref="J5:K5">
    <cfRule type="expression" dxfId="1094" priority="29">
      <formula>ABS(J$7-J$10)&gt;=1000</formula>
    </cfRule>
  </conditionalFormatting>
  <conditionalFormatting sqref="D9 D11">
    <cfRule type="expression" dxfId="1093" priority="28">
      <formula>ABS(D$7-D$10)&gt;=1000</formula>
    </cfRule>
  </conditionalFormatting>
  <conditionalFormatting sqref="E9 E11">
    <cfRule type="expression" dxfId="1092" priority="27">
      <formula>ABS(E$7-E$10)&gt;=1000</formula>
    </cfRule>
  </conditionalFormatting>
  <conditionalFormatting sqref="F9 F11">
    <cfRule type="expression" dxfId="1091" priority="26">
      <formula>ABS(F$7-F$10)&gt;=1000</formula>
    </cfRule>
  </conditionalFormatting>
  <conditionalFormatting sqref="G9 G11">
    <cfRule type="expression" dxfId="1090" priority="25">
      <formula>ABS(G$7-G$10)&gt;=1000</formula>
    </cfRule>
  </conditionalFormatting>
  <conditionalFormatting sqref="H11">
    <cfRule type="expression" dxfId="1089" priority="24">
      <formula>ABS(H$7-H$10)&gt;=1000</formula>
    </cfRule>
  </conditionalFormatting>
  <conditionalFormatting sqref="I11">
    <cfRule type="expression" dxfId="1088" priority="23">
      <formula>ABS(I$7-I$10)&gt;=1000</formula>
    </cfRule>
  </conditionalFormatting>
  <conditionalFormatting sqref="J11">
    <cfRule type="expression" dxfId="1087" priority="22">
      <formula>ABS(J$7-J$10)&gt;=1000</formula>
    </cfRule>
  </conditionalFormatting>
  <conditionalFormatting sqref="K11">
    <cfRule type="expression" dxfId="1086" priority="21">
      <formula>ABS(K$7-K$10)&gt;=1000</formula>
    </cfRule>
  </conditionalFormatting>
  <conditionalFormatting sqref="L11">
    <cfRule type="expression" dxfId="1085" priority="20">
      <formula>ABS(L$7-L$10)&gt;=1000</formula>
    </cfRule>
  </conditionalFormatting>
  <conditionalFormatting sqref="M11">
    <cfRule type="expression" dxfId="1084" priority="19">
      <formula>ABS(M$7-M$10)&gt;=1000</formula>
    </cfRule>
  </conditionalFormatting>
  <conditionalFormatting sqref="N11">
    <cfRule type="expression" dxfId="1083" priority="18">
      <formula>ABS(N$7-N$10)&gt;=1000</formula>
    </cfRule>
  </conditionalFormatting>
  <conditionalFormatting sqref="O11">
    <cfRule type="expression" dxfId="1082" priority="17">
      <formula>ABS(O$7-O$10)&gt;=1000</formula>
    </cfRule>
  </conditionalFormatting>
  <conditionalFormatting sqref="P11">
    <cfRule type="expression" dxfId="1081" priority="16">
      <formula>ABS(P$7-P$10)&gt;=1000</formula>
    </cfRule>
  </conditionalFormatting>
  <conditionalFormatting sqref="H9">
    <cfRule type="expression" dxfId="1080" priority="15">
      <formula>ABS(H$7-H$10)&gt;=1000</formula>
    </cfRule>
  </conditionalFormatting>
  <conditionalFormatting sqref="J9">
    <cfRule type="expression" dxfId="1079" priority="14">
      <formula>ABS(J$7-J$10)&gt;=1000</formula>
    </cfRule>
  </conditionalFormatting>
  <conditionalFormatting sqref="K9">
    <cfRule type="expression" dxfId="1078" priority="13">
      <formula>ABS(K$7-K$10)&gt;=1000</formula>
    </cfRule>
  </conditionalFormatting>
  <conditionalFormatting sqref="L9">
    <cfRule type="expression" dxfId="1077" priority="12">
      <formula>ABS(L$7-L$10)&gt;=1000</formula>
    </cfRule>
  </conditionalFormatting>
  <conditionalFormatting sqref="M9">
    <cfRule type="expression" dxfId="1076" priority="11">
      <formula>ABS(M$7-M$10)&gt;=1000</formula>
    </cfRule>
  </conditionalFormatting>
  <conditionalFormatting sqref="N9">
    <cfRule type="expression" dxfId="1075" priority="10">
      <formula>ABS(N$7-N$10)&gt;=1000</formula>
    </cfRule>
  </conditionalFormatting>
  <conditionalFormatting sqref="O9">
    <cfRule type="expression" dxfId="1074" priority="9">
      <formula>ABS(O$7-O$10)&gt;=1000</formula>
    </cfRule>
  </conditionalFormatting>
  <conditionalFormatting sqref="P9">
    <cfRule type="expression" dxfId="1073" priority="8">
      <formula>ABS(P$7-P$10)&gt;=1000</formula>
    </cfRule>
  </conditionalFormatting>
  <conditionalFormatting sqref="I9">
    <cfRule type="expression" dxfId="1072" priority="7">
      <formula>ABS(I$7-I$10)&gt;=1000</formula>
    </cfRule>
  </conditionalFormatting>
  <conditionalFormatting sqref="L10">
    <cfRule type="expression" dxfId="1071" priority="6">
      <formula>ABS(L$7-L$10)&gt;=1000</formula>
    </cfRule>
  </conditionalFormatting>
  <conditionalFormatting sqref="M10">
    <cfRule type="expression" dxfId="1070" priority="5">
      <formula>ABS(M$7-M$10)&gt;=1000</formula>
    </cfRule>
  </conditionalFormatting>
  <conditionalFormatting sqref="O10:P10">
    <cfRule type="expression" dxfId="1069" priority="4">
      <formula>ABS(O$7-O$10)&gt;=1000</formula>
    </cfRule>
  </conditionalFormatting>
  <conditionalFormatting sqref="N10">
    <cfRule type="expression" dxfId="1068" priority="3">
      <formula>ABS(N$7-N$10)&gt;=1000</formula>
    </cfRule>
  </conditionalFormatting>
  <conditionalFormatting sqref="H10:K10">
    <cfRule type="expression" dxfId="1067" priority="2">
      <formula>ABS(H$7-H$10)&gt;=1000</formula>
    </cfRule>
  </conditionalFormatting>
  <conditionalFormatting sqref="D10:G10">
    <cfRule type="expression" dxfId="1066" priority="1">
      <formula>ABS(D$7-D$10)&gt;=1000</formula>
    </cfRule>
  </conditionalFormatting>
  <conditionalFormatting sqref="I12">
    <cfRule type="expression" dxfId="1065" priority="73">
      <formula>ABS(#REF!-#REF!)&gt;=1000</formula>
    </cfRule>
  </conditionalFormatting>
  <conditionalFormatting sqref="D6">
    <cfRule type="expression" dxfId="1064" priority="82" stopIfTrue="1">
      <formula>MOD(ROUND($D$6*100,2),1)=0</formula>
    </cfRule>
  </conditionalFormatting>
  <conditionalFormatting sqref="E6">
    <cfRule type="expression" dxfId="1063" priority="83" stopIfTrue="1">
      <formula>MOD(ROUND($E$6*100,2),1)=0</formula>
    </cfRule>
  </conditionalFormatting>
  <conditionalFormatting sqref="F6">
    <cfRule type="expression" dxfId="1062" priority="84" stopIfTrue="1">
      <formula>MOD(ROUND($F$6*100,2),1)=0</formula>
    </cfRule>
  </conditionalFormatting>
  <conditionalFormatting sqref="G6">
    <cfRule type="expression" dxfId="1061" priority="85" stopIfTrue="1">
      <formula>MOD(ROUND($G$6*100,2),1)=0</formula>
    </cfRule>
  </conditionalFormatting>
  <conditionalFormatting sqref="D9">
    <cfRule type="expression" dxfId="1060" priority="86" stopIfTrue="1">
      <formula>MOD(ROUND($D$9*100,2),1)=0</formula>
    </cfRule>
  </conditionalFormatting>
  <conditionalFormatting sqref="E9">
    <cfRule type="expression" dxfId="1059" priority="87" stopIfTrue="1">
      <formula>MOD(ROUND($E$9*100,2),1)=0</formula>
    </cfRule>
  </conditionalFormatting>
  <conditionalFormatting sqref="F9">
    <cfRule type="expression" dxfId="1058" priority="88" stopIfTrue="1">
      <formula>MOD(ROUND($F$9*100,2),1)=0</formula>
    </cfRule>
  </conditionalFormatting>
  <conditionalFormatting sqref="G9">
    <cfRule type="expression" dxfId="1057"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35137"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35137" r:id="rId4"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0">
    <pageSetUpPr fitToPage="1"/>
  </sheetPr>
  <dimension ref="A1:AQ205"/>
  <sheetViews>
    <sheetView view="pageBreakPreview" zoomScaleNormal="100" zoomScaleSheetLayoutView="100" workbookViewId="0">
      <selection activeCell="W6" sqref="W6"/>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46247</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91" t="s" ph="1">
        <v>42</v>
      </c>
      <c r="D6" s="151">
        <v>0.99480000000000002</v>
      </c>
      <c r="E6" s="151">
        <v>0.18289999999999998</v>
      </c>
      <c r="F6" s="151">
        <v>0.99849999999999994</v>
      </c>
      <c r="G6" s="151">
        <v>0.19600000000000001</v>
      </c>
      <c r="H6" s="150">
        <v>1686</v>
      </c>
      <c r="I6" s="150">
        <v>1365</v>
      </c>
      <c r="J6" s="150">
        <v>1881</v>
      </c>
      <c r="K6" s="150">
        <v>3013</v>
      </c>
      <c r="L6" s="150">
        <v>3742</v>
      </c>
      <c r="M6" s="150">
        <v>1615</v>
      </c>
      <c r="N6" s="150">
        <v>1501</v>
      </c>
      <c r="O6" s="150">
        <v>3082</v>
      </c>
      <c r="P6" s="150">
        <v>4342</v>
      </c>
      <c r="Q6" s="294"/>
      <c r="R6" s="295"/>
      <c r="S6" s="295"/>
      <c r="T6" s="295"/>
      <c r="U6" s="296"/>
    </row>
    <row r="7" spans="1:43" s="61" customFormat="1" ht="25.95" customHeight="1" ph="1">
      <c r="B7" s="284" ph="1"/>
      <c r="C7" s="57" t="s" ph="1">
        <v>43</v>
      </c>
      <c r="D7" s="62" ph="1">
        <f>((D6*5885)*4.48)*LOOKUP(D8,密度!$A$2:$A$50,密度!$B$2:$B$50)</f>
        <v>20242.541206272002</v>
      </c>
      <c r="E7" s="62" ph="1">
        <f>((E6*5885)*4.48)*LOOKUP(E8,密度!$A$2:$A$50,密度!$B$2:$B$50)</f>
        <v>3717.3737881279999</v>
      </c>
      <c r="F7" s="62" ph="1">
        <f>((F6*5885)*4.48)*LOOKUP(F8,密度!$A$2:$A$50,密度!$B$2:$B$50)</f>
        <v>20362.5830408</v>
      </c>
      <c r="G7" s="62" ph="1">
        <f>((G6*5885)*4.48)*LOOKUP(G8,密度!$A$2:$A$50,密度!$B$2:$B$50)</f>
        <v>3997.0618688000004</v>
      </c>
      <c r="H7" s="62" ph="1">
        <f>IF(H6&lt;=0,0,IF(H6&lt;=745,PI()*(5.3235*(H6/1000)^2-(4/3)*(H6/1000)^3),7.55+15.2053*((H6-745)/1000))*LOOKUP(H8,密度!$A$2:$A$50,密度!$B$2:$B$50)*1000)</f>
        <v>16907.307876549996</v>
      </c>
      <c r="I7" s="62" ph="1">
        <f>IF(I6&lt;=0,0,IF(I6&lt;=745,PI()*(5.3235*(I6/1000)^2-(4/3)*(I6/1000)^3),7.55+15.2053*((I6-745)/1000))*LOOKUP(I8,密度!$A$2:$A$50,密度!$B$2:$B$50)*1000)</f>
        <v>13131.930721000001</v>
      </c>
      <c r="J7" s="62" ph="1">
        <f>IF(J6&lt;=0,0,IF(J6&lt;=745,PI()*(5.3235*(J6/1000)^2-(4/3)*(J6/1000)^3),7.55+15.2053*((J6-745)/1000))*LOOKUP(J8,密度!$A$2:$A$50,密度!$B$2:$B$50)*1000)</f>
        <v>19223.102187519999</v>
      </c>
      <c r="K7" s="62" ph="1">
        <f>IF(K6&lt;=0,0,IF(K6&lt;=745,PI()*(5.3235*(K6/1000)^2-(4/3)*(K6/1000)^3),7.55+15.2053*((K6-745)/1000))*LOOKUP(K8,密度!$A$2:$A$50,密度!$B$2:$B$50)*1000)</f>
        <v>32514.552379399993</v>
      </c>
      <c r="L7" s="62" ph="1">
        <f>L6*26.42*LOOKUP(L8,密度!$A$2:$A$50,密度!$B$2:$B$50)</f>
        <v>76648.980091999998</v>
      </c>
      <c r="M7" s="62" ph="1">
        <f>M6*26.42*1</f>
        <v>42668.3</v>
      </c>
      <c r="N7" s="62" ph="1">
        <f>N6*18.32*LOOKUP(N8,密度!$A$2:$A$50,密度!$B$2:$B$50)</f>
        <v>21319.447496000001</v>
      </c>
      <c r="O7" s="62" ph="1">
        <f>O6*81.71*LOOKUP(O8,密度!$A$2:$A$50,密度!$B$2:$B$50)</f>
        <v>194790.67516999997</v>
      </c>
      <c r="P7" s="62" ph="1">
        <f>P6*81.71*LOOKUP(P8,密度!$A$2:$A$50,密度!$B$2:$B$50)</f>
        <v>274745.36460799997</v>
      </c>
      <c r="Q7" s="294"/>
      <c r="R7" s="295"/>
      <c r="S7" s="295"/>
      <c r="T7" s="295"/>
      <c r="U7" s="296"/>
    </row>
    <row r="8" spans="1:43" ht="25.95" customHeight="1" ph="1">
      <c r="B8" s="284" ph="1"/>
      <c r="C8" s="57" t="s" ph="1">
        <v>44</v>
      </c>
      <c r="D8" s="149">
        <v>34</v>
      </c>
      <c r="E8" s="149">
        <v>35</v>
      </c>
      <c r="F8" s="149">
        <v>32</v>
      </c>
      <c r="G8" s="149">
        <v>32</v>
      </c>
      <c r="H8" s="149">
        <v>32</v>
      </c>
      <c r="I8" s="149">
        <v>32</v>
      </c>
      <c r="J8" s="149">
        <v>31</v>
      </c>
      <c r="K8" s="149">
        <v>32</v>
      </c>
      <c r="L8" s="149">
        <v>30</v>
      </c>
      <c r="M8" s="149">
        <v>30</v>
      </c>
      <c r="N8" s="149">
        <v>30</v>
      </c>
      <c r="O8" s="149">
        <v>32</v>
      </c>
      <c r="P8" s="149">
        <v>31</v>
      </c>
      <c r="Q8" s="294"/>
      <c r="R8" s="295"/>
      <c r="S8" s="295"/>
      <c r="T8" s="295"/>
      <c r="U8" s="296"/>
    </row>
    <row r="9" spans="1:43" ht="25.95" customHeight="1" ph="1">
      <c r="B9" s="284" ph="1">
        <v>0.66666666666666663</v>
      </c>
      <c r="C9" s="191" t="s" ph="1">
        <v>45</v>
      </c>
      <c r="D9" s="151">
        <v>0</v>
      </c>
      <c r="E9" s="151">
        <v>0.65810000000000002</v>
      </c>
      <c r="F9" s="151">
        <v>0</v>
      </c>
      <c r="G9" s="151">
        <v>0.66610000000000003</v>
      </c>
      <c r="H9" s="150">
        <v>2890</v>
      </c>
      <c r="I9" s="150">
        <v>495</v>
      </c>
      <c r="J9" s="150">
        <v>3552</v>
      </c>
      <c r="K9" s="150">
        <v>337</v>
      </c>
      <c r="L9" s="150">
        <v>3290</v>
      </c>
      <c r="M9" s="150">
        <v>1613</v>
      </c>
      <c r="N9" s="150">
        <v>209</v>
      </c>
      <c r="O9" s="150">
        <v>4036</v>
      </c>
      <c r="P9" s="150">
        <v>4346</v>
      </c>
      <c r="Q9" s="294"/>
      <c r="R9" s="295"/>
      <c r="S9" s="295"/>
      <c r="T9" s="295"/>
      <c r="U9" s="296"/>
    </row>
    <row r="10" spans="1:43" s="61" customFormat="1" ht="25.95" customHeight="1" ph="1">
      <c r="B10" s="284" ph="1"/>
      <c r="C10" s="191" t="s" ph="1">
        <v>43</v>
      </c>
      <c r="D10" s="62" ph="1">
        <f>((D9*5885)*4.48)*LOOKUP(D11,密度!$A$2:$A$50,密度!$B$2:$B$50)</f>
        <v>0</v>
      </c>
      <c r="E10" s="62" ph="1">
        <f>((E9*5885)*4.48)*LOOKUP(E11,密度!$A$2:$A$50,密度!$B$2:$B$50)</f>
        <v>13375.635264992003</v>
      </c>
      <c r="F10" s="62" ph="1">
        <f>((F9*5885)*4.48)*LOOKUP(F11,密度!$A$2:$A$50,密度!$B$2:$B$50)</f>
        <v>0</v>
      </c>
      <c r="G10" s="62" ph="1">
        <f>((G9*5885)*4.48)*LOOKUP(G11,密度!$A$2:$A$50,密度!$B$2:$B$50)</f>
        <v>13554.037693504002</v>
      </c>
      <c r="H10" s="62" ph="1">
        <f>IF(H9&lt;=0,0,IF(H9&lt;=745,PI()*(5.3235*(H9/1000)^2-(4/3)*(H9/1000)^3),7.55+15.2053*((H9-745)/1000))*LOOKUP(H11,密度!$A$2:$A$50,密度!$B$2:$B$50)*1000)</f>
        <v>30999.6314083</v>
      </c>
      <c r="I10" s="62" ph="1">
        <f>IF(I9&lt;=0,0,IF(I9&lt;=745,PI()*(5.3235*(I9/1000)^2-(4/3)*(I9/1000)^3),7.55+15.2053*((I9-745)/1000))*LOOKUP(I11,密度!$A$2:$A$50,密度!$B$2:$B$50)*1000)</f>
        <v>2764.1587194278136</v>
      </c>
      <c r="J10" s="62" ph="1">
        <f>IF(J9&lt;=0,0,IF(J9&lt;=745,PI()*(5.3235*(J9/1000)^2-(4/3)*(J9/1000)^3),7.55+15.2053*((J9-745)/1000))*LOOKUP(J11,密度!$A$2:$A$50,密度!$B$2:$B$50)*1000)</f>
        <v>38853.892836849991</v>
      </c>
      <c r="K10" s="62" ph="1">
        <f>IF(K9&lt;=0,0,IF(K9&lt;=745,PI()*(5.3235*(K9/1000)^2-(4/3)*(K9/1000)^3),7.55+15.2053*((K9-745)/1000))*LOOKUP(K11,密度!$A$2:$A$50,密度!$B$2:$B$50)*1000)</f>
        <v>1339.0622748745739</v>
      </c>
      <c r="L10" s="62" ph="1">
        <f>L9*26.42*LOOKUP(L11,密度!$A$2:$A$50,密度!$B$2:$B$50)</f>
        <v>67312.24192</v>
      </c>
      <c r="M10" s="62" ph="1">
        <f>M9*26.42*1</f>
        <v>42615.46</v>
      </c>
      <c r="N10" s="62" ph="1">
        <f>N9*18.32*LOOKUP(N11,密度!$A$2:$A$50,密度!$B$2:$B$50)</f>
        <v>2955.1295840000002</v>
      </c>
      <c r="O10" s="62" ph="1">
        <f>O9*81.71*LOOKUP(O11,密度!$A$2:$A$50,密度!$B$2:$B$50)</f>
        <v>255086.03665999998</v>
      </c>
      <c r="P10" s="62" ph="1">
        <f>P9*81.71*LOOKUP(P11,密度!$A$2:$A$50,密度!$B$2:$B$50)</f>
        <v>274998.46950399998</v>
      </c>
      <c r="Q10" s="294"/>
      <c r="R10" s="295"/>
      <c r="S10" s="295"/>
      <c r="T10" s="295"/>
      <c r="U10" s="296"/>
    </row>
    <row r="11" spans="1:43" ht="25.95" customHeight="1" ph="1">
      <c r="A11" s="53" t="s" ph="1">
        <v>40</v>
      </c>
      <c r="B11" s="284" ph="1"/>
      <c r="C11" s="191" t="s" ph="1">
        <v>44</v>
      </c>
      <c r="D11" s="149">
        <v>34</v>
      </c>
      <c r="E11" s="149">
        <v>35</v>
      </c>
      <c r="F11" s="149">
        <v>33</v>
      </c>
      <c r="G11" s="149">
        <v>34</v>
      </c>
      <c r="H11" s="149">
        <v>34</v>
      </c>
      <c r="I11" s="149">
        <v>36</v>
      </c>
      <c r="J11" s="149">
        <v>32</v>
      </c>
      <c r="K11" s="149">
        <v>36</v>
      </c>
      <c r="L11" s="149">
        <v>31</v>
      </c>
      <c r="M11" s="149">
        <v>31</v>
      </c>
      <c r="N11" s="149">
        <v>34</v>
      </c>
      <c r="O11" s="149">
        <v>32</v>
      </c>
      <c r="P11" s="149">
        <v>31</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91" t="s" ph="1">
        <v>1</v>
      </c>
      <c r="F14" s="88" t="s" ph="1">
        <v>28</v>
      </c>
      <c r="G14" s="86" t="s" ph="1">
        <v>0</v>
      </c>
      <c r="H14" s="191" t="s" ph="1">
        <v>1</v>
      </c>
      <c r="I14" s="190" t="s" ph="1">
        <v>28</v>
      </c>
      <c r="J14" s="86" t="s" ph="1">
        <v>0</v>
      </c>
      <c r="K14" s="191" t="s" ph="1">
        <v>1</v>
      </c>
      <c r="L14" s="190" t="s" ph="1">
        <v>28</v>
      </c>
      <c r="M14" s="86" t="s" ph="1">
        <v>0</v>
      </c>
      <c r="N14" s="191" t="s" ph="1">
        <v>1</v>
      </c>
      <c r="O14" s="190" t="s" ph="1">
        <v>28</v>
      </c>
      <c r="P14" s="86" t="s" ph="1">
        <v>0</v>
      </c>
      <c r="Q14" s="87" t="s" ph="1">
        <v>1</v>
      </c>
      <c r="R14" s="88" t="s" ph="1">
        <v>28</v>
      </c>
      <c r="S14" s="86" t="s" ph="1">
        <v>0</v>
      </c>
      <c r="T14" s="191" t="s" ph="1">
        <v>1</v>
      </c>
      <c r="U14" s="88" t="s" ph="1">
        <v>28</v>
      </c>
    </row>
    <row r="15" spans="1:43" ph="1">
      <c r="A15" s="53"/>
      <c r="B15" s="300" t="s" ph="1">
        <v>46</v>
      </c>
      <c r="C15" s="301" ph="1"/>
      <c r="D15" s="241" ph="1">
        <f>O10+P10</f>
        <v>530084.5061639999</v>
      </c>
      <c r="E15" s="233" ph="1">
        <f>H10+I10+J10+K10</f>
        <v>73956.745239452386</v>
      </c>
      <c r="F15" s="257" ph="1">
        <f>L10+N10</f>
        <v>70267.371503999995</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89" ph="1"/>
      <c r="P18" s="90" ph="1"/>
      <c r="Q18" s="189" t="s" ph="1">
        <v>50</v>
      </c>
      <c r="R18" s="218" t="s" ph="1">
        <v>176</v>
      </c>
      <c r="S18" s="218" ph="1"/>
    </row>
    <row r="19" spans="1:21" s="189"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1056" priority="72">
      <formula>ABS(D$7-D$10)&gt;=1000</formula>
    </cfRule>
  </conditionalFormatting>
  <conditionalFormatting sqref="E4">
    <cfRule type="expression" dxfId="1055" priority="71">
      <formula>ABS(E$7-E$10)&gt;=1000</formula>
    </cfRule>
  </conditionalFormatting>
  <conditionalFormatting sqref="F4">
    <cfRule type="expression" dxfId="1054" priority="70">
      <formula>ABS(F$7-F$10)&gt;=1000</formula>
    </cfRule>
  </conditionalFormatting>
  <conditionalFormatting sqref="G4">
    <cfRule type="expression" dxfId="1053" priority="69">
      <formula>ABS(G$7-G$10)&gt;=1000</formula>
    </cfRule>
  </conditionalFormatting>
  <conditionalFormatting sqref="H4:K4">
    <cfRule type="expression" dxfId="1052" priority="68">
      <formula>ABS(H$7-H$10)&gt;=1000</formula>
    </cfRule>
  </conditionalFormatting>
  <conditionalFormatting sqref="I8">
    <cfRule type="expression" dxfId="1051" priority="67">
      <formula>ABS(I$7-I$10)&gt;=1000</formula>
    </cfRule>
  </conditionalFormatting>
  <conditionalFormatting sqref="L4:L5 M4:N4">
    <cfRule type="expression" dxfId="1050" priority="66">
      <formula>ABS(L$7-L$10)&gt;=1000</formula>
    </cfRule>
  </conditionalFormatting>
  <conditionalFormatting sqref="M5">
    <cfRule type="expression" dxfId="1049" priority="65">
      <formula>ABS(M$7-M$10)&gt;=1000</formula>
    </cfRule>
  </conditionalFormatting>
  <conditionalFormatting sqref="N5">
    <cfRule type="expression" dxfId="1048" priority="64">
      <formula>ABS(N$7-N$10)&gt;=1000</formula>
    </cfRule>
  </conditionalFormatting>
  <conditionalFormatting sqref="D5">
    <cfRule type="expression" dxfId="1047" priority="63">
      <formula>ABS(D$7-D$10)&gt;=1000</formula>
    </cfRule>
  </conditionalFormatting>
  <conditionalFormatting sqref="E5:G5">
    <cfRule type="expression" dxfId="1046" priority="62">
      <formula>ABS(E$7-E$10)&gt;=1000</formula>
    </cfRule>
  </conditionalFormatting>
  <conditionalFormatting sqref="H5">
    <cfRule type="expression" dxfId="1045" priority="61">
      <formula>ABS(H$7-H$10)&gt;=1000</formula>
    </cfRule>
  </conditionalFormatting>
  <conditionalFormatting sqref="O4:P4">
    <cfRule type="expression" dxfId="1044" priority="60">
      <formula>ABS(O$7-O$10)&gt;=1000</formula>
    </cfRule>
  </conditionalFormatting>
  <conditionalFormatting sqref="O5">
    <cfRule type="expression" dxfId="1043" priority="59">
      <formula>ABS(O$7-O$10)&gt;=1000</formula>
    </cfRule>
  </conditionalFormatting>
  <conditionalFormatting sqref="I6">
    <cfRule type="expression" dxfId="1042" priority="58">
      <formula>ABS(I$7-I$10)&gt;=1000</formula>
    </cfRule>
  </conditionalFormatting>
  <conditionalFormatting sqref="P5">
    <cfRule type="expression" dxfId="1041" priority="57">
      <formula>ABS(P$7-P$10)&gt;=1000</formula>
    </cfRule>
  </conditionalFormatting>
  <conditionalFormatting sqref="I5">
    <cfRule type="expression" dxfId="1040" priority="56">
      <formula>ABS(I$7-I$10)&gt;=1000</formula>
    </cfRule>
  </conditionalFormatting>
  <conditionalFormatting sqref="D6 D8">
    <cfRule type="expression" dxfId="1039" priority="55">
      <formula>ABS(D$7-D$10)&gt;=1000</formula>
    </cfRule>
  </conditionalFormatting>
  <conditionalFormatting sqref="E6 E8">
    <cfRule type="expression" dxfId="1038" priority="54">
      <formula>ABS(E$7-E$10)&gt;=1000</formula>
    </cfRule>
  </conditionalFormatting>
  <conditionalFormatting sqref="F6 F8">
    <cfRule type="expression" dxfId="1037" priority="53">
      <formula>ABS(F$7-F$10)&gt;=1000</formula>
    </cfRule>
  </conditionalFormatting>
  <conditionalFormatting sqref="G6 G8">
    <cfRule type="expression" dxfId="1036" priority="52">
      <formula>ABS(G$7-G$10)&gt;=1000</formula>
    </cfRule>
  </conditionalFormatting>
  <conditionalFormatting sqref="H8">
    <cfRule type="expression" dxfId="1035" priority="51">
      <formula>ABS(H$7-H$10)&gt;=1000</formula>
    </cfRule>
  </conditionalFormatting>
  <conditionalFormatting sqref="H6">
    <cfRule type="expression" dxfId="1034" priority="50">
      <formula>ABS(H$7-H$10)&gt;=1000</formula>
    </cfRule>
  </conditionalFormatting>
  <conditionalFormatting sqref="J8">
    <cfRule type="expression" dxfId="1033" priority="49">
      <formula>ABS(J$7-J$10)&gt;=1000</formula>
    </cfRule>
  </conditionalFormatting>
  <conditionalFormatting sqref="K8">
    <cfRule type="expression" dxfId="1032" priority="48">
      <formula>ABS(K$7-K$10)&gt;=1000</formula>
    </cfRule>
  </conditionalFormatting>
  <conditionalFormatting sqref="L8">
    <cfRule type="expression" dxfId="1031" priority="47">
      <formula>ABS(L$7-L$10)&gt;=1000</formula>
    </cfRule>
  </conditionalFormatting>
  <conditionalFormatting sqref="M8">
    <cfRule type="expression" dxfId="1030" priority="46">
      <formula>ABS(M$7-M$10)&gt;=1000</formula>
    </cfRule>
  </conditionalFormatting>
  <conditionalFormatting sqref="N8">
    <cfRule type="expression" dxfId="1029" priority="45">
      <formula>ABS(N$7-N$10)&gt;=1000</formula>
    </cfRule>
  </conditionalFormatting>
  <conditionalFormatting sqref="O8">
    <cfRule type="expression" dxfId="1028" priority="44">
      <formula>ABS(O$7-O$10)&gt;=1000</formula>
    </cfRule>
  </conditionalFormatting>
  <conditionalFormatting sqref="P8">
    <cfRule type="expression" dxfId="1027" priority="43">
      <formula>ABS(P$7-P$10)&gt;=1000</formula>
    </cfRule>
  </conditionalFormatting>
  <conditionalFormatting sqref="J6">
    <cfRule type="expression" dxfId="1026" priority="42">
      <formula>ABS(J$7-J$10)&gt;=1000</formula>
    </cfRule>
  </conditionalFormatting>
  <conditionalFormatting sqref="K6">
    <cfRule type="expression" dxfId="1025" priority="41">
      <formula>ABS(K$7-K$10)&gt;=1000</formula>
    </cfRule>
  </conditionalFormatting>
  <conditionalFormatting sqref="L6">
    <cfRule type="expression" dxfId="1024" priority="40">
      <formula>ABS(L$7-L$10)&gt;=1000</formula>
    </cfRule>
  </conditionalFormatting>
  <conditionalFormatting sqref="M6">
    <cfRule type="expression" dxfId="1023" priority="39">
      <formula>ABS(M$7-M$10)&gt;=1000</formula>
    </cfRule>
  </conditionalFormatting>
  <conditionalFormatting sqref="N6">
    <cfRule type="expression" dxfId="1022" priority="38">
      <formula>ABS(N$7-N$10)&gt;=1000</formula>
    </cfRule>
  </conditionalFormatting>
  <conditionalFormatting sqref="O6">
    <cfRule type="expression" dxfId="1021" priority="37">
      <formula>ABS(O$7-O$10)&gt;=1000</formula>
    </cfRule>
  </conditionalFormatting>
  <conditionalFormatting sqref="P6">
    <cfRule type="expression" dxfId="1020" priority="36">
      <formula>ABS(P$7-P$10)&gt;=1000</formula>
    </cfRule>
  </conditionalFormatting>
  <conditionalFormatting sqref="L7">
    <cfRule type="expression" dxfId="1019" priority="35">
      <formula>ABS(L$7-L$10)&gt;=1000</formula>
    </cfRule>
  </conditionalFormatting>
  <conditionalFormatting sqref="M7">
    <cfRule type="expression" dxfId="1018" priority="34">
      <formula>ABS(M$7-M$10)&gt;=1000</formula>
    </cfRule>
  </conditionalFormatting>
  <conditionalFormatting sqref="O7:P7">
    <cfRule type="expression" dxfId="1017" priority="33">
      <formula>ABS(O$7-O$10)&gt;=1000</formula>
    </cfRule>
  </conditionalFormatting>
  <conditionalFormatting sqref="N7">
    <cfRule type="expression" dxfId="1016" priority="32">
      <formula>ABS(N$7-N$10)&gt;=1000</formula>
    </cfRule>
  </conditionalFormatting>
  <conditionalFormatting sqref="H7:K7">
    <cfRule type="expression" dxfId="1015" priority="31">
      <formula>ABS(H$7-H$10)&gt;=1000</formula>
    </cfRule>
  </conditionalFormatting>
  <conditionalFormatting sqref="D7:G7">
    <cfRule type="expression" dxfId="1014" priority="30">
      <formula>ABS(D$7-D$10)&gt;=1000</formula>
    </cfRule>
  </conditionalFormatting>
  <conditionalFormatting sqref="J5:K5">
    <cfRule type="expression" dxfId="1013" priority="29">
      <formula>ABS(J$7-J$10)&gt;=1000</formula>
    </cfRule>
  </conditionalFormatting>
  <conditionalFormatting sqref="D9 D11">
    <cfRule type="expression" dxfId="1012" priority="28">
      <formula>ABS(D$7-D$10)&gt;=1000</formula>
    </cfRule>
  </conditionalFormatting>
  <conditionalFormatting sqref="E9 E11">
    <cfRule type="expression" dxfId="1011" priority="27">
      <formula>ABS(E$7-E$10)&gt;=1000</formula>
    </cfRule>
  </conditionalFormatting>
  <conditionalFormatting sqref="F9 F11">
    <cfRule type="expression" dxfId="1010" priority="26">
      <formula>ABS(F$7-F$10)&gt;=1000</formula>
    </cfRule>
  </conditionalFormatting>
  <conditionalFormatting sqref="G9 G11">
    <cfRule type="expression" dxfId="1009" priority="25">
      <formula>ABS(G$7-G$10)&gt;=1000</formula>
    </cfRule>
  </conditionalFormatting>
  <conditionalFormatting sqref="H11">
    <cfRule type="expression" dxfId="1008" priority="24">
      <formula>ABS(H$7-H$10)&gt;=1000</formula>
    </cfRule>
  </conditionalFormatting>
  <conditionalFormatting sqref="I11">
    <cfRule type="expression" dxfId="1007" priority="23">
      <formula>ABS(I$7-I$10)&gt;=1000</formula>
    </cfRule>
  </conditionalFormatting>
  <conditionalFormatting sqref="J11">
    <cfRule type="expression" dxfId="1006" priority="22">
      <formula>ABS(J$7-J$10)&gt;=1000</formula>
    </cfRule>
  </conditionalFormatting>
  <conditionalFormatting sqref="K11">
    <cfRule type="expression" dxfId="1005" priority="21">
      <formula>ABS(K$7-K$10)&gt;=1000</formula>
    </cfRule>
  </conditionalFormatting>
  <conditionalFormatting sqref="L11">
    <cfRule type="expression" dxfId="1004" priority="20">
      <formula>ABS(L$7-L$10)&gt;=1000</formula>
    </cfRule>
  </conditionalFormatting>
  <conditionalFormatting sqref="M11">
    <cfRule type="expression" dxfId="1003" priority="19">
      <formula>ABS(M$7-M$10)&gt;=1000</formula>
    </cfRule>
  </conditionalFormatting>
  <conditionalFormatting sqref="N11">
    <cfRule type="expression" dxfId="1002" priority="18">
      <formula>ABS(N$7-N$10)&gt;=1000</formula>
    </cfRule>
  </conditionalFormatting>
  <conditionalFormatting sqref="O11">
    <cfRule type="expression" dxfId="1001" priority="17">
      <formula>ABS(O$7-O$10)&gt;=1000</formula>
    </cfRule>
  </conditionalFormatting>
  <conditionalFormatting sqref="P11">
    <cfRule type="expression" dxfId="1000" priority="16">
      <formula>ABS(P$7-P$10)&gt;=1000</formula>
    </cfRule>
  </conditionalFormatting>
  <conditionalFormatting sqref="H9">
    <cfRule type="expression" dxfId="999" priority="15">
      <formula>ABS(H$7-H$10)&gt;=1000</formula>
    </cfRule>
  </conditionalFormatting>
  <conditionalFormatting sqref="J9">
    <cfRule type="expression" dxfId="998" priority="14">
      <formula>ABS(J$7-J$10)&gt;=1000</formula>
    </cfRule>
  </conditionalFormatting>
  <conditionalFormatting sqref="K9">
    <cfRule type="expression" dxfId="997" priority="13">
      <formula>ABS(K$7-K$10)&gt;=1000</formula>
    </cfRule>
  </conditionalFormatting>
  <conditionalFormatting sqref="L9">
    <cfRule type="expression" dxfId="996" priority="12">
      <formula>ABS(L$7-L$10)&gt;=1000</formula>
    </cfRule>
  </conditionalFormatting>
  <conditionalFormatting sqref="M9">
    <cfRule type="expression" dxfId="995" priority="11">
      <formula>ABS(M$7-M$10)&gt;=1000</formula>
    </cfRule>
  </conditionalFormatting>
  <conditionalFormatting sqref="N9">
    <cfRule type="expression" dxfId="994" priority="10">
      <formula>ABS(N$7-N$10)&gt;=1000</formula>
    </cfRule>
  </conditionalFormatting>
  <conditionalFormatting sqref="O9">
    <cfRule type="expression" dxfId="993" priority="9">
      <formula>ABS(O$7-O$10)&gt;=1000</formula>
    </cfRule>
  </conditionalFormatting>
  <conditionalFormatting sqref="P9">
    <cfRule type="expression" dxfId="992" priority="8">
      <formula>ABS(P$7-P$10)&gt;=1000</formula>
    </cfRule>
  </conditionalFormatting>
  <conditionalFormatting sqref="I9">
    <cfRule type="expression" dxfId="991" priority="7">
      <formula>ABS(I$7-I$10)&gt;=1000</formula>
    </cfRule>
  </conditionalFormatting>
  <conditionalFormatting sqref="L10">
    <cfRule type="expression" dxfId="990" priority="6">
      <formula>ABS(L$7-L$10)&gt;=1000</formula>
    </cfRule>
  </conditionalFormatting>
  <conditionalFormatting sqref="M10">
    <cfRule type="expression" dxfId="989" priority="5">
      <formula>ABS(M$7-M$10)&gt;=1000</formula>
    </cfRule>
  </conditionalFormatting>
  <conditionalFormatting sqref="O10:P10">
    <cfRule type="expression" dxfId="988" priority="4">
      <formula>ABS(O$7-O$10)&gt;=1000</formula>
    </cfRule>
  </conditionalFormatting>
  <conditionalFormatting sqref="N10">
    <cfRule type="expression" dxfId="987" priority="3">
      <formula>ABS(N$7-N$10)&gt;=1000</formula>
    </cfRule>
  </conditionalFormatting>
  <conditionalFormatting sqref="H10:K10">
    <cfRule type="expression" dxfId="986" priority="2">
      <formula>ABS(H$7-H$10)&gt;=1000</formula>
    </cfRule>
  </conditionalFormatting>
  <conditionalFormatting sqref="D10:G10">
    <cfRule type="expression" dxfId="985" priority="1">
      <formula>ABS(D$7-D$10)&gt;=1000</formula>
    </cfRule>
  </conditionalFormatting>
  <conditionalFormatting sqref="I12">
    <cfRule type="expression" dxfId="984" priority="73">
      <formula>ABS(#REF!-#REF!)&gt;=1000</formula>
    </cfRule>
  </conditionalFormatting>
  <conditionalFormatting sqref="D6">
    <cfRule type="expression" dxfId="983" priority="82" stopIfTrue="1">
      <formula>MOD(ROUND($D$6*100,2),1)=0</formula>
    </cfRule>
  </conditionalFormatting>
  <conditionalFormatting sqref="E6">
    <cfRule type="expression" dxfId="982" priority="83" stopIfTrue="1">
      <formula>MOD(ROUND($E$6*100,2),1)=0</formula>
    </cfRule>
  </conditionalFormatting>
  <conditionalFormatting sqref="F6">
    <cfRule type="expression" dxfId="981" priority="84" stopIfTrue="1">
      <formula>MOD(ROUND($F$6*100,2),1)=0</formula>
    </cfRule>
  </conditionalFormatting>
  <conditionalFormatting sqref="G6">
    <cfRule type="expression" dxfId="980" priority="85" stopIfTrue="1">
      <formula>MOD(ROUND($G$6*100,2),1)=0</formula>
    </cfRule>
  </conditionalFormatting>
  <conditionalFormatting sqref="D9">
    <cfRule type="expression" dxfId="979" priority="86" stopIfTrue="1">
      <formula>MOD(ROUND($D$9*100,2),1)=0</formula>
    </cfRule>
  </conditionalFormatting>
  <conditionalFormatting sqref="E9">
    <cfRule type="expression" dxfId="978" priority="87" stopIfTrue="1">
      <formula>MOD(ROUND($E$9*100,2),1)=0</formula>
    </cfRule>
  </conditionalFormatting>
  <conditionalFormatting sqref="F9">
    <cfRule type="expression" dxfId="977" priority="88" stopIfTrue="1">
      <formula>MOD(ROUND($F$9*100,2),1)=0</formula>
    </cfRule>
  </conditionalFormatting>
  <conditionalFormatting sqref="G9">
    <cfRule type="expression" dxfId="976"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36161"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36161" r:id="rId4"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1">
    <pageSetUpPr fitToPage="1"/>
  </sheetPr>
  <dimension ref="A1:AQ205"/>
  <sheetViews>
    <sheetView view="pageBreakPreview" zoomScaleNormal="100" zoomScaleSheetLayoutView="100" workbookViewId="0">
      <selection activeCell="R19" sqref="R19"/>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46248</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92" t="s" ph="1">
        <v>42</v>
      </c>
      <c r="D6" s="151">
        <v>0.87060000000000004</v>
      </c>
      <c r="E6" s="151">
        <v>6.0899999999999996E-2</v>
      </c>
      <c r="F6" s="151">
        <v>0.94599999999999995</v>
      </c>
      <c r="G6" s="151">
        <v>6.4899999999999999E-2</v>
      </c>
      <c r="H6" s="150">
        <v>2881</v>
      </c>
      <c r="I6" s="150">
        <v>1702</v>
      </c>
      <c r="J6" s="150">
        <v>4717</v>
      </c>
      <c r="K6" s="150">
        <v>336</v>
      </c>
      <c r="L6" s="150">
        <v>2328</v>
      </c>
      <c r="M6" s="150">
        <v>1613</v>
      </c>
      <c r="N6" s="150">
        <v>466</v>
      </c>
      <c r="O6" s="150">
        <v>3689</v>
      </c>
      <c r="P6" s="150">
        <v>4342</v>
      </c>
      <c r="Q6" s="294"/>
      <c r="R6" s="295"/>
      <c r="S6" s="295"/>
      <c r="T6" s="295"/>
      <c r="U6" s="296"/>
    </row>
    <row r="7" spans="1:43" s="61" customFormat="1" ht="25.95" customHeight="1" ph="1">
      <c r="B7" s="284" ph="1"/>
      <c r="C7" s="57" t="s" ph="1">
        <v>43</v>
      </c>
      <c r="D7" s="62" ph="1">
        <f>((D6*5885)*4.48)*LOOKUP(D8,密度!$A$2:$A$50,密度!$B$2:$B$50)</f>
        <v>17735.933683776006</v>
      </c>
      <c r="E7" s="62" ph="1">
        <f>((E6*5885)*4.48)*LOOKUP(E8,密度!$A$2:$A$50,密度!$B$2:$B$50)</f>
        <v>1244.834332896</v>
      </c>
      <c r="F7" s="62" ph="1">
        <f>((F6*5885)*4.48)*LOOKUP(F8,密度!$A$2:$A$50,密度!$B$2:$B$50)</f>
        <v>19291.941468800003</v>
      </c>
      <c r="G7" s="62" ph="1">
        <f>((G6*5885)*4.48)*LOOKUP(G8,密度!$A$2:$A$50,密度!$B$2:$B$50)</f>
        <v>1328.1368186240002</v>
      </c>
      <c r="H7" s="62" ph="1">
        <f>IF(H6&lt;=0,0,IF(H6&lt;=745,PI()*(5.3235*(H6/1000)^2-(4/3)*(H6/1000)^3),7.55+15.2053*((H6-745)/1000))*LOOKUP(H8,密度!$A$2:$A$50,密度!$B$2:$B$50)*1000)</f>
        <v>30930.038022159999</v>
      </c>
      <c r="I7" s="62" ph="1">
        <f>IF(I6&lt;=0,0,IF(I6&lt;=745,PI()*(5.3235*(I6/1000)^2-(4/3)*(I6/1000)^3),7.55+15.2053*((I6-745)/1000))*LOOKUP(I8,密度!$A$2:$A$50,密度!$B$2:$B$50)*1000)</f>
        <v>17077.807491669999</v>
      </c>
      <c r="J7" s="62" ph="1">
        <f>IF(J6&lt;=0,0,IF(J6&lt;=745,PI()*(5.3235*(J6/1000)^2-(4/3)*(J6/1000)^3),7.55+15.2053*((J6-745)/1000))*LOOKUP(J8,密度!$A$2:$A$50,密度!$B$2:$B$50)*1000)</f>
        <v>52616.957719039994</v>
      </c>
      <c r="K7" s="62" ph="1">
        <f>IF(K6&lt;=0,0,IF(K6&lt;=745,PI()*(5.3235*(K6/1000)^2-(4/3)*(K6/1000)^3),7.55+15.2053*((K6-745)/1000))*LOOKUP(K8,密度!$A$2:$A$50,密度!$B$2:$B$50)*1000)</f>
        <v>1343.5957055039746</v>
      </c>
      <c r="L7" s="62" ph="1">
        <f>L6*26.42*LOOKUP(L8,密度!$A$2:$A$50,密度!$B$2:$B$50)</f>
        <v>47685.415728</v>
      </c>
      <c r="M7" s="62" ph="1">
        <f>M6*26.42*1</f>
        <v>42615.46</v>
      </c>
      <c r="N7" s="62" ph="1">
        <f>N6*18.32*LOOKUP(N8,密度!$A$2:$A$50,密度!$B$2:$B$50)</f>
        <v>6618.8291360000003</v>
      </c>
      <c r="O7" s="62" ph="1">
        <f>O6*81.71*LOOKUP(O8,密度!$A$2:$A$50,密度!$B$2:$B$50)</f>
        <v>233154.70496499998</v>
      </c>
      <c r="P7" s="62" ph="1">
        <f>P6*81.71*LOOKUP(P8,密度!$A$2:$A$50,密度!$B$2:$B$50)</f>
        <v>274745.36460799997</v>
      </c>
      <c r="Q7" s="294"/>
      <c r="R7" s="295"/>
      <c r="S7" s="295"/>
      <c r="T7" s="295"/>
      <c r="U7" s="296"/>
    </row>
    <row r="8" spans="1:43" ht="25.95" customHeight="1" ph="1">
      <c r="B8" s="284" ph="1"/>
      <c r="C8" s="57" t="s" ph="1">
        <v>44</v>
      </c>
      <c r="D8" s="149">
        <v>33</v>
      </c>
      <c r="E8" s="149">
        <v>30</v>
      </c>
      <c r="F8" s="149">
        <v>32</v>
      </c>
      <c r="G8" s="149">
        <v>29</v>
      </c>
      <c r="H8" s="149">
        <v>33</v>
      </c>
      <c r="I8" s="149">
        <v>33</v>
      </c>
      <c r="J8" s="149">
        <v>31</v>
      </c>
      <c r="K8" s="149">
        <v>28</v>
      </c>
      <c r="L8" s="149">
        <v>30</v>
      </c>
      <c r="M8" s="149">
        <v>30</v>
      </c>
      <c r="N8" s="149">
        <v>30</v>
      </c>
      <c r="O8" s="149">
        <v>32</v>
      </c>
      <c r="P8" s="149">
        <v>31</v>
      </c>
      <c r="Q8" s="294"/>
      <c r="R8" s="295"/>
      <c r="S8" s="295"/>
      <c r="T8" s="295"/>
      <c r="U8" s="296"/>
    </row>
    <row r="9" spans="1:43" ht="25.95" customHeight="1" ph="1">
      <c r="B9" s="284" ph="1">
        <v>0.66666666666666663</v>
      </c>
      <c r="C9" s="192" t="s" ph="1">
        <v>45</v>
      </c>
      <c r="D9" s="151">
        <v>0</v>
      </c>
      <c r="E9" s="151">
        <v>0.50609999999999999</v>
      </c>
      <c r="F9" s="151">
        <v>0</v>
      </c>
      <c r="G9" s="151">
        <v>0.55490000000000006</v>
      </c>
      <c r="H9" s="150">
        <v>2028</v>
      </c>
      <c r="I9" s="150">
        <v>2369</v>
      </c>
      <c r="J9" s="150">
        <v>6117</v>
      </c>
      <c r="K9" s="150">
        <v>336</v>
      </c>
      <c r="L9" s="150">
        <v>1965</v>
      </c>
      <c r="M9" s="150">
        <v>1610</v>
      </c>
      <c r="N9" s="150">
        <v>570</v>
      </c>
      <c r="O9" s="150">
        <v>4901</v>
      </c>
      <c r="P9" s="150">
        <v>4346</v>
      </c>
      <c r="Q9" s="294"/>
      <c r="R9" s="295"/>
      <c r="S9" s="295"/>
      <c r="T9" s="295"/>
      <c r="U9" s="296"/>
    </row>
    <row r="10" spans="1:43" s="61" customFormat="1" ht="25.95" customHeight="1" ph="1">
      <c r="B10" s="284" ph="1"/>
      <c r="C10" s="192" t="s" ph="1">
        <v>43</v>
      </c>
      <c r="D10" s="62" ph="1">
        <f>((D9*5885)*4.48)*LOOKUP(D11,密度!$A$2:$A$50,密度!$B$2:$B$50)</f>
        <v>0</v>
      </c>
      <c r="E10" s="62" ph="1">
        <f>((E9*5885)*4.48)*LOOKUP(E11,密度!$A$2:$A$50,密度!$B$2:$B$50)</f>
        <v>10286.292368352</v>
      </c>
      <c r="F10" s="62" ph="1">
        <f>((F9*5885)*4.48)*LOOKUP(F11,密度!$A$2:$A$50,密度!$B$2:$B$50)</f>
        <v>0</v>
      </c>
      <c r="G10" s="62" ph="1">
        <f>((G9*5885)*4.48)*LOOKUP(G11,密度!$A$2:$A$50,密度!$B$2:$B$50)</f>
        <v>11291.300879936003</v>
      </c>
      <c r="H10" s="62" ph="1">
        <f>IF(H9&lt;=0,0,IF(H9&lt;=745,PI()*(5.3235*(H9/1000)^2-(4/3)*(H9/1000)^3),7.55+15.2053*((H9-745)/1000))*LOOKUP(H11,密度!$A$2:$A$50,密度!$B$2:$B$50)*1000)</f>
        <v>20859.32048291</v>
      </c>
      <c r="I10" s="62" ph="1">
        <f>IF(I9&lt;=0,0,IF(I9&lt;=745,PI()*(5.3235*(I9/1000)^2-(4/3)*(I9/1000)^3),7.55+15.2053*((I9-745)/1000))*LOOKUP(I11,密度!$A$2:$A$50,密度!$B$2:$B$50)*1000)</f>
        <v>24885.461676960003</v>
      </c>
      <c r="J10" s="62" ph="1">
        <f>IF(J9&lt;=0,0,IF(J9&lt;=745,PI()*(5.3235*(J9/1000)^2-(4/3)*(J9/1000)^3),7.55+15.2053*((J9-745)/1000))*LOOKUP(J11,密度!$A$2:$A$50,密度!$B$2:$B$50)*1000)</f>
        <v>69021.626182599983</v>
      </c>
      <c r="K10" s="62" ph="1">
        <f>IF(K9&lt;=0,0,IF(K9&lt;=745,PI()*(5.3235*(K9/1000)^2-(4/3)*(K9/1000)^3),7.55+15.2053*((K9-745)/1000))*LOOKUP(K11,密度!$A$2:$A$50,密度!$B$2:$B$50)*1000)</f>
        <v>1334.6038166125711</v>
      </c>
      <c r="L10" s="62" ph="1">
        <f>L9*26.42*LOOKUP(L11,密度!$A$2:$A$50,密度!$B$2:$B$50)</f>
        <v>40203.208319999998</v>
      </c>
      <c r="M10" s="62" ph="1">
        <f>M9*26.42*1</f>
        <v>42536.200000000004</v>
      </c>
      <c r="N10" s="62" ph="1">
        <f>N9*18.32*LOOKUP(N11,密度!$A$2:$A$50,密度!$B$2:$B$50)</f>
        <v>8095.9927199999993</v>
      </c>
      <c r="O10" s="62" ph="1">
        <f>O9*81.71*LOOKUP(O11,密度!$A$2:$A$50,密度!$B$2:$B$50)</f>
        <v>309756.35918499995</v>
      </c>
      <c r="P10" s="62" ph="1">
        <f>P9*81.71*LOOKUP(P11,密度!$A$2:$A$50,密度!$B$2:$B$50)</f>
        <v>274998.46950399998</v>
      </c>
      <c r="Q10" s="294"/>
      <c r="R10" s="295"/>
      <c r="S10" s="295"/>
      <c r="T10" s="295"/>
      <c r="U10" s="296"/>
    </row>
    <row r="11" spans="1:43" ht="25.95" customHeight="1" ph="1">
      <c r="A11" s="53" t="s" ph="1">
        <v>40</v>
      </c>
      <c r="B11" s="284" ph="1"/>
      <c r="C11" s="192" t="s" ph="1">
        <v>44</v>
      </c>
      <c r="D11" s="149">
        <v>33</v>
      </c>
      <c r="E11" s="149">
        <v>35</v>
      </c>
      <c r="F11" s="149">
        <v>34</v>
      </c>
      <c r="G11" s="149">
        <v>34</v>
      </c>
      <c r="H11" s="149">
        <v>35</v>
      </c>
      <c r="I11" s="149">
        <v>34</v>
      </c>
      <c r="J11" s="149">
        <v>32</v>
      </c>
      <c r="K11" s="149">
        <v>34</v>
      </c>
      <c r="L11" s="149">
        <v>31</v>
      </c>
      <c r="M11" s="149">
        <v>31</v>
      </c>
      <c r="N11" s="149">
        <v>30</v>
      </c>
      <c r="O11" s="149">
        <v>32</v>
      </c>
      <c r="P11" s="149">
        <v>31</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92" t="s" ph="1">
        <v>1</v>
      </c>
      <c r="F14" s="88" t="s" ph="1">
        <v>28</v>
      </c>
      <c r="G14" s="86" t="s" ph="1">
        <v>0</v>
      </c>
      <c r="H14" s="192" t="s" ph="1">
        <v>1</v>
      </c>
      <c r="I14" s="193" t="s" ph="1">
        <v>28</v>
      </c>
      <c r="J14" s="86" t="s" ph="1">
        <v>0</v>
      </c>
      <c r="K14" s="192" t="s" ph="1">
        <v>1</v>
      </c>
      <c r="L14" s="193" t="s" ph="1">
        <v>28</v>
      </c>
      <c r="M14" s="86" t="s" ph="1">
        <v>0</v>
      </c>
      <c r="N14" s="192" t="s" ph="1">
        <v>1</v>
      </c>
      <c r="O14" s="193" t="s" ph="1">
        <v>28</v>
      </c>
      <c r="P14" s="86" t="s" ph="1">
        <v>0</v>
      </c>
      <c r="Q14" s="87" t="s" ph="1">
        <v>1</v>
      </c>
      <c r="R14" s="88" t="s" ph="1">
        <v>28</v>
      </c>
      <c r="S14" s="86" t="s" ph="1">
        <v>0</v>
      </c>
      <c r="T14" s="192" t="s" ph="1">
        <v>1</v>
      </c>
      <c r="U14" s="88" t="s" ph="1">
        <v>28</v>
      </c>
    </row>
    <row r="15" spans="1:43" ph="1">
      <c r="A15" s="53"/>
      <c r="B15" s="300" t="s" ph="1">
        <v>46</v>
      </c>
      <c r="C15" s="301" ph="1"/>
      <c r="D15" s="241" ph="1">
        <f>O10+P10</f>
        <v>584754.82868899987</v>
      </c>
      <c r="E15" s="233" ph="1">
        <f>H10+I10+J10+K10</f>
        <v>116101.01215908254</v>
      </c>
      <c r="F15" s="257" ph="1">
        <f>L10+N10</f>
        <v>48299.20104</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94" ph="1"/>
      <c r="P18" s="90" ph="1"/>
      <c r="Q18" s="194" t="s" ph="1">
        <v>50</v>
      </c>
      <c r="R18" s="218" t="s" ph="1">
        <v>177</v>
      </c>
      <c r="S18" s="218" ph="1"/>
    </row>
    <row r="19" spans="1:21" s="194"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975" priority="72">
      <formula>ABS(D$7-D$10)&gt;=1000</formula>
    </cfRule>
  </conditionalFormatting>
  <conditionalFormatting sqref="E4">
    <cfRule type="expression" dxfId="974" priority="71">
      <formula>ABS(E$7-E$10)&gt;=1000</formula>
    </cfRule>
  </conditionalFormatting>
  <conditionalFormatting sqref="F4">
    <cfRule type="expression" dxfId="973" priority="70">
      <formula>ABS(F$7-F$10)&gt;=1000</formula>
    </cfRule>
  </conditionalFormatting>
  <conditionalFormatting sqref="G4">
    <cfRule type="expression" dxfId="972" priority="69">
      <formula>ABS(G$7-G$10)&gt;=1000</formula>
    </cfRule>
  </conditionalFormatting>
  <conditionalFormatting sqref="H4:K4">
    <cfRule type="expression" dxfId="971" priority="68">
      <formula>ABS(H$7-H$10)&gt;=1000</formula>
    </cfRule>
  </conditionalFormatting>
  <conditionalFormatting sqref="I8">
    <cfRule type="expression" dxfId="970" priority="67">
      <formula>ABS(I$7-I$10)&gt;=1000</formula>
    </cfRule>
  </conditionalFormatting>
  <conditionalFormatting sqref="L4:L5 M4:N4">
    <cfRule type="expression" dxfId="969" priority="66">
      <formula>ABS(L$7-L$10)&gt;=1000</formula>
    </cfRule>
  </conditionalFormatting>
  <conditionalFormatting sqref="M5">
    <cfRule type="expression" dxfId="968" priority="65">
      <formula>ABS(M$7-M$10)&gt;=1000</formula>
    </cfRule>
  </conditionalFormatting>
  <conditionalFormatting sqref="N5">
    <cfRule type="expression" dxfId="967" priority="64">
      <formula>ABS(N$7-N$10)&gt;=1000</formula>
    </cfRule>
  </conditionalFormatting>
  <conditionalFormatting sqref="D5">
    <cfRule type="expression" dxfId="966" priority="63">
      <formula>ABS(D$7-D$10)&gt;=1000</formula>
    </cfRule>
  </conditionalFormatting>
  <conditionalFormatting sqref="E5:G5">
    <cfRule type="expression" dxfId="965" priority="62">
      <formula>ABS(E$7-E$10)&gt;=1000</formula>
    </cfRule>
  </conditionalFormatting>
  <conditionalFormatting sqref="H5">
    <cfRule type="expression" dxfId="964" priority="61">
      <formula>ABS(H$7-H$10)&gt;=1000</formula>
    </cfRule>
  </conditionalFormatting>
  <conditionalFormatting sqref="O4:P4">
    <cfRule type="expression" dxfId="963" priority="60">
      <formula>ABS(O$7-O$10)&gt;=1000</formula>
    </cfRule>
  </conditionalFormatting>
  <conditionalFormatting sqref="O5">
    <cfRule type="expression" dxfId="962" priority="59">
      <formula>ABS(O$7-O$10)&gt;=1000</formula>
    </cfRule>
  </conditionalFormatting>
  <conditionalFormatting sqref="I6">
    <cfRule type="expression" dxfId="961" priority="58">
      <formula>ABS(I$7-I$10)&gt;=1000</formula>
    </cfRule>
  </conditionalFormatting>
  <conditionalFormatting sqref="P5">
    <cfRule type="expression" dxfId="960" priority="57">
      <formula>ABS(P$7-P$10)&gt;=1000</formula>
    </cfRule>
  </conditionalFormatting>
  <conditionalFormatting sqref="I5">
    <cfRule type="expression" dxfId="959" priority="56">
      <formula>ABS(I$7-I$10)&gt;=1000</formula>
    </cfRule>
  </conditionalFormatting>
  <conditionalFormatting sqref="D6 D8">
    <cfRule type="expression" dxfId="958" priority="55">
      <formula>ABS(D$7-D$10)&gt;=1000</formula>
    </cfRule>
  </conditionalFormatting>
  <conditionalFormatting sqref="E6 E8">
    <cfRule type="expression" dxfId="957" priority="54">
      <formula>ABS(E$7-E$10)&gt;=1000</formula>
    </cfRule>
  </conditionalFormatting>
  <conditionalFormatting sqref="F6 F8">
    <cfRule type="expression" dxfId="956" priority="53">
      <formula>ABS(F$7-F$10)&gt;=1000</formula>
    </cfRule>
  </conditionalFormatting>
  <conditionalFormatting sqref="G6 G8">
    <cfRule type="expression" dxfId="955" priority="52">
      <formula>ABS(G$7-G$10)&gt;=1000</formula>
    </cfRule>
  </conditionalFormatting>
  <conditionalFormatting sqref="H8">
    <cfRule type="expression" dxfId="954" priority="51">
      <formula>ABS(H$7-H$10)&gt;=1000</formula>
    </cfRule>
  </conditionalFormatting>
  <conditionalFormatting sqref="H6">
    <cfRule type="expression" dxfId="953" priority="50">
      <formula>ABS(H$7-H$10)&gt;=1000</formula>
    </cfRule>
  </conditionalFormatting>
  <conditionalFormatting sqref="J8">
    <cfRule type="expression" dxfId="952" priority="49">
      <formula>ABS(J$7-J$10)&gt;=1000</formula>
    </cfRule>
  </conditionalFormatting>
  <conditionalFormatting sqref="K8">
    <cfRule type="expression" dxfId="951" priority="48">
      <formula>ABS(K$7-K$10)&gt;=1000</formula>
    </cfRule>
  </conditionalFormatting>
  <conditionalFormatting sqref="L8">
    <cfRule type="expression" dxfId="950" priority="47">
      <formula>ABS(L$7-L$10)&gt;=1000</formula>
    </cfRule>
  </conditionalFormatting>
  <conditionalFormatting sqref="M8">
    <cfRule type="expression" dxfId="949" priority="46">
      <formula>ABS(M$7-M$10)&gt;=1000</formula>
    </cfRule>
  </conditionalFormatting>
  <conditionalFormatting sqref="N8">
    <cfRule type="expression" dxfId="948" priority="45">
      <formula>ABS(N$7-N$10)&gt;=1000</formula>
    </cfRule>
  </conditionalFormatting>
  <conditionalFormatting sqref="O8">
    <cfRule type="expression" dxfId="947" priority="44">
      <formula>ABS(O$7-O$10)&gt;=1000</formula>
    </cfRule>
  </conditionalFormatting>
  <conditionalFormatting sqref="P8">
    <cfRule type="expression" dxfId="946" priority="43">
      <formula>ABS(P$7-P$10)&gt;=1000</formula>
    </cfRule>
  </conditionalFormatting>
  <conditionalFormatting sqref="J6">
    <cfRule type="expression" dxfId="945" priority="42">
      <formula>ABS(J$7-J$10)&gt;=1000</formula>
    </cfRule>
  </conditionalFormatting>
  <conditionalFormatting sqref="K6">
    <cfRule type="expression" dxfId="944" priority="41">
      <formula>ABS(K$7-K$10)&gt;=1000</formula>
    </cfRule>
  </conditionalFormatting>
  <conditionalFormatting sqref="L6">
    <cfRule type="expression" dxfId="943" priority="40">
      <formula>ABS(L$7-L$10)&gt;=1000</formula>
    </cfRule>
  </conditionalFormatting>
  <conditionalFormatting sqref="M6">
    <cfRule type="expression" dxfId="942" priority="39">
      <formula>ABS(M$7-M$10)&gt;=1000</formula>
    </cfRule>
  </conditionalFormatting>
  <conditionalFormatting sqref="N6">
    <cfRule type="expression" dxfId="941" priority="38">
      <formula>ABS(N$7-N$10)&gt;=1000</formula>
    </cfRule>
  </conditionalFormatting>
  <conditionalFormatting sqref="O6">
    <cfRule type="expression" dxfId="940" priority="37">
      <formula>ABS(O$7-O$10)&gt;=1000</formula>
    </cfRule>
  </conditionalFormatting>
  <conditionalFormatting sqref="P6">
    <cfRule type="expression" dxfId="939" priority="36">
      <formula>ABS(P$7-P$10)&gt;=1000</formula>
    </cfRule>
  </conditionalFormatting>
  <conditionalFormatting sqref="L7">
    <cfRule type="expression" dxfId="938" priority="35">
      <formula>ABS(L$7-L$10)&gt;=1000</formula>
    </cfRule>
  </conditionalFormatting>
  <conditionalFormatting sqref="M7">
    <cfRule type="expression" dxfId="937" priority="34">
      <formula>ABS(M$7-M$10)&gt;=1000</formula>
    </cfRule>
  </conditionalFormatting>
  <conditionalFormatting sqref="O7:P7">
    <cfRule type="expression" dxfId="936" priority="33">
      <formula>ABS(O$7-O$10)&gt;=1000</formula>
    </cfRule>
  </conditionalFormatting>
  <conditionalFormatting sqref="N7">
    <cfRule type="expression" dxfId="935" priority="32">
      <formula>ABS(N$7-N$10)&gt;=1000</formula>
    </cfRule>
  </conditionalFormatting>
  <conditionalFormatting sqref="H7:K7">
    <cfRule type="expression" dxfId="934" priority="31">
      <formula>ABS(H$7-H$10)&gt;=1000</formula>
    </cfRule>
  </conditionalFormatting>
  <conditionalFormatting sqref="D7:G7">
    <cfRule type="expression" dxfId="933" priority="30">
      <formula>ABS(D$7-D$10)&gt;=1000</formula>
    </cfRule>
  </conditionalFormatting>
  <conditionalFormatting sqref="J5:K5">
    <cfRule type="expression" dxfId="932" priority="29">
      <formula>ABS(J$7-J$10)&gt;=1000</formula>
    </cfRule>
  </conditionalFormatting>
  <conditionalFormatting sqref="D9 D11">
    <cfRule type="expression" dxfId="931" priority="28">
      <formula>ABS(D$7-D$10)&gt;=1000</formula>
    </cfRule>
  </conditionalFormatting>
  <conditionalFormatting sqref="E9 E11">
    <cfRule type="expression" dxfId="930" priority="27">
      <formula>ABS(E$7-E$10)&gt;=1000</formula>
    </cfRule>
  </conditionalFormatting>
  <conditionalFormatting sqref="F9 F11">
    <cfRule type="expression" dxfId="929" priority="26">
      <formula>ABS(F$7-F$10)&gt;=1000</formula>
    </cfRule>
  </conditionalFormatting>
  <conditionalFormatting sqref="G9 G11">
    <cfRule type="expression" dxfId="928" priority="25">
      <formula>ABS(G$7-G$10)&gt;=1000</formula>
    </cfRule>
  </conditionalFormatting>
  <conditionalFormatting sqref="H11">
    <cfRule type="expression" dxfId="927" priority="24">
      <formula>ABS(H$7-H$10)&gt;=1000</formula>
    </cfRule>
  </conditionalFormatting>
  <conditionalFormatting sqref="I11">
    <cfRule type="expression" dxfId="926" priority="23">
      <formula>ABS(I$7-I$10)&gt;=1000</formula>
    </cfRule>
  </conditionalFormatting>
  <conditionalFormatting sqref="J11">
    <cfRule type="expression" dxfId="925" priority="22">
      <formula>ABS(J$7-J$10)&gt;=1000</formula>
    </cfRule>
  </conditionalFormatting>
  <conditionalFormatting sqref="K11">
    <cfRule type="expression" dxfId="924" priority="21">
      <formula>ABS(K$7-K$10)&gt;=1000</formula>
    </cfRule>
  </conditionalFormatting>
  <conditionalFormatting sqref="L11">
    <cfRule type="expression" dxfId="923" priority="20">
      <formula>ABS(L$7-L$10)&gt;=1000</formula>
    </cfRule>
  </conditionalFormatting>
  <conditionalFormatting sqref="M11">
    <cfRule type="expression" dxfId="922" priority="19">
      <formula>ABS(M$7-M$10)&gt;=1000</formula>
    </cfRule>
  </conditionalFormatting>
  <conditionalFormatting sqref="N11">
    <cfRule type="expression" dxfId="921" priority="18">
      <formula>ABS(N$7-N$10)&gt;=1000</formula>
    </cfRule>
  </conditionalFormatting>
  <conditionalFormatting sqref="O11">
    <cfRule type="expression" dxfId="920" priority="17">
      <formula>ABS(O$7-O$10)&gt;=1000</formula>
    </cfRule>
  </conditionalFormatting>
  <conditionalFormatting sqref="P11">
    <cfRule type="expression" dxfId="919" priority="16">
      <formula>ABS(P$7-P$10)&gt;=1000</formula>
    </cfRule>
  </conditionalFormatting>
  <conditionalFormatting sqref="H9">
    <cfRule type="expression" dxfId="918" priority="15">
      <formula>ABS(H$7-H$10)&gt;=1000</formula>
    </cfRule>
  </conditionalFormatting>
  <conditionalFormatting sqref="J9">
    <cfRule type="expression" dxfId="917" priority="14">
      <formula>ABS(J$7-J$10)&gt;=1000</formula>
    </cfRule>
  </conditionalFormatting>
  <conditionalFormatting sqref="K9">
    <cfRule type="expression" dxfId="916" priority="13">
      <formula>ABS(K$7-K$10)&gt;=1000</formula>
    </cfRule>
  </conditionalFormatting>
  <conditionalFormatting sqref="L9">
    <cfRule type="expression" dxfId="915" priority="12">
      <formula>ABS(L$7-L$10)&gt;=1000</formula>
    </cfRule>
  </conditionalFormatting>
  <conditionalFormatting sqref="M9">
    <cfRule type="expression" dxfId="914" priority="11">
      <formula>ABS(M$7-M$10)&gt;=1000</formula>
    </cfRule>
  </conditionalFormatting>
  <conditionalFormatting sqref="N9">
    <cfRule type="expression" dxfId="913" priority="10">
      <formula>ABS(N$7-N$10)&gt;=1000</formula>
    </cfRule>
  </conditionalFormatting>
  <conditionalFormatting sqref="O9">
    <cfRule type="expression" dxfId="912" priority="9">
      <formula>ABS(O$7-O$10)&gt;=1000</formula>
    </cfRule>
  </conditionalFormatting>
  <conditionalFormatting sqref="P9">
    <cfRule type="expression" dxfId="911" priority="8">
      <formula>ABS(P$7-P$10)&gt;=1000</formula>
    </cfRule>
  </conditionalFormatting>
  <conditionalFormatting sqref="I9">
    <cfRule type="expression" dxfId="910" priority="7">
      <formula>ABS(I$7-I$10)&gt;=1000</formula>
    </cfRule>
  </conditionalFormatting>
  <conditionalFormatting sqref="L10">
    <cfRule type="expression" dxfId="909" priority="6">
      <formula>ABS(L$7-L$10)&gt;=1000</formula>
    </cfRule>
  </conditionalFormatting>
  <conditionalFormatting sqref="M10">
    <cfRule type="expression" dxfId="908" priority="5">
      <formula>ABS(M$7-M$10)&gt;=1000</formula>
    </cfRule>
  </conditionalFormatting>
  <conditionalFormatting sqref="O10:P10">
    <cfRule type="expression" dxfId="907" priority="4">
      <formula>ABS(O$7-O$10)&gt;=1000</formula>
    </cfRule>
  </conditionalFormatting>
  <conditionalFormatting sqref="N10">
    <cfRule type="expression" dxfId="906" priority="3">
      <formula>ABS(N$7-N$10)&gt;=1000</formula>
    </cfRule>
  </conditionalFormatting>
  <conditionalFormatting sqref="H10:K10">
    <cfRule type="expression" dxfId="905" priority="2">
      <formula>ABS(H$7-H$10)&gt;=1000</formula>
    </cfRule>
  </conditionalFormatting>
  <conditionalFormatting sqref="D10:G10">
    <cfRule type="expression" dxfId="904" priority="1">
      <formula>ABS(D$7-D$10)&gt;=1000</formula>
    </cfRule>
  </conditionalFormatting>
  <conditionalFormatting sqref="I12">
    <cfRule type="expression" dxfId="903" priority="73">
      <formula>ABS(#REF!-#REF!)&gt;=1000</formula>
    </cfRule>
  </conditionalFormatting>
  <conditionalFormatting sqref="D6">
    <cfRule type="expression" dxfId="902" priority="82" stopIfTrue="1">
      <formula>MOD(ROUND($D$6*100,2),1)=0</formula>
    </cfRule>
  </conditionalFormatting>
  <conditionalFormatting sqref="E6">
    <cfRule type="expression" dxfId="901" priority="83" stopIfTrue="1">
      <formula>MOD(ROUND($E$6*100,2),1)=0</formula>
    </cfRule>
  </conditionalFormatting>
  <conditionalFormatting sqref="F6">
    <cfRule type="expression" dxfId="900" priority="84" stopIfTrue="1">
      <formula>MOD(ROUND($F$6*100,2),1)=0</formula>
    </cfRule>
  </conditionalFormatting>
  <conditionalFormatting sqref="G6">
    <cfRule type="expression" dxfId="899" priority="85" stopIfTrue="1">
      <formula>MOD(ROUND($G$6*100,2),1)=0</formula>
    </cfRule>
  </conditionalFormatting>
  <conditionalFormatting sqref="D9">
    <cfRule type="expression" dxfId="898" priority="86" stopIfTrue="1">
      <formula>MOD(ROUND($D$9*100,2),1)=0</formula>
    </cfRule>
  </conditionalFormatting>
  <conditionalFormatting sqref="E9">
    <cfRule type="expression" dxfId="897" priority="87" stopIfTrue="1">
      <formula>MOD(ROUND($E$9*100,2),1)=0</formula>
    </cfRule>
  </conditionalFormatting>
  <conditionalFormatting sqref="F9">
    <cfRule type="expression" dxfId="896" priority="88" stopIfTrue="1">
      <formula>MOD(ROUND($F$9*100,2),1)=0</formula>
    </cfRule>
  </conditionalFormatting>
  <conditionalFormatting sqref="G9">
    <cfRule type="expression" dxfId="895"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40257"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40257" r:id="rId4"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2">
    <pageSetUpPr fitToPage="1"/>
  </sheetPr>
  <dimension ref="A1:AQ205"/>
  <sheetViews>
    <sheetView view="pageBreakPreview" zoomScaleNormal="100" zoomScaleSheetLayoutView="100" workbookViewId="0">
      <selection activeCell="R18" sqref="R18:S18"/>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46251</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97" t="s" ph="1">
        <v>42</v>
      </c>
      <c r="D6" s="151">
        <v>0.80330000000000001</v>
      </c>
      <c r="E6" s="151">
        <v>0.12909999999999999</v>
      </c>
      <c r="F6" s="151">
        <v>0.28660000000000002</v>
      </c>
      <c r="G6" s="151">
        <v>0.9758</v>
      </c>
      <c r="H6" s="150">
        <v>3157</v>
      </c>
      <c r="I6" s="150">
        <v>3522</v>
      </c>
      <c r="J6" s="150">
        <v>5924</v>
      </c>
      <c r="K6" s="150">
        <v>2975</v>
      </c>
      <c r="L6" s="150">
        <v>200</v>
      </c>
      <c r="M6" s="150">
        <v>1610</v>
      </c>
      <c r="N6" s="150">
        <v>1309</v>
      </c>
      <c r="O6" s="150">
        <v>3539</v>
      </c>
      <c r="P6" s="150">
        <v>4341</v>
      </c>
      <c r="Q6" s="294"/>
      <c r="R6" s="295"/>
      <c r="S6" s="295"/>
      <c r="T6" s="295"/>
      <c r="U6" s="296"/>
    </row>
    <row r="7" spans="1:43" s="61" customFormat="1" ht="25.95" customHeight="1" ph="1">
      <c r="B7" s="284" ph="1"/>
      <c r="C7" s="57" t="s" ph="1">
        <v>43</v>
      </c>
      <c r="D7" s="62" ph="1">
        <f>((D6*5885)*4.48)*LOOKUP(D8,密度!$A$2:$A$50,密度!$B$2:$B$50)</f>
        <v>16345.831675712003</v>
      </c>
      <c r="E7" s="62" ph="1">
        <f>((E6*5885)*4.48)*LOOKUP(E8,密度!$A$2:$A$50,密度!$B$2:$B$50)</f>
        <v>2638.8852607039998</v>
      </c>
      <c r="F7" s="62" ph="1">
        <f>((F6*5885)*4.48)*LOOKUP(F8,密度!$A$2:$A$50,密度!$B$2:$B$50)</f>
        <v>5858.2843975040005</v>
      </c>
      <c r="G7" s="62" ph="1">
        <f>((G6*5885)*4.48)*LOOKUP(G8,密度!$A$2:$A$50,密度!$B$2:$B$50)</f>
        <v>19945.966207551999</v>
      </c>
      <c r="H7" s="62" ph="1">
        <f>IF(H6&lt;=0,0,IF(H6&lt;=745,PI()*(5.3235*(H6/1000)^2-(4/3)*(H6/1000)^3),7.55+15.2053*((H6-745)/1000))*LOOKUP(H8,密度!$A$2:$A$50,密度!$B$2:$B$50)*1000)</f>
        <v>34247.982179839993</v>
      </c>
      <c r="I7" s="62" ph="1">
        <f>IF(I6&lt;=0,0,IF(I6&lt;=745,PI()*(5.3235*(I6/1000)^2-(4/3)*(I6/1000)^3),7.55+15.2053*((I6-745)/1000))*LOOKUP(I8,密度!$A$2:$A$50,密度!$B$2:$B$50)*1000)</f>
        <v>38501.053850349999</v>
      </c>
      <c r="J7" s="62" ph="1">
        <f>IF(J6&lt;=0,0,IF(J6&lt;=745,PI()*(5.3235*(J6/1000)^2-(4/3)*(J6/1000)^3),7.55+15.2053*((J6-745)/1000))*LOOKUP(J8,密度!$A$2:$A$50,密度!$B$2:$B$50)*1000)</f>
        <v>66829.36379327999</v>
      </c>
      <c r="K7" s="62" ph="1">
        <f>IF(K6&lt;=0,0,IF(K6&lt;=745,PI()*(5.3235*(K6/1000)^2-(4/3)*(K6/1000)^3),7.55+15.2053*((K6-745)/1000))*LOOKUP(K8,密度!$A$2:$A$50,密度!$B$2:$B$50)*1000)</f>
        <v>32142.247070699996</v>
      </c>
      <c r="L7" s="62" ph="1">
        <f>L6*26.42*LOOKUP(L8,密度!$A$2:$A$50,密度!$B$2:$B$50)</f>
        <v>4101.4408000000003</v>
      </c>
      <c r="M7" s="62" ph="1">
        <f>M6*26.42*1</f>
        <v>42536.200000000004</v>
      </c>
      <c r="N7" s="62" ph="1">
        <f>N6*18.32*LOOKUP(N8,密度!$A$2:$A$50,密度!$B$2:$B$50)</f>
        <v>18613.959056</v>
      </c>
      <c r="O7" s="62" ph="1">
        <f>O6*81.71*LOOKUP(O8,密度!$A$2:$A$50,密度!$B$2:$B$50)</f>
        <v>223674.302215</v>
      </c>
      <c r="P7" s="62" ph="1">
        <f>P6*81.71*LOOKUP(P8,密度!$A$2:$A$50,密度!$B$2:$B$50)</f>
        <v>274682.088384</v>
      </c>
      <c r="Q7" s="294"/>
      <c r="R7" s="295"/>
      <c r="S7" s="295"/>
      <c r="T7" s="295"/>
      <c r="U7" s="296"/>
    </row>
    <row r="8" spans="1:43" ht="25.95" customHeight="1" ph="1">
      <c r="B8" s="284" ph="1"/>
      <c r="C8" s="57" t="s" ph="1">
        <v>44</v>
      </c>
      <c r="D8" s="149">
        <v>34</v>
      </c>
      <c r="E8" s="149">
        <v>30</v>
      </c>
      <c r="F8" s="149">
        <v>30</v>
      </c>
      <c r="G8" s="149">
        <v>30</v>
      </c>
      <c r="H8" s="149">
        <v>31</v>
      </c>
      <c r="I8" s="149">
        <v>32</v>
      </c>
      <c r="J8" s="149">
        <v>31</v>
      </c>
      <c r="K8" s="149">
        <v>30</v>
      </c>
      <c r="L8" s="149">
        <v>29</v>
      </c>
      <c r="M8" s="149">
        <v>30</v>
      </c>
      <c r="N8" s="149">
        <v>29</v>
      </c>
      <c r="O8" s="149">
        <v>32</v>
      </c>
      <c r="P8" s="149">
        <v>31</v>
      </c>
      <c r="Q8" s="294"/>
      <c r="R8" s="295"/>
      <c r="S8" s="295"/>
      <c r="T8" s="295"/>
      <c r="U8" s="296"/>
    </row>
    <row r="9" spans="1:43" ht="25.95" customHeight="1" ph="1">
      <c r="B9" s="284" ph="1">
        <v>0.66666666666666663</v>
      </c>
      <c r="C9" s="197" t="s" ph="1">
        <v>45</v>
      </c>
      <c r="D9" s="151">
        <v>0</v>
      </c>
      <c r="E9" s="151">
        <v>0.59219999999999995</v>
      </c>
      <c r="F9" s="151">
        <v>0.28660000000000002</v>
      </c>
      <c r="G9" s="151">
        <v>0.97629999999999995</v>
      </c>
      <c r="H9" s="150">
        <v>3238</v>
      </c>
      <c r="I9" s="150">
        <v>2314</v>
      </c>
      <c r="J9" s="150">
        <v>5755</v>
      </c>
      <c r="K9" s="150">
        <v>2976</v>
      </c>
      <c r="L9" s="150">
        <v>385</v>
      </c>
      <c r="M9" s="150">
        <v>1610</v>
      </c>
      <c r="N9" s="150">
        <v>1370</v>
      </c>
      <c r="O9" s="150">
        <v>5023</v>
      </c>
      <c r="P9" s="150">
        <v>4345</v>
      </c>
      <c r="Q9" s="294"/>
      <c r="R9" s="295"/>
      <c r="S9" s="295"/>
      <c r="T9" s="295"/>
      <c r="U9" s="296"/>
    </row>
    <row r="10" spans="1:43" s="61" customFormat="1" ht="25.95" customHeight="1" ph="1">
      <c r="B10" s="284" ph="1"/>
      <c r="C10" s="197" t="s" ph="1">
        <v>43</v>
      </c>
      <c r="D10" s="62" ph="1">
        <f>((D9*5885)*4.48)*LOOKUP(D11,密度!$A$2:$A$50,密度!$B$2:$B$50)</f>
        <v>0</v>
      </c>
      <c r="E10" s="62" ph="1">
        <f>((E9*5885)*4.48)*LOOKUP(E11,密度!$A$2:$A$50,密度!$B$2:$B$50)</f>
        <v>12050.294433408002</v>
      </c>
      <c r="F10" s="62" ph="1">
        <f>((F9*5885)*4.48)*LOOKUP(F11,密度!$A$2:$A$50,密度!$B$2:$B$50)</f>
        <v>5851.4838609920007</v>
      </c>
      <c r="G10" s="62" ph="1">
        <f>((G9*5885)*4.48)*LOOKUP(G11,密度!$A$2:$A$50,密度!$B$2:$B$50)</f>
        <v>19933.020563456001</v>
      </c>
      <c r="H10" s="62" ph="1">
        <f>IF(H9&lt;=0,0,IF(H9&lt;=745,PI()*(5.3235*(H9/1000)^2-(4/3)*(H9/1000)^3),7.55+15.2053*((H9-745)/1000))*LOOKUP(H11,密度!$A$2:$A$50,密度!$B$2:$B$50)*1000)</f>
        <v>35124.479327830006</v>
      </c>
      <c r="I10" s="62" ph="1">
        <f>IF(I9&lt;=0,0,IF(I9&lt;=745,PI()*(5.3235*(I9/1000)^2-(4/3)*(I9/1000)^3),7.55+15.2053*((I9-745)/1000))*LOOKUP(I11,密度!$A$2:$A$50,密度!$B$2:$B$50)*1000)</f>
        <v>24211.745493129998</v>
      </c>
      <c r="J10" s="62" ph="1">
        <f>IF(J9&lt;=0,0,IF(J9&lt;=745,PI()*(5.3235*(J9/1000)^2-(4/3)*(J9/1000)^3),7.55+15.2053*((J9-745)/1000))*LOOKUP(J11,密度!$A$2:$A$50,密度!$B$2:$B$50)*1000)</f>
        <v>64764.035745499998</v>
      </c>
      <c r="K10" s="62" ph="1">
        <f>IF(K9&lt;=0,0,IF(K9&lt;=745,PI()*(5.3235*(K9/1000)^2-(4/3)*(K9/1000)^3),7.55+15.2053*((K9-745)/1000))*LOOKUP(K11,密度!$A$2:$A$50,密度!$B$2:$B$50)*1000)</f>
        <v>32116.710017919992</v>
      </c>
      <c r="L10" s="62" ph="1">
        <f>L9*26.42*LOOKUP(L11,密度!$A$2:$A$50,密度!$B$2:$B$50)</f>
        <v>7886.1190100000003</v>
      </c>
      <c r="M10" s="62" ph="1">
        <f>M9*26.42*1</f>
        <v>42536.200000000004</v>
      </c>
      <c r="N10" s="62" ph="1">
        <f>N9*18.32*LOOKUP(N11,密度!$A$2:$A$50,密度!$B$2:$B$50)</f>
        <v>19458.789520000002</v>
      </c>
      <c r="O10" s="62" ph="1">
        <f>O9*81.71*LOOKUP(O11,密度!$A$2:$A$50,密度!$B$2:$B$50)</f>
        <v>317467.08675499994</v>
      </c>
      <c r="P10" s="62" ph="1">
        <f>P9*81.71*LOOKUP(P11,密度!$A$2:$A$50,密度!$B$2:$B$50)</f>
        <v>274935.19327999995</v>
      </c>
      <c r="Q10" s="294"/>
      <c r="R10" s="295"/>
      <c r="S10" s="295"/>
      <c r="T10" s="295"/>
      <c r="U10" s="296"/>
    </row>
    <row r="11" spans="1:43" ht="25.95" customHeight="1" ph="1">
      <c r="A11" s="53" t="s" ph="1">
        <v>40</v>
      </c>
      <c r="B11" s="284" ph="1"/>
      <c r="C11" s="197" t="s" ph="1">
        <v>44</v>
      </c>
      <c r="D11" s="149">
        <v>33</v>
      </c>
      <c r="E11" s="149">
        <v>34</v>
      </c>
      <c r="F11" s="149">
        <v>31</v>
      </c>
      <c r="G11" s="149">
        <v>31</v>
      </c>
      <c r="H11" s="149">
        <v>33</v>
      </c>
      <c r="I11" s="149">
        <v>35</v>
      </c>
      <c r="J11" s="149">
        <v>32</v>
      </c>
      <c r="K11" s="149">
        <v>31</v>
      </c>
      <c r="L11" s="149">
        <v>30</v>
      </c>
      <c r="M11" s="149">
        <v>31</v>
      </c>
      <c r="N11" s="149">
        <v>30</v>
      </c>
      <c r="O11" s="149">
        <v>32</v>
      </c>
      <c r="P11" s="149">
        <v>31</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97" t="s" ph="1">
        <v>1</v>
      </c>
      <c r="F14" s="88" t="s" ph="1">
        <v>28</v>
      </c>
      <c r="G14" s="86" t="s" ph="1">
        <v>0</v>
      </c>
      <c r="H14" s="197" t="s" ph="1">
        <v>1</v>
      </c>
      <c r="I14" s="196" t="s" ph="1">
        <v>28</v>
      </c>
      <c r="J14" s="86" t="s" ph="1">
        <v>0</v>
      </c>
      <c r="K14" s="197" t="s" ph="1">
        <v>1</v>
      </c>
      <c r="L14" s="196" t="s" ph="1">
        <v>28</v>
      </c>
      <c r="M14" s="86" t="s" ph="1">
        <v>0</v>
      </c>
      <c r="N14" s="197" t="s" ph="1">
        <v>1</v>
      </c>
      <c r="O14" s="196" t="s" ph="1">
        <v>28</v>
      </c>
      <c r="P14" s="86" t="s" ph="1">
        <v>0</v>
      </c>
      <c r="Q14" s="87" t="s" ph="1">
        <v>1</v>
      </c>
      <c r="R14" s="88" t="s" ph="1">
        <v>28</v>
      </c>
      <c r="S14" s="86" t="s" ph="1">
        <v>0</v>
      </c>
      <c r="T14" s="197" t="s" ph="1">
        <v>1</v>
      </c>
      <c r="U14" s="88" t="s" ph="1">
        <v>28</v>
      </c>
    </row>
    <row r="15" spans="1:43" ph="1">
      <c r="A15" s="53"/>
      <c r="B15" s="300" t="s" ph="1">
        <v>46</v>
      </c>
      <c r="C15" s="301" ph="1"/>
      <c r="D15" s="241" ph="1">
        <f>O10+P10</f>
        <v>592402.28003499983</v>
      </c>
      <c r="E15" s="233" ph="1">
        <f>H10+I10+J10+K10</f>
        <v>156216.97058437997</v>
      </c>
      <c r="F15" s="257" ph="1">
        <f>L10+N10</f>
        <v>27344.908530000001</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95" ph="1"/>
      <c r="P18" s="90" ph="1"/>
      <c r="Q18" s="195" t="s" ph="1">
        <v>50</v>
      </c>
      <c r="R18" s="218" t="s" ph="1">
        <v>177</v>
      </c>
      <c r="S18" s="218" ph="1"/>
    </row>
    <row r="19" spans="1:21" s="195"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894" priority="72">
      <formula>ABS(D$7-D$10)&gt;=1000</formula>
    </cfRule>
  </conditionalFormatting>
  <conditionalFormatting sqref="E4">
    <cfRule type="expression" dxfId="893" priority="71">
      <formula>ABS(E$7-E$10)&gt;=1000</formula>
    </cfRule>
  </conditionalFormatting>
  <conditionalFormatting sqref="F4">
    <cfRule type="expression" dxfId="892" priority="70">
      <formula>ABS(F$7-F$10)&gt;=1000</formula>
    </cfRule>
  </conditionalFormatting>
  <conditionalFormatting sqref="G4">
    <cfRule type="expression" dxfId="891" priority="69">
      <formula>ABS(G$7-G$10)&gt;=1000</formula>
    </cfRule>
  </conditionalFormatting>
  <conditionalFormatting sqref="H4:K4">
    <cfRule type="expression" dxfId="890" priority="68">
      <formula>ABS(H$7-H$10)&gt;=1000</formula>
    </cfRule>
  </conditionalFormatting>
  <conditionalFormatting sqref="I8">
    <cfRule type="expression" dxfId="889" priority="67">
      <formula>ABS(I$7-I$10)&gt;=1000</formula>
    </cfRule>
  </conditionalFormatting>
  <conditionalFormatting sqref="L4:L5 M4:N4">
    <cfRule type="expression" dxfId="888" priority="66">
      <formula>ABS(L$7-L$10)&gt;=1000</formula>
    </cfRule>
  </conditionalFormatting>
  <conditionalFormatting sqref="M5">
    <cfRule type="expression" dxfId="887" priority="65">
      <formula>ABS(M$7-M$10)&gt;=1000</formula>
    </cfRule>
  </conditionalFormatting>
  <conditionalFormatting sqref="N5">
    <cfRule type="expression" dxfId="886" priority="64">
      <formula>ABS(N$7-N$10)&gt;=1000</formula>
    </cfRule>
  </conditionalFormatting>
  <conditionalFormatting sqref="D5">
    <cfRule type="expression" dxfId="885" priority="63">
      <formula>ABS(D$7-D$10)&gt;=1000</formula>
    </cfRule>
  </conditionalFormatting>
  <conditionalFormatting sqref="E5:G5">
    <cfRule type="expression" dxfId="884" priority="62">
      <formula>ABS(E$7-E$10)&gt;=1000</formula>
    </cfRule>
  </conditionalFormatting>
  <conditionalFormatting sqref="H5">
    <cfRule type="expression" dxfId="883" priority="61">
      <formula>ABS(H$7-H$10)&gt;=1000</formula>
    </cfRule>
  </conditionalFormatting>
  <conditionalFormatting sqref="O4:P4">
    <cfRule type="expression" dxfId="882" priority="60">
      <formula>ABS(O$7-O$10)&gt;=1000</formula>
    </cfRule>
  </conditionalFormatting>
  <conditionalFormatting sqref="O5">
    <cfRule type="expression" dxfId="881" priority="59">
      <formula>ABS(O$7-O$10)&gt;=1000</formula>
    </cfRule>
  </conditionalFormatting>
  <conditionalFormatting sqref="I6">
    <cfRule type="expression" dxfId="880" priority="58">
      <formula>ABS(I$7-I$10)&gt;=1000</formula>
    </cfRule>
  </conditionalFormatting>
  <conditionalFormatting sqref="P5">
    <cfRule type="expression" dxfId="879" priority="57">
      <formula>ABS(P$7-P$10)&gt;=1000</formula>
    </cfRule>
  </conditionalFormatting>
  <conditionalFormatting sqref="I5">
    <cfRule type="expression" dxfId="878" priority="56">
      <formula>ABS(I$7-I$10)&gt;=1000</formula>
    </cfRule>
  </conditionalFormatting>
  <conditionalFormatting sqref="D6 D8">
    <cfRule type="expression" dxfId="877" priority="55">
      <formula>ABS(D$7-D$10)&gt;=1000</formula>
    </cfRule>
  </conditionalFormatting>
  <conditionalFormatting sqref="E6 E8">
    <cfRule type="expression" dxfId="876" priority="54">
      <formula>ABS(E$7-E$10)&gt;=1000</formula>
    </cfRule>
  </conditionalFormatting>
  <conditionalFormatting sqref="F6 F8">
    <cfRule type="expression" dxfId="875" priority="53">
      <formula>ABS(F$7-F$10)&gt;=1000</formula>
    </cfRule>
  </conditionalFormatting>
  <conditionalFormatting sqref="G6 G8">
    <cfRule type="expression" dxfId="874" priority="52">
      <formula>ABS(G$7-G$10)&gt;=1000</formula>
    </cfRule>
  </conditionalFormatting>
  <conditionalFormatting sqref="H8">
    <cfRule type="expression" dxfId="873" priority="51">
      <formula>ABS(H$7-H$10)&gt;=1000</formula>
    </cfRule>
  </conditionalFormatting>
  <conditionalFormatting sqref="H6">
    <cfRule type="expression" dxfId="872" priority="50">
      <formula>ABS(H$7-H$10)&gt;=1000</formula>
    </cfRule>
  </conditionalFormatting>
  <conditionalFormatting sqref="J8">
    <cfRule type="expression" dxfId="871" priority="49">
      <formula>ABS(J$7-J$10)&gt;=1000</formula>
    </cfRule>
  </conditionalFormatting>
  <conditionalFormatting sqref="K8">
    <cfRule type="expression" dxfId="870" priority="48">
      <formula>ABS(K$7-K$10)&gt;=1000</formula>
    </cfRule>
  </conditionalFormatting>
  <conditionalFormatting sqref="L8">
    <cfRule type="expression" dxfId="869" priority="47">
      <formula>ABS(L$7-L$10)&gt;=1000</formula>
    </cfRule>
  </conditionalFormatting>
  <conditionalFormatting sqref="M8">
    <cfRule type="expression" dxfId="868" priority="46">
      <formula>ABS(M$7-M$10)&gt;=1000</formula>
    </cfRule>
  </conditionalFormatting>
  <conditionalFormatting sqref="N8">
    <cfRule type="expression" dxfId="867" priority="45">
      <formula>ABS(N$7-N$10)&gt;=1000</formula>
    </cfRule>
  </conditionalFormatting>
  <conditionalFormatting sqref="O8">
    <cfRule type="expression" dxfId="866" priority="44">
      <formula>ABS(O$7-O$10)&gt;=1000</formula>
    </cfRule>
  </conditionalFormatting>
  <conditionalFormatting sqref="P8">
    <cfRule type="expression" dxfId="865" priority="43">
      <formula>ABS(P$7-P$10)&gt;=1000</formula>
    </cfRule>
  </conditionalFormatting>
  <conditionalFormatting sqref="J6">
    <cfRule type="expression" dxfId="864" priority="42">
      <formula>ABS(J$7-J$10)&gt;=1000</formula>
    </cfRule>
  </conditionalFormatting>
  <conditionalFormatting sqref="K6">
    <cfRule type="expression" dxfId="863" priority="41">
      <formula>ABS(K$7-K$10)&gt;=1000</formula>
    </cfRule>
  </conditionalFormatting>
  <conditionalFormatting sqref="L6">
    <cfRule type="expression" dxfId="862" priority="40">
      <formula>ABS(L$7-L$10)&gt;=1000</formula>
    </cfRule>
  </conditionalFormatting>
  <conditionalFormatting sqref="M6">
    <cfRule type="expression" dxfId="861" priority="39">
      <formula>ABS(M$7-M$10)&gt;=1000</formula>
    </cfRule>
  </conditionalFormatting>
  <conditionalFormatting sqref="N6">
    <cfRule type="expression" dxfId="860" priority="38">
      <formula>ABS(N$7-N$10)&gt;=1000</formula>
    </cfRule>
  </conditionalFormatting>
  <conditionalFormatting sqref="O6">
    <cfRule type="expression" dxfId="859" priority="37">
      <formula>ABS(O$7-O$10)&gt;=1000</formula>
    </cfRule>
  </conditionalFormatting>
  <conditionalFormatting sqref="P6">
    <cfRule type="expression" dxfId="858" priority="36">
      <formula>ABS(P$7-P$10)&gt;=1000</formula>
    </cfRule>
  </conditionalFormatting>
  <conditionalFormatting sqref="L7">
    <cfRule type="expression" dxfId="857" priority="35">
      <formula>ABS(L$7-L$10)&gt;=1000</formula>
    </cfRule>
  </conditionalFormatting>
  <conditionalFormatting sqref="M7">
    <cfRule type="expression" dxfId="856" priority="34">
      <formula>ABS(M$7-M$10)&gt;=1000</formula>
    </cfRule>
  </conditionalFormatting>
  <conditionalFormatting sqref="O7:P7">
    <cfRule type="expression" dxfId="855" priority="33">
      <formula>ABS(O$7-O$10)&gt;=1000</formula>
    </cfRule>
  </conditionalFormatting>
  <conditionalFormatting sqref="N7">
    <cfRule type="expression" dxfId="854" priority="32">
      <formula>ABS(N$7-N$10)&gt;=1000</formula>
    </cfRule>
  </conditionalFormatting>
  <conditionalFormatting sqref="H7:K7">
    <cfRule type="expression" dxfId="853" priority="31">
      <formula>ABS(H$7-H$10)&gt;=1000</formula>
    </cfRule>
  </conditionalFormatting>
  <conditionalFormatting sqref="D7:G7">
    <cfRule type="expression" dxfId="852" priority="30">
      <formula>ABS(D$7-D$10)&gt;=1000</formula>
    </cfRule>
  </conditionalFormatting>
  <conditionalFormatting sqref="J5:K5">
    <cfRule type="expression" dxfId="851" priority="29">
      <formula>ABS(J$7-J$10)&gt;=1000</formula>
    </cfRule>
  </conditionalFormatting>
  <conditionalFormatting sqref="D9 D11">
    <cfRule type="expression" dxfId="850" priority="28">
      <formula>ABS(D$7-D$10)&gt;=1000</formula>
    </cfRule>
  </conditionalFormatting>
  <conditionalFormatting sqref="E9 E11">
    <cfRule type="expression" dxfId="849" priority="27">
      <formula>ABS(E$7-E$10)&gt;=1000</formula>
    </cfRule>
  </conditionalFormatting>
  <conditionalFormatting sqref="F9 F11">
    <cfRule type="expression" dxfId="848" priority="26">
      <formula>ABS(F$7-F$10)&gt;=1000</formula>
    </cfRule>
  </conditionalFormatting>
  <conditionalFormatting sqref="G9 G11">
    <cfRule type="expression" dxfId="847" priority="25">
      <formula>ABS(G$7-G$10)&gt;=1000</formula>
    </cfRule>
  </conditionalFormatting>
  <conditionalFormatting sqref="H11">
    <cfRule type="expression" dxfId="846" priority="24">
      <formula>ABS(H$7-H$10)&gt;=1000</formula>
    </cfRule>
  </conditionalFormatting>
  <conditionalFormatting sqref="I11">
    <cfRule type="expression" dxfId="845" priority="23">
      <formula>ABS(I$7-I$10)&gt;=1000</formula>
    </cfRule>
  </conditionalFormatting>
  <conditionalFormatting sqref="J11">
    <cfRule type="expression" dxfId="844" priority="22">
      <formula>ABS(J$7-J$10)&gt;=1000</formula>
    </cfRule>
  </conditionalFormatting>
  <conditionalFormatting sqref="K11">
    <cfRule type="expression" dxfId="843" priority="21">
      <formula>ABS(K$7-K$10)&gt;=1000</formula>
    </cfRule>
  </conditionalFormatting>
  <conditionalFormatting sqref="L11">
    <cfRule type="expression" dxfId="842" priority="20">
      <formula>ABS(L$7-L$10)&gt;=1000</formula>
    </cfRule>
  </conditionalFormatting>
  <conditionalFormatting sqref="M11">
    <cfRule type="expression" dxfId="841" priority="19">
      <formula>ABS(M$7-M$10)&gt;=1000</formula>
    </cfRule>
  </conditionalFormatting>
  <conditionalFormatting sqref="N11">
    <cfRule type="expression" dxfId="840" priority="18">
      <formula>ABS(N$7-N$10)&gt;=1000</formula>
    </cfRule>
  </conditionalFormatting>
  <conditionalFormatting sqref="O11">
    <cfRule type="expression" dxfId="839" priority="17">
      <formula>ABS(O$7-O$10)&gt;=1000</formula>
    </cfRule>
  </conditionalFormatting>
  <conditionalFormatting sqref="P11">
    <cfRule type="expression" dxfId="838" priority="16">
      <formula>ABS(P$7-P$10)&gt;=1000</formula>
    </cfRule>
  </conditionalFormatting>
  <conditionalFormatting sqref="H9">
    <cfRule type="expression" dxfId="837" priority="15">
      <formula>ABS(H$7-H$10)&gt;=1000</formula>
    </cfRule>
  </conditionalFormatting>
  <conditionalFormatting sqref="J9">
    <cfRule type="expression" dxfId="836" priority="14">
      <formula>ABS(J$7-J$10)&gt;=1000</formula>
    </cfRule>
  </conditionalFormatting>
  <conditionalFormatting sqref="K9">
    <cfRule type="expression" dxfId="835" priority="13">
      <formula>ABS(K$7-K$10)&gt;=1000</formula>
    </cfRule>
  </conditionalFormatting>
  <conditionalFormatting sqref="L9">
    <cfRule type="expression" dxfId="834" priority="12">
      <formula>ABS(L$7-L$10)&gt;=1000</formula>
    </cfRule>
  </conditionalFormatting>
  <conditionalFormatting sqref="M9">
    <cfRule type="expression" dxfId="833" priority="11">
      <formula>ABS(M$7-M$10)&gt;=1000</formula>
    </cfRule>
  </conditionalFormatting>
  <conditionalFormatting sqref="N9">
    <cfRule type="expression" dxfId="832" priority="10">
      <formula>ABS(N$7-N$10)&gt;=1000</formula>
    </cfRule>
  </conditionalFormatting>
  <conditionalFormatting sqref="O9">
    <cfRule type="expression" dxfId="831" priority="9">
      <formula>ABS(O$7-O$10)&gt;=1000</formula>
    </cfRule>
  </conditionalFormatting>
  <conditionalFormatting sqref="P9">
    <cfRule type="expression" dxfId="830" priority="8">
      <formula>ABS(P$7-P$10)&gt;=1000</formula>
    </cfRule>
  </conditionalFormatting>
  <conditionalFormatting sqref="I9">
    <cfRule type="expression" dxfId="829" priority="7">
      <formula>ABS(I$7-I$10)&gt;=1000</formula>
    </cfRule>
  </conditionalFormatting>
  <conditionalFormatting sqref="L10">
    <cfRule type="expression" dxfId="828" priority="6">
      <formula>ABS(L$7-L$10)&gt;=1000</formula>
    </cfRule>
  </conditionalFormatting>
  <conditionalFormatting sqref="M10">
    <cfRule type="expression" dxfId="827" priority="5">
      <formula>ABS(M$7-M$10)&gt;=1000</formula>
    </cfRule>
  </conditionalFormatting>
  <conditionalFormatting sqref="O10:P10">
    <cfRule type="expression" dxfId="826" priority="4">
      <formula>ABS(O$7-O$10)&gt;=1000</formula>
    </cfRule>
  </conditionalFormatting>
  <conditionalFormatting sqref="N10">
    <cfRule type="expression" dxfId="825" priority="3">
      <formula>ABS(N$7-N$10)&gt;=1000</formula>
    </cfRule>
  </conditionalFormatting>
  <conditionalFormatting sqref="H10:K10">
    <cfRule type="expression" dxfId="824" priority="2">
      <formula>ABS(H$7-H$10)&gt;=1000</formula>
    </cfRule>
  </conditionalFormatting>
  <conditionalFormatting sqref="D10:G10">
    <cfRule type="expression" dxfId="823" priority="1">
      <formula>ABS(D$7-D$10)&gt;=1000</formula>
    </cfRule>
  </conditionalFormatting>
  <conditionalFormatting sqref="I12">
    <cfRule type="expression" dxfId="822" priority="73">
      <formula>ABS(#REF!-#REF!)&gt;=1000</formula>
    </cfRule>
  </conditionalFormatting>
  <conditionalFormatting sqref="D6">
    <cfRule type="expression" dxfId="821" priority="82" stopIfTrue="1">
      <formula>MOD(ROUND($D$6*100,2),1)=0</formula>
    </cfRule>
  </conditionalFormatting>
  <conditionalFormatting sqref="E6">
    <cfRule type="expression" dxfId="820" priority="83" stopIfTrue="1">
      <formula>MOD(ROUND($E$6*100,2),1)=0</formula>
    </cfRule>
  </conditionalFormatting>
  <conditionalFormatting sqref="F6">
    <cfRule type="expression" dxfId="819" priority="84" stopIfTrue="1">
      <formula>MOD(ROUND($F$6*100,2),1)=0</formula>
    </cfRule>
  </conditionalFormatting>
  <conditionalFormatting sqref="G6">
    <cfRule type="expression" dxfId="818" priority="85" stopIfTrue="1">
      <formula>MOD(ROUND($G$6*100,2),1)=0</formula>
    </cfRule>
  </conditionalFormatting>
  <conditionalFormatting sqref="D9">
    <cfRule type="expression" dxfId="817" priority="86" stopIfTrue="1">
      <formula>MOD(ROUND($D$9*100,2),1)=0</formula>
    </cfRule>
  </conditionalFormatting>
  <conditionalFormatting sqref="E9">
    <cfRule type="expression" dxfId="816" priority="87" stopIfTrue="1">
      <formula>MOD(ROUND($E$9*100,2),1)=0</formula>
    </cfRule>
  </conditionalFormatting>
  <conditionalFormatting sqref="F9">
    <cfRule type="expression" dxfId="815" priority="88" stopIfTrue="1">
      <formula>MOD(ROUND($F$9*100,2),1)=0</formula>
    </cfRule>
  </conditionalFormatting>
  <conditionalFormatting sqref="G9">
    <cfRule type="expression" dxfId="814"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41281"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41281" r:id="rId4" name="CommandButto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3">
    <pageSetUpPr fitToPage="1"/>
  </sheetPr>
  <dimension ref="A1:AQ205"/>
  <sheetViews>
    <sheetView view="pageBreakPreview" zoomScaleNormal="100" zoomScaleSheetLayoutView="100" workbookViewId="0">
      <selection activeCell="T20" sqref="T20"/>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46252</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97" t="s" ph="1">
        <v>42</v>
      </c>
      <c r="D6" s="151">
        <v>0.92110000000000003</v>
      </c>
      <c r="E6" s="151">
        <v>3.1099999999999999E-2</v>
      </c>
      <c r="F6" s="151">
        <v>0.28649999999999998</v>
      </c>
      <c r="G6" s="151">
        <v>0.9758</v>
      </c>
      <c r="H6" s="150">
        <v>2583</v>
      </c>
      <c r="I6" s="150">
        <v>3353</v>
      </c>
      <c r="J6" s="150">
        <v>5753</v>
      </c>
      <c r="K6" s="150">
        <v>2976</v>
      </c>
      <c r="L6" s="150">
        <v>423</v>
      </c>
      <c r="M6" s="150">
        <v>1610</v>
      </c>
      <c r="N6" s="150">
        <v>1566</v>
      </c>
      <c r="O6" s="150">
        <v>4685</v>
      </c>
      <c r="P6" s="150">
        <v>4342</v>
      </c>
      <c r="Q6" s="294"/>
      <c r="R6" s="295"/>
      <c r="S6" s="295"/>
      <c r="T6" s="295"/>
      <c r="U6" s="296"/>
    </row>
    <row r="7" spans="1:43" s="61" customFormat="1" ht="25.95" customHeight="1" ph="1">
      <c r="B7" s="284" ph="1"/>
      <c r="C7" s="57" t="s" ph="1">
        <v>43</v>
      </c>
      <c r="D7" s="62" ph="1">
        <f>((D6*5885)*4.48)*LOOKUP(D8,密度!$A$2:$A$50,密度!$B$2:$B$50)</f>
        <v>18764.723772256002</v>
      </c>
      <c r="E7" s="62" ph="1">
        <f>((E6*5885)*4.48)*LOOKUP(E8,密度!$A$2:$A$50,密度!$B$2:$B$50)</f>
        <v>636.44152633600004</v>
      </c>
      <c r="F7" s="62" ph="1">
        <f>((F6*5885)*4.48)*LOOKUP(F8,密度!$A$2:$A$50,密度!$B$2:$B$50)</f>
        <v>5856.2403345599996</v>
      </c>
      <c r="G7" s="62" ph="1">
        <f>((G6*5885)*4.48)*LOOKUP(G8,密度!$A$2:$A$50,密度!$B$2:$B$50)</f>
        <v>19945.966207551999</v>
      </c>
      <c r="H7" s="62" ph="1">
        <f>IF(H6&lt;=0,0,IF(H6&lt;=745,PI()*(5.3235*(H6/1000)^2-(4/3)*(H6/1000)^3),7.55+15.2053*((H6-745)/1000))*LOOKUP(H8,密度!$A$2:$A$50,密度!$B$2:$B$50)*1000)</f>
        <v>27457.193572899996</v>
      </c>
      <c r="I7" s="62" ph="1">
        <f>IF(I6&lt;=0,0,IF(I6&lt;=745,PI()*(5.3235*(I6/1000)^2-(4/3)*(I6/1000)^3),7.55+15.2053*((I6-745)/1000))*LOOKUP(I8,密度!$A$2:$A$50,密度!$B$2:$B$50)*1000)</f>
        <v>36475.629888479998</v>
      </c>
      <c r="J7" s="62" ph="1">
        <f>IF(J6&lt;=0,0,IF(J6&lt;=745,PI()*(5.3235*(J6/1000)^2-(4/3)*(J6/1000)^3),7.55+15.2053*((J6-745)/1000))*LOOKUP(J8,密度!$A$2:$A$50,密度!$B$2:$B$50)*1000)</f>
        <v>64815.841474559988</v>
      </c>
      <c r="K7" s="62" ph="1">
        <f>IF(K6&lt;=0,0,IF(K6&lt;=745,PI()*(5.3235*(K6/1000)^2-(4/3)*(K6/1000)^3),7.55+15.2053*((K6-745)/1000))*LOOKUP(K8,密度!$A$2:$A$50,密度!$B$2:$B$50)*1000)</f>
        <v>32154.03573978999</v>
      </c>
      <c r="L7" s="62" ph="1">
        <f>L6*26.42*LOOKUP(L8,密度!$A$2:$A$50,密度!$B$2:$B$50)</f>
        <v>8674.5472919999993</v>
      </c>
      <c r="M7" s="62" ph="1">
        <f>M6*26.42*1</f>
        <v>42536.200000000004</v>
      </c>
      <c r="N7" s="62" ph="1">
        <f>N6*18.32*LOOKUP(N8,密度!$A$2:$A$50,密度!$B$2:$B$50)</f>
        <v>22242.674735999997</v>
      </c>
      <c r="O7" s="62" ph="1">
        <f>O6*81.71*LOOKUP(O8,密度!$A$2:$A$50,密度!$B$2:$B$50)</f>
        <v>296104.57922499999</v>
      </c>
      <c r="P7" s="62" ph="1">
        <f>P6*81.71*LOOKUP(P8,密度!$A$2:$A$50,密度!$B$2:$B$50)</f>
        <v>274745.36460799997</v>
      </c>
      <c r="Q7" s="294"/>
      <c r="R7" s="295"/>
      <c r="S7" s="295"/>
      <c r="T7" s="295"/>
      <c r="U7" s="296"/>
    </row>
    <row r="8" spans="1:43" ht="25.95" customHeight="1" ph="1">
      <c r="B8" s="284" ph="1"/>
      <c r="C8" s="57" t="s" ph="1">
        <v>44</v>
      </c>
      <c r="D8" s="149">
        <v>33</v>
      </c>
      <c r="E8" s="149">
        <v>29</v>
      </c>
      <c r="F8" s="149">
        <v>30</v>
      </c>
      <c r="G8" s="149">
        <v>30</v>
      </c>
      <c r="H8" s="149">
        <v>32</v>
      </c>
      <c r="I8" s="149">
        <v>33</v>
      </c>
      <c r="J8" s="149">
        <v>31</v>
      </c>
      <c r="K8" s="149">
        <v>30</v>
      </c>
      <c r="L8" s="149">
        <v>29</v>
      </c>
      <c r="M8" s="149">
        <v>30</v>
      </c>
      <c r="N8" s="149">
        <v>30</v>
      </c>
      <c r="O8" s="149">
        <v>32</v>
      </c>
      <c r="P8" s="149">
        <v>31</v>
      </c>
      <c r="Q8" s="294"/>
      <c r="R8" s="295"/>
      <c r="S8" s="295"/>
      <c r="T8" s="295"/>
      <c r="U8" s="296"/>
    </row>
    <row r="9" spans="1:43" ht="25.95" customHeight="1" ph="1">
      <c r="B9" s="284" ph="1">
        <v>0.66666666666666663</v>
      </c>
      <c r="C9" s="197" t="s" ph="1">
        <v>45</v>
      </c>
      <c r="D9" s="151">
        <v>0.92069999999999996</v>
      </c>
      <c r="E9" s="151">
        <v>0.48080000000000001</v>
      </c>
      <c r="F9" s="151">
        <v>0.28660000000000002</v>
      </c>
      <c r="G9" s="151">
        <v>0.97629999999999995</v>
      </c>
      <c r="H9" s="150">
        <v>1617</v>
      </c>
      <c r="I9" s="150">
        <v>1418</v>
      </c>
      <c r="J9" s="150">
        <v>5753</v>
      </c>
      <c r="K9" s="150">
        <v>2976</v>
      </c>
      <c r="L9" s="150">
        <v>497</v>
      </c>
      <c r="M9" s="150">
        <v>1610</v>
      </c>
      <c r="N9" s="150">
        <v>1622</v>
      </c>
      <c r="O9" s="150">
        <v>4526</v>
      </c>
      <c r="P9" s="150">
        <v>4689</v>
      </c>
      <c r="Q9" s="294"/>
      <c r="R9" s="295"/>
      <c r="S9" s="295"/>
      <c r="T9" s="295"/>
      <c r="U9" s="296"/>
    </row>
    <row r="10" spans="1:43" s="61" customFormat="1" ht="25.95" customHeight="1" ph="1">
      <c r="B10" s="284" ph="1"/>
      <c r="C10" s="197" t="s" ph="1">
        <v>43</v>
      </c>
      <c r="D10" s="62" ph="1">
        <f>((D9*5885)*4.48)*LOOKUP(D11,密度!$A$2:$A$50,密度!$B$2:$B$50)</f>
        <v>18756.574939872004</v>
      </c>
      <c r="E10" s="62" ph="1">
        <f>((E9*5885)*4.48)*LOOKUP(E11,密度!$A$2:$A$50,密度!$B$2:$B$50)</f>
        <v>9772.0793730559999</v>
      </c>
      <c r="F10" s="62" ph="1">
        <f>((F9*5885)*4.48)*LOOKUP(F11,密度!$A$2:$A$50,密度!$B$2:$B$50)</f>
        <v>5858.2843975040005</v>
      </c>
      <c r="G10" s="62" ph="1">
        <f>((G9*5885)*4.48)*LOOKUP(G11,密度!$A$2:$A$50,密度!$B$2:$B$50)</f>
        <v>19933.020563456001</v>
      </c>
      <c r="H10" s="62" ph="1">
        <f>IF(H9&lt;=0,0,IF(H9&lt;=745,PI()*(5.3235*(H9/1000)^2-(4/3)*(H9/1000)^3),7.55+15.2053*((H9-745)/1000))*LOOKUP(H11,密度!$A$2:$A$50,密度!$B$2:$B$50)*1000)</f>
        <v>16060.402870879998</v>
      </c>
      <c r="I10" s="62" ph="1">
        <f>IF(I9&lt;=0,0,IF(I9&lt;=745,PI()*(5.3235*(I9/1000)^2-(4/3)*(I9/1000)^3),7.55+15.2053*((I9-745)/1000))*LOOKUP(I11,密度!$A$2:$A$50,密度!$B$2:$B$50)*1000)</f>
        <v>13693.038513000001</v>
      </c>
      <c r="J10" s="62" ph="1">
        <f>IF(J9&lt;=0,0,IF(J9&lt;=745,PI()*(5.3235*(J9/1000)^2-(4/3)*(J9/1000)^3),7.55+15.2053*((J9-745)/1000))*LOOKUP(J11,密度!$A$2:$A$50,密度!$B$2:$B$50)*1000)</f>
        <v>64740.513146399993</v>
      </c>
      <c r="K10" s="62" ph="1">
        <f>IF(K9&lt;=0,0,IF(K9&lt;=745,PI()*(5.3235*(K9/1000)^2-(4/3)*(K9/1000)^3),7.55+15.2053*((K9-745)/1000))*LOOKUP(K11,密度!$A$2:$A$50,密度!$B$2:$B$50)*1000)</f>
        <v>32116.710017919992</v>
      </c>
      <c r="L10" s="62" ph="1">
        <f>L9*26.42*LOOKUP(L11,密度!$A$2:$A$50,密度!$B$2:$B$50)</f>
        <v>10168.445056</v>
      </c>
      <c r="M10" s="62" ph="1">
        <f>M9*26.42*1</f>
        <v>42536.200000000004</v>
      </c>
      <c r="N10" s="62" ph="1">
        <f>N9*18.32*LOOKUP(N11,密度!$A$2:$A$50,密度!$B$2:$B$50)</f>
        <v>23038.070512000002</v>
      </c>
      <c r="O10" s="62" ph="1">
        <f>O9*81.71*LOOKUP(O11,密度!$A$2:$A$50,密度!$B$2:$B$50)</f>
        <v>286055.35230999999</v>
      </c>
      <c r="P10" s="62" ph="1">
        <f>P9*81.71*LOOKUP(P11,密度!$A$2:$A$50,密度!$B$2:$B$50)</f>
        <v>296357.38996499992</v>
      </c>
      <c r="Q10" s="294"/>
      <c r="R10" s="295"/>
      <c r="S10" s="295"/>
      <c r="T10" s="295"/>
      <c r="U10" s="296"/>
    </row>
    <row r="11" spans="1:43" ht="25.95" customHeight="1" ph="1">
      <c r="A11" s="53" t="s" ph="1">
        <v>40</v>
      </c>
      <c r="B11" s="284" ph="1"/>
      <c r="C11" s="197" t="s" ph="1">
        <v>44</v>
      </c>
      <c r="D11" s="149">
        <v>33</v>
      </c>
      <c r="E11" s="149">
        <v>35</v>
      </c>
      <c r="F11" s="149">
        <v>30</v>
      </c>
      <c r="G11" s="149">
        <v>31</v>
      </c>
      <c r="H11" s="149">
        <v>34</v>
      </c>
      <c r="I11" s="149">
        <v>36</v>
      </c>
      <c r="J11" s="149">
        <v>32</v>
      </c>
      <c r="K11" s="149">
        <v>31</v>
      </c>
      <c r="L11" s="149">
        <v>31</v>
      </c>
      <c r="M11" s="149">
        <v>31</v>
      </c>
      <c r="N11" s="149">
        <v>30</v>
      </c>
      <c r="O11" s="149">
        <v>32</v>
      </c>
      <c r="P11" s="149">
        <v>32</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97" t="s" ph="1">
        <v>1</v>
      </c>
      <c r="F14" s="88" t="s" ph="1">
        <v>28</v>
      </c>
      <c r="G14" s="86" t="s" ph="1">
        <v>0</v>
      </c>
      <c r="H14" s="197" t="s" ph="1">
        <v>1</v>
      </c>
      <c r="I14" s="196" t="s" ph="1">
        <v>28</v>
      </c>
      <c r="J14" s="86" t="s" ph="1">
        <v>0</v>
      </c>
      <c r="K14" s="197" t="s" ph="1">
        <v>1</v>
      </c>
      <c r="L14" s="196" t="s" ph="1">
        <v>28</v>
      </c>
      <c r="M14" s="86" t="s" ph="1">
        <v>0</v>
      </c>
      <c r="N14" s="197" t="s" ph="1">
        <v>1</v>
      </c>
      <c r="O14" s="196" t="s" ph="1">
        <v>28</v>
      </c>
      <c r="P14" s="86" t="s" ph="1">
        <v>0</v>
      </c>
      <c r="Q14" s="87" t="s" ph="1">
        <v>1</v>
      </c>
      <c r="R14" s="88" t="s" ph="1">
        <v>28</v>
      </c>
      <c r="S14" s="86" t="s" ph="1">
        <v>0</v>
      </c>
      <c r="T14" s="197" t="s" ph="1">
        <v>1</v>
      </c>
      <c r="U14" s="88" t="s" ph="1">
        <v>28</v>
      </c>
    </row>
    <row r="15" spans="1:43" ph="1">
      <c r="A15" s="53"/>
      <c r="B15" s="300" t="s" ph="1">
        <v>46</v>
      </c>
      <c r="C15" s="301" ph="1"/>
      <c r="D15" s="241" ph="1">
        <f>O10+P10</f>
        <v>582412.74227499985</v>
      </c>
      <c r="E15" s="233" ph="1">
        <f>H10+I10+J10+K10</f>
        <v>126610.66454819999</v>
      </c>
      <c r="F15" s="257" ph="1">
        <f>L10+N10</f>
        <v>33206.515568000003</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95" ph="1"/>
      <c r="P18" s="90" ph="1"/>
      <c r="Q18" s="195" t="s" ph="1">
        <v>50</v>
      </c>
      <c r="R18" s="218" t="s" ph="1">
        <v>178</v>
      </c>
      <c r="S18" s="218" ph="1"/>
    </row>
    <row r="19" spans="1:21" s="195"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813" priority="72">
      <formula>ABS(D$7-D$10)&gt;=1000</formula>
    </cfRule>
  </conditionalFormatting>
  <conditionalFormatting sqref="E4">
    <cfRule type="expression" dxfId="812" priority="71">
      <formula>ABS(E$7-E$10)&gt;=1000</formula>
    </cfRule>
  </conditionalFormatting>
  <conditionalFormatting sqref="F4">
    <cfRule type="expression" dxfId="811" priority="70">
      <formula>ABS(F$7-F$10)&gt;=1000</formula>
    </cfRule>
  </conditionalFormatting>
  <conditionalFormatting sqref="G4">
    <cfRule type="expression" dxfId="810" priority="69">
      <formula>ABS(G$7-G$10)&gt;=1000</formula>
    </cfRule>
  </conditionalFormatting>
  <conditionalFormatting sqref="H4:K4">
    <cfRule type="expression" dxfId="809" priority="68">
      <formula>ABS(H$7-H$10)&gt;=1000</formula>
    </cfRule>
  </conditionalFormatting>
  <conditionalFormatting sqref="I8">
    <cfRule type="expression" dxfId="808" priority="67">
      <formula>ABS(I$7-I$10)&gt;=1000</formula>
    </cfRule>
  </conditionalFormatting>
  <conditionalFormatting sqref="L4:L5 M4:N4">
    <cfRule type="expression" dxfId="807" priority="66">
      <formula>ABS(L$7-L$10)&gt;=1000</formula>
    </cfRule>
  </conditionalFormatting>
  <conditionalFormatting sqref="M5">
    <cfRule type="expression" dxfId="806" priority="65">
      <formula>ABS(M$7-M$10)&gt;=1000</formula>
    </cfRule>
  </conditionalFormatting>
  <conditionalFormatting sqref="N5">
    <cfRule type="expression" dxfId="805" priority="64">
      <formula>ABS(N$7-N$10)&gt;=1000</formula>
    </cfRule>
  </conditionalFormatting>
  <conditionalFormatting sqref="D5">
    <cfRule type="expression" dxfId="804" priority="63">
      <formula>ABS(D$7-D$10)&gt;=1000</formula>
    </cfRule>
  </conditionalFormatting>
  <conditionalFormatting sqref="E5:G5">
    <cfRule type="expression" dxfId="803" priority="62">
      <formula>ABS(E$7-E$10)&gt;=1000</formula>
    </cfRule>
  </conditionalFormatting>
  <conditionalFormatting sqref="H5">
    <cfRule type="expression" dxfId="802" priority="61">
      <formula>ABS(H$7-H$10)&gt;=1000</formula>
    </cfRule>
  </conditionalFormatting>
  <conditionalFormatting sqref="O4:P4">
    <cfRule type="expression" dxfId="801" priority="60">
      <formula>ABS(O$7-O$10)&gt;=1000</formula>
    </cfRule>
  </conditionalFormatting>
  <conditionalFormatting sqref="O5">
    <cfRule type="expression" dxfId="800" priority="59">
      <formula>ABS(O$7-O$10)&gt;=1000</formula>
    </cfRule>
  </conditionalFormatting>
  <conditionalFormatting sqref="I6">
    <cfRule type="expression" dxfId="799" priority="58">
      <formula>ABS(I$7-I$10)&gt;=1000</formula>
    </cfRule>
  </conditionalFormatting>
  <conditionalFormatting sqref="P5">
    <cfRule type="expression" dxfId="798" priority="57">
      <formula>ABS(P$7-P$10)&gt;=1000</formula>
    </cfRule>
  </conditionalFormatting>
  <conditionalFormatting sqref="I5">
    <cfRule type="expression" dxfId="797" priority="56">
      <formula>ABS(I$7-I$10)&gt;=1000</formula>
    </cfRule>
  </conditionalFormatting>
  <conditionalFormatting sqref="D6 D8">
    <cfRule type="expression" dxfId="796" priority="55">
      <formula>ABS(D$7-D$10)&gt;=1000</formula>
    </cfRule>
  </conditionalFormatting>
  <conditionalFormatting sqref="E6 E8">
    <cfRule type="expression" dxfId="795" priority="54">
      <formula>ABS(E$7-E$10)&gt;=1000</formula>
    </cfRule>
  </conditionalFormatting>
  <conditionalFormatting sqref="F6 F8">
    <cfRule type="expression" dxfId="794" priority="53">
      <formula>ABS(F$7-F$10)&gt;=1000</formula>
    </cfRule>
  </conditionalFormatting>
  <conditionalFormatting sqref="G6 G8">
    <cfRule type="expression" dxfId="793" priority="52">
      <formula>ABS(G$7-G$10)&gt;=1000</formula>
    </cfRule>
  </conditionalFormatting>
  <conditionalFormatting sqref="H8">
    <cfRule type="expression" dxfId="792" priority="51">
      <formula>ABS(H$7-H$10)&gt;=1000</formula>
    </cfRule>
  </conditionalFormatting>
  <conditionalFormatting sqref="H6">
    <cfRule type="expression" dxfId="791" priority="50">
      <formula>ABS(H$7-H$10)&gt;=1000</formula>
    </cfRule>
  </conditionalFormatting>
  <conditionalFormatting sqref="J8">
    <cfRule type="expression" dxfId="790" priority="49">
      <formula>ABS(J$7-J$10)&gt;=1000</formula>
    </cfRule>
  </conditionalFormatting>
  <conditionalFormatting sqref="K8">
    <cfRule type="expression" dxfId="789" priority="48">
      <formula>ABS(K$7-K$10)&gt;=1000</formula>
    </cfRule>
  </conditionalFormatting>
  <conditionalFormatting sqref="L8">
    <cfRule type="expression" dxfId="788" priority="47">
      <formula>ABS(L$7-L$10)&gt;=1000</formula>
    </cfRule>
  </conditionalFormatting>
  <conditionalFormatting sqref="M8">
    <cfRule type="expression" dxfId="787" priority="46">
      <formula>ABS(M$7-M$10)&gt;=1000</formula>
    </cfRule>
  </conditionalFormatting>
  <conditionalFormatting sqref="N8">
    <cfRule type="expression" dxfId="786" priority="45">
      <formula>ABS(N$7-N$10)&gt;=1000</formula>
    </cfRule>
  </conditionalFormatting>
  <conditionalFormatting sqref="O8">
    <cfRule type="expression" dxfId="785" priority="44">
      <formula>ABS(O$7-O$10)&gt;=1000</formula>
    </cfRule>
  </conditionalFormatting>
  <conditionalFormatting sqref="P8">
    <cfRule type="expression" dxfId="784" priority="43">
      <formula>ABS(P$7-P$10)&gt;=1000</formula>
    </cfRule>
  </conditionalFormatting>
  <conditionalFormatting sqref="J6">
    <cfRule type="expression" dxfId="783" priority="42">
      <formula>ABS(J$7-J$10)&gt;=1000</formula>
    </cfRule>
  </conditionalFormatting>
  <conditionalFormatting sqref="K6">
    <cfRule type="expression" dxfId="782" priority="41">
      <formula>ABS(K$7-K$10)&gt;=1000</formula>
    </cfRule>
  </conditionalFormatting>
  <conditionalFormatting sqref="L6">
    <cfRule type="expression" dxfId="781" priority="40">
      <formula>ABS(L$7-L$10)&gt;=1000</formula>
    </cfRule>
  </conditionalFormatting>
  <conditionalFormatting sqref="M6">
    <cfRule type="expression" dxfId="780" priority="39">
      <formula>ABS(M$7-M$10)&gt;=1000</formula>
    </cfRule>
  </conditionalFormatting>
  <conditionalFormatting sqref="N6">
    <cfRule type="expression" dxfId="779" priority="38">
      <formula>ABS(N$7-N$10)&gt;=1000</formula>
    </cfRule>
  </conditionalFormatting>
  <conditionalFormatting sqref="O6">
    <cfRule type="expression" dxfId="778" priority="37">
      <formula>ABS(O$7-O$10)&gt;=1000</formula>
    </cfRule>
  </conditionalFormatting>
  <conditionalFormatting sqref="P6">
    <cfRule type="expression" dxfId="777" priority="36">
      <formula>ABS(P$7-P$10)&gt;=1000</formula>
    </cfRule>
  </conditionalFormatting>
  <conditionalFormatting sqref="L7">
    <cfRule type="expression" dxfId="776" priority="35">
      <formula>ABS(L$7-L$10)&gt;=1000</formula>
    </cfRule>
  </conditionalFormatting>
  <conditionalFormatting sqref="M7">
    <cfRule type="expression" dxfId="775" priority="34">
      <formula>ABS(M$7-M$10)&gt;=1000</formula>
    </cfRule>
  </conditionalFormatting>
  <conditionalFormatting sqref="O7:P7">
    <cfRule type="expression" dxfId="774" priority="33">
      <formula>ABS(O$7-O$10)&gt;=1000</formula>
    </cfRule>
  </conditionalFormatting>
  <conditionalFormatting sqref="N7">
    <cfRule type="expression" dxfId="773" priority="32">
      <formula>ABS(N$7-N$10)&gt;=1000</formula>
    </cfRule>
  </conditionalFormatting>
  <conditionalFormatting sqref="H7:K7">
    <cfRule type="expression" dxfId="772" priority="31">
      <formula>ABS(H$7-H$10)&gt;=1000</formula>
    </cfRule>
  </conditionalFormatting>
  <conditionalFormatting sqref="D7:G7">
    <cfRule type="expression" dxfId="771" priority="30">
      <formula>ABS(D$7-D$10)&gt;=1000</formula>
    </cfRule>
  </conditionalFormatting>
  <conditionalFormatting sqref="J5:K5">
    <cfRule type="expression" dxfId="770" priority="29">
      <formula>ABS(J$7-J$10)&gt;=1000</formula>
    </cfRule>
  </conditionalFormatting>
  <conditionalFormatting sqref="D9 D11">
    <cfRule type="expression" dxfId="769" priority="28">
      <formula>ABS(D$7-D$10)&gt;=1000</formula>
    </cfRule>
  </conditionalFormatting>
  <conditionalFormatting sqref="E9 E11">
    <cfRule type="expression" dxfId="768" priority="27">
      <formula>ABS(E$7-E$10)&gt;=1000</formula>
    </cfRule>
  </conditionalFormatting>
  <conditionalFormatting sqref="F9 F11">
    <cfRule type="expression" dxfId="767" priority="26">
      <formula>ABS(F$7-F$10)&gt;=1000</formula>
    </cfRule>
  </conditionalFormatting>
  <conditionalFormatting sqref="G9 G11">
    <cfRule type="expression" dxfId="766" priority="25">
      <formula>ABS(G$7-G$10)&gt;=1000</formula>
    </cfRule>
  </conditionalFormatting>
  <conditionalFormatting sqref="H11">
    <cfRule type="expression" dxfId="765" priority="24">
      <formula>ABS(H$7-H$10)&gt;=1000</formula>
    </cfRule>
  </conditionalFormatting>
  <conditionalFormatting sqref="I11">
    <cfRule type="expression" dxfId="764" priority="23">
      <formula>ABS(I$7-I$10)&gt;=1000</formula>
    </cfRule>
  </conditionalFormatting>
  <conditionalFormatting sqref="J11">
    <cfRule type="expression" dxfId="763" priority="22">
      <formula>ABS(J$7-J$10)&gt;=1000</formula>
    </cfRule>
  </conditionalFormatting>
  <conditionalFormatting sqref="K11">
    <cfRule type="expression" dxfId="762" priority="21">
      <formula>ABS(K$7-K$10)&gt;=1000</formula>
    </cfRule>
  </conditionalFormatting>
  <conditionalFormatting sqref="L11">
    <cfRule type="expression" dxfId="761" priority="20">
      <formula>ABS(L$7-L$10)&gt;=1000</formula>
    </cfRule>
  </conditionalFormatting>
  <conditionalFormatting sqref="M11">
    <cfRule type="expression" dxfId="760" priority="19">
      <formula>ABS(M$7-M$10)&gt;=1000</formula>
    </cfRule>
  </conditionalFormatting>
  <conditionalFormatting sqref="N11">
    <cfRule type="expression" dxfId="759" priority="18">
      <formula>ABS(N$7-N$10)&gt;=1000</formula>
    </cfRule>
  </conditionalFormatting>
  <conditionalFormatting sqref="O11">
    <cfRule type="expression" dxfId="758" priority="17">
      <formula>ABS(O$7-O$10)&gt;=1000</formula>
    </cfRule>
  </conditionalFormatting>
  <conditionalFormatting sqref="P11">
    <cfRule type="expression" dxfId="757" priority="16">
      <formula>ABS(P$7-P$10)&gt;=1000</formula>
    </cfRule>
  </conditionalFormatting>
  <conditionalFormatting sqref="H9">
    <cfRule type="expression" dxfId="756" priority="15">
      <formula>ABS(H$7-H$10)&gt;=1000</formula>
    </cfRule>
  </conditionalFormatting>
  <conditionalFormatting sqref="J9">
    <cfRule type="expression" dxfId="755" priority="14">
      <formula>ABS(J$7-J$10)&gt;=1000</formula>
    </cfRule>
  </conditionalFormatting>
  <conditionalFormatting sqref="K9">
    <cfRule type="expression" dxfId="754" priority="13">
      <formula>ABS(K$7-K$10)&gt;=1000</formula>
    </cfRule>
  </conditionalFormatting>
  <conditionalFormatting sqref="L9">
    <cfRule type="expression" dxfId="753" priority="12">
      <formula>ABS(L$7-L$10)&gt;=1000</formula>
    </cfRule>
  </conditionalFormatting>
  <conditionalFormatting sqref="M9">
    <cfRule type="expression" dxfId="752" priority="11">
      <formula>ABS(M$7-M$10)&gt;=1000</formula>
    </cfRule>
  </conditionalFormatting>
  <conditionalFormatting sqref="N9">
    <cfRule type="expression" dxfId="751" priority="10">
      <formula>ABS(N$7-N$10)&gt;=1000</formula>
    </cfRule>
  </conditionalFormatting>
  <conditionalFormatting sqref="O9">
    <cfRule type="expression" dxfId="750" priority="9">
      <formula>ABS(O$7-O$10)&gt;=1000</formula>
    </cfRule>
  </conditionalFormatting>
  <conditionalFormatting sqref="P9">
    <cfRule type="expression" dxfId="749" priority="8">
      <formula>ABS(P$7-P$10)&gt;=1000</formula>
    </cfRule>
  </conditionalFormatting>
  <conditionalFormatting sqref="I9">
    <cfRule type="expression" dxfId="748" priority="7">
      <formula>ABS(I$7-I$10)&gt;=1000</formula>
    </cfRule>
  </conditionalFormatting>
  <conditionalFormatting sqref="L10">
    <cfRule type="expression" dxfId="747" priority="6">
      <formula>ABS(L$7-L$10)&gt;=1000</formula>
    </cfRule>
  </conditionalFormatting>
  <conditionalFormatting sqref="M10">
    <cfRule type="expression" dxfId="746" priority="5">
      <formula>ABS(M$7-M$10)&gt;=1000</formula>
    </cfRule>
  </conditionalFormatting>
  <conditionalFormatting sqref="O10:P10">
    <cfRule type="expression" dxfId="745" priority="4">
      <formula>ABS(O$7-O$10)&gt;=1000</formula>
    </cfRule>
  </conditionalFormatting>
  <conditionalFormatting sqref="N10">
    <cfRule type="expression" dxfId="744" priority="3">
      <formula>ABS(N$7-N$10)&gt;=1000</formula>
    </cfRule>
  </conditionalFormatting>
  <conditionalFormatting sqref="H10:K10">
    <cfRule type="expression" dxfId="743" priority="2">
      <formula>ABS(H$7-H$10)&gt;=1000</formula>
    </cfRule>
  </conditionalFormatting>
  <conditionalFormatting sqref="D10:G10">
    <cfRule type="expression" dxfId="742" priority="1">
      <formula>ABS(D$7-D$10)&gt;=1000</formula>
    </cfRule>
  </conditionalFormatting>
  <conditionalFormatting sqref="I12">
    <cfRule type="expression" dxfId="741" priority="73">
      <formula>ABS(#REF!-#REF!)&gt;=1000</formula>
    </cfRule>
  </conditionalFormatting>
  <conditionalFormatting sqref="D6">
    <cfRule type="expression" dxfId="740" priority="82" stopIfTrue="1">
      <formula>MOD(ROUND($D$6*100,2),1)=0</formula>
    </cfRule>
  </conditionalFormatting>
  <conditionalFormatting sqref="E6">
    <cfRule type="expression" dxfId="739" priority="83" stopIfTrue="1">
      <formula>MOD(ROUND($E$6*100,2),1)=0</formula>
    </cfRule>
  </conditionalFormatting>
  <conditionalFormatting sqref="F6">
    <cfRule type="expression" dxfId="738" priority="84" stopIfTrue="1">
      <formula>MOD(ROUND($F$6*100,2),1)=0</formula>
    </cfRule>
  </conditionalFormatting>
  <conditionalFormatting sqref="G6">
    <cfRule type="expression" dxfId="737" priority="85" stopIfTrue="1">
      <formula>MOD(ROUND($G$6*100,2),1)=0</formula>
    </cfRule>
  </conditionalFormatting>
  <conditionalFormatting sqref="D9">
    <cfRule type="expression" dxfId="736" priority="86" stopIfTrue="1">
      <formula>MOD(ROUND($D$9*100,2),1)=0</formula>
    </cfRule>
  </conditionalFormatting>
  <conditionalFormatting sqref="E9">
    <cfRule type="expression" dxfId="735" priority="87" stopIfTrue="1">
      <formula>MOD(ROUND($E$9*100,2),1)=0</formula>
    </cfRule>
  </conditionalFormatting>
  <conditionalFormatting sqref="F9">
    <cfRule type="expression" dxfId="734" priority="88" stopIfTrue="1">
      <formula>MOD(ROUND($F$9*100,2),1)=0</formula>
    </cfRule>
  </conditionalFormatting>
  <conditionalFormatting sqref="G9">
    <cfRule type="expression" dxfId="733"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45377"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45377" r:id="rId4" name="CommandButto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4">
    <pageSetUpPr fitToPage="1"/>
  </sheetPr>
  <dimension ref="A1:AQ205"/>
  <sheetViews>
    <sheetView view="pageBreakPreview" zoomScaleNormal="100" zoomScaleSheetLayoutView="100" workbookViewId="0">
      <selection activeCell="T20" sqref="T20"/>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46253</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97" t="s" ph="1">
        <v>42</v>
      </c>
      <c r="D6" s="151">
        <v>0.8266</v>
      </c>
      <c r="E6" s="151">
        <v>7.1500000000000008E-2</v>
      </c>
      <c r="F6" s="151">
        <v>0.28660000000000002</v>
      </c>
      <c r="G6" s="151">
        <v>0.97609999999999997</v>
      </c>
      <c r="H6" s="150">
        <v>2206</v>
      </c>
      <c r="I6" s="150">
        <v>2090</v>
      </c>
      <c r="J6" s="150">
        <v>5752</v>
      </c>
      <c r="K6" s="150">
        <v>2977</v>
      </c>
      <c r="L6" s="150">
        <v>532</v>
      </c>
      <c r="M6" s="150">
        <v>1610</v>
      </c>
      <c r="N6" s="150">
        <v>1737</v>
      </c>
      <c r="O6" s="150">
        <v>4175</v>
      </c>
      <c r="P6" s="150">
        <v>4687</v>
      </c>
      <c r="Q6" s="294"/>
      <c r="R6" s="295"/>
      <c r="S6" s="295"/>
      <c r="T6" s="295"/>
      <c r="U6" s="296"/>
    </row>
    <row r="7" spans="1:43" s="61" customFormat="1" ht="25.95" customHeight="1" ph="1">
      <c r="B7" s="284" ph="1"/>
      <c r="C7" s="57" t="s" ph="1">
        <v>43</v>
      </c>
      <c r="D7" s="62" ph="1">
        <f>((D6*5885)*4.48)*LOOKUP(D8,密度!$A$2:$A$50,密度!$B$2:$B$50)</f>
        <v>16839.562121536001</v>
      </c>
      <c r="E7" s="62" ph="1">
        <f>((E6*5885)*4.48)*LOOKUP(E8,密度!$A$2:$A$50,密度!$B$2:$B$50)</f>
        <v>1458.1118552</v>
      </c>
      <c r="F7" s="62" ph="1">
        <f>((F6*5885)*4.48)*LOOKUP(F8,密度!$A$2:$A$50,密度!$B$2:$B$50)</f>
        <v>5858.2843975040005</v>
      </c>
      <c r="G7" s="62" ph="1">
        <f>((G6*5885)*4.48)*LOOKUP(G8,密度!$A$2:$A$50,密度!$B$2:$B$50)</f>
        <v>19928.937183232003</v>
      </c>
      <c r="H7" s="62" ph="1">
        <f>IF(H6&lt;=0,0,IF(H6&lt;=745,PI()*(5.3235*(H6/1000)^2-(4/3)*(H6/1000)^3),7.55+15.2053*((H6-745)/1000))*LOOKUP(H8,密度!$A$2:$A$50,密度!$B$2:$B$50)*1000)</f>
        <v>23023.183642550001</v>
      </c>
      <c r="I7" s="62" ph="1">
        <f>IF(I6&lt;=0,0,IF(I6&lt;=745,PI()*(5.3235*(I6/1000)^2-(4/3)*(I6/1000)^3),7.55+15.2053*((I6-745)/1000))*LOOKUP(I8,密度!$A$2:$A$50,密度!$B$2:$B$50)*1000)</f>
        <v>21611.270976300002</v>
      </c>
      <c r="J7" s="62" ph="1">
        <f>IF(J6&lt;=0,0,IF(J6&lt;=745,PI()*(5.3235*(J6/1000)^2-(4/3)*(J6/1000)^3),7.55+15.2053*((J6-745)/1000))*LOOKUP(J8,密度!$A$2:$A$50,密度!$B$2:$B$50)*1000)</f>
        <v>64804.066490239988</v>
      </c>
      <c r="K7" s="62" ph="1">
        <f>IF(K6&lt;=0,0,IF(K6&lt;=745,PI()*(5.3235*(K6/1000)^2-(4/3)*(K6/1000)^3),7.55+15.2053*((K6-745)/1000))*LOOKUP(K8,密度!$A$2:$A$50,密度!$B$2:$B$50)*1000)</f>
        <v>32128.485002239999</v>
      </c>
      <c r="L7" s="62" ph="1">
        <f>L6*26.42*LOOKUP(L8,密度!$A$2:$A$50,密度!$B$2:$B$50)</f>
        <v>10897.182632</v>
      </c>
      <c r="M7" s="62" ph="1">
        <f>M6*26.42*1</f>
        <v>42536.200000000004</v>
      </c>
      <c r="N7" s="62" ph="1">
        <f>N6*18.32*LOOKUP(N8,密度!$A$2:$A$50,密度!$B$2:$B$50)</f>
        <v>24671.472551999999</v>
      </c>
      <c r="O7" s="62" ph="1">
        <f>O6*81.71*LOOKUP(O8,密度!$A$2:$A$50,密度!$B$2:$B$50)</f>
        <v>263871.209875</v>
      </c>
      <c r="P7" s="62" ph="1">
        <f>P6*81.71*LOOKUP(P8,密度!$A$2:$A$50,密度!$B$2:$B$50)</f>
        <v>296575.66188799997</v>
      </c>
      <c r="Q7" s="294"/>
      <c r="R7" s="295"/>
      <c r="S7" s="295"/>
      <c r="T7" s="295"/>
      <c r="U7" s="296"/>
    </row>
    <row r="8" spans="1:43" ht="25.95" customHeight="1" ph="1">
      <c r="B8" s="284" ph="1"/>
      <c r="C8" s="57" t="s" ph="1">
        <v>44</v>
      </c>
      <c r="D8" s="149">
        <v>33</v>
      </c>
      <c r="E8" s="149">
        <v>32</v>
      </c>
      <c r="F8" s="149">
        <v>30</v>
      </c>
      <c r="G8" s="149">
        <v>31</v>
      </c>
      <c r="H8" s="149">
        <v>32</v>
      </c>
      <c r="I8" s="149">
        <v>34</v>
      </c>
      <c r="J8" s="149">
        <v>31</v>
      </c>
      <c r="K8" s="149">
        <v>31</v>
      </c>
      <c r="L8" s="149">
        <v>30</v>
      </c>
      <c r="M8" s="149">
        <v>30</v>
      </c>
      <c r="N8" s="149">
        <v>30</v>
      </c>
      <c r="O8" s="149">
        <v>32</v>
      </c>
      <c r="P8" s="149">
        <v>31</v>
      </c>
      <c r="Q8" s="294"/>
      <c r="R8" s="295"/>
      <c r="S8" s="295"/>
      <c r="T8" s="295"/>
      <c r="U8" s="296"/>
    </row>
    <row r="9" spans="1:43" ht="25.95" customHeight="1" ph="1">
      <c r="B9" s="284" ph="1">
        <v>0.66666666666666663</v>
      </c>
      <c r="C9" s="197" t="s" ph="1">
        <v>45</v>
      </c>
      <c r="D9" s="151">
        <v>0</v>
      </c>
      <c r="E9" s="151">
        <v>0.52280000000000004</v>
      </c>
      <c r="F9" s="151">
        <v>0</v>
      </c>
      <c r="G9" s="151">
        <v>0</v>
      </c>
      <c r="H9" s="150">
        <v>3113</v>
      </c>
      <c r="I9" s="150">
        <v>579</v>
      </c>
      <c r="J9" s="150">
        <v>262</v>
      </c>
      <c r="K9" s="150">
        <v>4818</v>
      </c>
      <c r="L9" s="150">
        <v>3741</v>
      </c>
      <c r="M9" s="150">
        <v>1610</v>
      </c>
      <c r="N9" s="150">
        <v>1793</v>
      </c>
      <c r="O9" s="150">
        <v>4015</v>
      </c>
      <c r="P9" s="150">
        <v>5034</v>
      </c>
      <c r="Q9" s="294"/>
      <c r="R9" s="295"/>
      <c r="S9" s="295"/>
      <c r="T9" s="295"/>
      <c r="U9" s="296"/>
    </row>
    <row r="10" spans="1:43" s="61" customFormat="1" ht="25.95" customHeight="1" ph="1">
      <c r="B10" s="284" ph="1"/>
      <c r="C10" s="197" t="s" ph="1">
        <v>43</v>
      </c>
      <c r="D10" s="62" ph="1">
        <f>((D9*5885)*4.48)*LOOKUP(D11,密度!$A$2:$A$50,密度!$B$2:$B$50)</f>
        <v>0</v>
      </c>
      <c r="E10" s="62" ph="1">
        <f>((E9*5885)*4.48)*LOOKUP(E11,密度!$A$2:$A$50,密度!$B$2:$B$50)</f>
        <v>10638.118760192003</v>
      </c>
      <c r="F10" s="62" ph="1">
        <f>((F9*5885)*4.48)*LOOKUP(F11,密度!$A$2:$A$50,密度!$B$2:$B$50)</f>
        <v>0</v>
      </c>
      <c r="G10" s="62" ph="1">
        <f>((G9*5885)*4.48)*LOOKUP(G11,密度!$A$2:$A$50,密度!$B$2:$B$50)</f>
        <v>0</v>
      </c>
      <c r="H10" s="62" ph="1">
        <f>IF(H9&lt;=0,0,IF(H9&lt;=745,PI()*(5.3235*(H9/1000)^2-(4/3)*(H9/1000)^3),7.55+15.2053*((H9-745)/1000))*LOOKUP(H11,密度!$A$2:$A$50,密度!$B$2:$B$50)*1000)</f>
        <v>33616.636878719997</v>
      </c>
      <c r="I10" s="62" ph="1">
        <f>IF(I9&lt;=0,0,IF(I9&lt;=745,PI()*(5.3235*(I9/1000)^2-(4/3)*(I9/1000)^3),7.55+15.2053*((I9-745)/1000))*LOOKUP(I11,密度!$A$2:$A$50,密度!$B$2:$B$50)*1000)</f>
        <v>3695.3841598440736</v>
      </c>
      <c r="J10" s="62" ph="1">
        <f>IF(J9&lt;=0,0,IF(J9&lt;=745,PI()*(5.3235*(J9/1000)^2-(4/3)*(J9/1000)^3),7.55+15.2053*((J9-745)/1000))*LOOKUP(J11,密度!$A$2:$A$50,密度!$B$2:$B$50)*1000)</f>
        <v>827.89938963809993</v>
      </c>
      <c r="K10" s="62" ph="1">
        <f>IF(K9&lt;=0,0,IF(K9&lt;=745,PI()*(5.3235*(K9/1000)^2-(4/3)*(K9/1000)^3),7.55+15.2053*((K9-745)/1000))*LOOKUP(K11,密度!$A$2:$A$50,密度!$B$2:$B$50)*1000)</f>
        <v>53806.231135359994</v>
      </c>
      <c r="L10" s="62" ph="1">
        <f>L9*26.42*LOOKUP(L11,密度!$A$2:$A$50,密度!$B$2:$B$50)</f>
        <v>76450.589670000001</v>
      </c>
      <c r="M10" s="62" ph="1">
        <f>M9*26.42*1</f>
        <v>42536.200000000004</v>
      </c>
      <c r="N10" s="62" ph="1">
        <f>N9*18.32*LOOKUP(N11,密度!$A$2:$A$50,密度!$B$2:$B$50)</f>
        <v>25437.305344</v>
      </c>
      <c r="O10" s="62" ph="1">
        <f>O9*81.71*LOOKUP(O11,密度!$A$2:$A$50,密度!$B$2:$B$50)</f>
        <v>253758.78027499997</v>
      </c>
      <c r="P10" s="62" ph="1">
        <f>P9*81.71*LOOKUP(P11,密度!$A$2:$A$50,密度!$B$2:$B$50)</f>
        <v>318162.31628999993</v>
      </c>
      <c r="Q10" s="294"/>
      <c r="R10" s="295"/>
      <c r="S10" s="295"/>
      <c r="T10" s="295"/>
      <c r="U10" s="296"/>
    </row>
    <row r="11" spans="1:43" ht="25.95" customHeight="1" ph="1">
      <c r="A11" s="53" t="s" ph="1">
        <v>40</v>
      </c>
      <c r="B11" s="284" ph="1"/>
      <c r="C11" s="197" t="s" ph="1">
        <v>44</v>
      </c>
      <c r="D11" s="149">
        <v>34</v>
      </c>
      <c r="E11" s="149">
        <v>34</v>
      </c>
      <c r="F11" s="149">
        <v>35</v>
      </c>
      <c r="G11" s="149">
        <v>34</v>
      </c>
      <c r="H11" s="149">
        <v>34</v>
      </c>
      <c r="I11" s="149">
        <v>35</v>
      </c>
      <c r="J11" s="149">
        <v>34</v>
      </c>
      <c r="K11" s="149">
        <v>31</v>
      </c>
      <c r="L11" s="149">
        <v>32</v>
      </c>
      <c r="M11" s="149">
        <v>31</v>
      </c>
      <c r="N11" s="149">
        <v>31</v>
      </c>
      <c r="O11" s="149">
        <v>32</v>
      </c>
      <c r="P11" s="149">
        <v>32</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97" t="s" ph="1">
        <v>1</v>
      </c>
      <c r="F14" s="88" t="s" ph="1">
        <v>28</v>
      </c>
      <c r="G14" s="86" t="s" ph="1">
        <v>0</v>
      </c>
      <c r="H14" s="197" t="s" ph="1">
        <v>1</v>
      </c>
      <c r="I14" s="196" t="s" ph="1">
        <v>28</v>
      </c>
      <c r="J14" s="86" t="s" ph="1">
        <v>0</v>
      </c>
      <c r="K14" s="197" t="s" ph="1">
        <v>1</v>
      </c>
      <c r="L14" s="196" t="s" ph="1">
        <v>28</v>
      </c>
      <c r="M14" s="86" t="s" ph="1">
        <v>0</v>
      </c>
      <c r="N14" s="197" t="s" ph="1">
        <v>1</v>
      </c>
      <c r="O14" s="196" t="s" ph="1">
        <v>28</v>
      </c>
      <c r="P14" s="86" t="s" ph="1">
        <v>0</v>
      </c>
      <c r="Q14" s="87" t="s" ph="1">
        <v>1</v>
      </c>
      <c r="R14" s="88" t="s" ph="1">
        <v>28</v>
      </c>
      <c r="S14" s="86" t="s" ph="1">
        <v>0</v>
      </c>
      <c r="T14" s="197" t="s" ph="1">
        <v>1</v>
      </c>
      <c r="U14" s="88" t="s" ph="1">
        <v>28</v>
      </c>
    </row>
    <row r="15" spans="1:43" ph="1">
      <c r="A15" s="53"/>
      <c r="B15" s="300" t="s" ph="1">
        <v>46</v>
      </c>
      <c r="C15" s="301" ph="1"/>
      <c r="D15" s="241" ph="1">
        <f>O10+P10</f>
        <v>571921.0965649999</v>
      </c>
      <c r="E15" s="233" ph="1">
        <f>H10+I10+J10+K10</f>
        <v>91946.151563562162</v>
      </c>
      <c r="F15" s="257" ph="1">
        <f>L10+N10</f>
        <v>101887.89501400001</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95" ph="1"/>
      <c r="P18" s="90" ph="1"/>
      <c r="Q18" s="195" t="s" ph="1">
        <v>50</v>
      </c>
      <c r="R18" s="218" t="s" ph="1">
        <v>178</v>
      </c>
      <c r="S18" s="218" ph="1"/>
    </row>
    <row r="19" spans="1:21" s="195"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732" priority="72">
      <formula>ABS(D$7-D$10)&gt;=1000</formula>
    </cfRule>
  </conditionalFormatting>
  <conditionalFormatting sqref="E4">
    <cfRule type="expression" dxfId="731" priority="71">
      <formula>ABS(E$7-E$10)&gt;=1000</formula>
    </cfRule>
  </conditionalFormatting>
  <conditionalFormatting sqref="F4">
    <cfRule type="expression" dxfId="730" priority="70">
      <formula>ABS(F$7-F$10)&gt;=1000</formula>
    </cfRule>
  </conditionalFormatting>
  <conditionalFormatting sqref="G4">
    <cfRule type="expression" dxfId="729" priority="69">
      <formula>ABS(G$7-G$10)&gt;=1000</formula>
    </cfRule>
  </conditionalFormatting>
  <conditionalFormatting sqref="H4:K4">
    <cfRule type="expression" dxfId="728" priority="68">
      <formula>ABS(H$7-H$10)&gt;=1000</formula>
    </cfRule>
  </conditionalFormatting>
  <conditionalFormatting sqref="I8">
    <cfRule type="expression" dxfId="727" priority="67">
      <formula>ABS(I$7-I$10)&gt;=1000</formula>
    </cfRule>
  </conditionalFormatting>
  <conditionalFormatting sqref="L4:L5 M4:N4">
    <cfRule type="expression" dxfId="726" priority="66">
      <formula>ABS(L$7-L$10)&gt;=1000</formula>
    </cfRule>
  </conditionalFormatting>
  <conditionalFormatting sqref="M5">
    <cfRule type="expression" dxfId="725" priority="65">
      <formula>ABS(M$7-M$10)&gt;=1000</formula>
    </cfRule>
  </conditionalFormatting>
  <conditionalFormatting sqref="N5">
    <cfRule type="expression" dxfId="724" priority="64">
      <formula>ABS(N$7-N$10)&gt;=1000</formula>
    </cfRule>
  </conditionalFormatting>
  <conditionalFormatting sqref="D5">
    <cfRule type="expression" dxfId="723" priority="63">
      <formula>ABS(D$7-D$10)&gt;=1000</formula>
    </cfRule>
  </conditionalFormatting>
  <conditionalFormatting sqref="E5:G5">
    <cfRule type="expression" dxfId="722" priority="62">
      <formula>ABS(E$7-E$10)&gt;=1000</formula>
    </cfRule>
  </conditionalFormatting>
  <conditionalFormatting sqref="H5">
    <cfRule type="expression" dxfId="721" priority="61">
      <formula>ABS(H$7-H$10)&gt;=1000</formula>
    </cfRule>
  </conditionalFormatting>
  <conditionalFormatting sqref="O4:P4">
    <cfRule type="expression" dxfId="720" priority="60">
      <formula>ABS(O$7-O$10)&gt;=1000</formula>
    </cfRule>
  </conditionalFormatting>
  <conditionalFormatting sqref="O5">
    <cfRule type="expression" dxfId="719" priority="59">
      <formula>ABS(O$7-O$10)&gt;=1000</formula>
    </cfRule>
  </conditionalFormatting>
  <conditionalFormatting sqref="I6">
    <cfRule type="expression" dxfId="718" priority="58">
      <formula>ABS(I$7-I$10)&gt;=1000</formula>
    </cfRule>
  </conditionalFormatting>
  <conditionalFormatting sqref="P5">
    <cfRule type="expression" dxfId="717" priority="57">
      <formula>ABS(P$7-P$10)&gt;=1000</formula>
    </cfRule>
  </conditionalFormatting>
  <conditionalFormatting sqref="I5">
    <cfRule type="expression" dxfId="716" priority="56">
      <formula>ABS(I$7-I$10)&gt;=1000</formula>
    </cfRule>
  </conditionalFormatting>
  <conditionalFormatting sqref="D6 D8">
    <cfRule type="expression" dxfId="715" priority="55">
      <formula>ABS(D$7-D$10)&gt;=1000</formula>
    </cfRule>
  </conditionalFormatting>
  <conditionalFormatting sqref="E6 E8">
    <cfRule type="expression" dxfId="714" priority="54">
      <formula>ABS(E$7-E$10)&gt;=1000</formula>
    </cfRule>
  </conditionalFormatting>
  <conditionalFormatting sqref="F6 F8">
    <cfRule type="expression" dxfId="713" priority="53">
      <formula>ABS(F$7-F$10)&gt;=1000</formula>
    </cfRule>
  </conditionalFormatting>
  <conditionalFormatting sqref="G6 G8">
    <cfRule type="expression" dxfId="712" priority="52">
      <formula>ABS(G$7-G$10)&gt;=1000</formula>
    </cfRule>
  </conditionalFormatting>
  <conditionalFormatting sqref="H8">
    <cfRule type="expression" dxfId="711" priority="51">
      <formula>ABS(H$7-H$10)&gt;=1000</formula>
    </cfRule>
  </conditionalFormatting>
  <conditionalFormatting sqref="H6">
    <cfRule type="expression" dxfId="710" priority="50">
      <formula>ABS(H$7-H$10)&gt;=1000</formula>
    </cfRule>
  </conditionalFormatting>
  <conditionalFormatting sqref="J8">
    <cfRule type="expression" dxfId="709" priority="49">
      <formula>ABS(J$7-J$10)&gt;=1000</formula>
    </cfRule>
  </conditionalFormatting>
  <conditionalFormatting sqref="K8">
    <cfRule type="expression" dxfId="708" priority="48">
      <formula>ABS(K$7-K$10)&gt;=1000</formula>
    </cfRule>
  </conditionalFormatting>
  <conditionalFormatting sqref="L8">
    <cfRule type="expression" dxfId="707" priority="47">
      <formula>ABS(L$7-L$10)&gt;=1000</formula>
    </cfRule>
  </conditionalFormatting>
  <conditionalFormatting sqref="M8">
    <cfRule type="expression" dxfId="706" priority="46">
      <formula>ABS(M$7-M$10)&gt;=1000</formula>
    </cfRule>
  </conditionalFormatting>
  <conditionalFormatting sqref="N8">
    <cfRule type="expression" dxfId="705" priority="45">
      <formula>ABS(N$7-N$10)&gt;=1000</formula>
    </cfRule>
  </conditionalFormatting>
  <conditionalFormatting sqref="O8">
    <cfRule type="expression" dxfId="704" priority="44">
      <formula>ABS(O$7-O$10)&gt;=1000</formula>
    </cfRule>
  </conditionalFormatting>
  <conditionalFormatting sqref="P8">
    <cfRule type="expression" dxfId="703" priority="43">
      <formula>ABS(P$7-P$10)&gt;=1000</formula>
    </cfRule>
  </conditionalFormatting>
  <conditionalFormatting sqref="J6">
    <cfRule type="expression" dxfId="702" priority="42">
      <formula>ABS(J$7-J$10)&gt;=1000</formula>
    </cfRule>
  </conditionalFormatting>
  <conditionalFormatting sqref="K6">
    <cfRule type="expression" dxfId="701" priority="41">
      <formula>ABS(K$7-K$10)&gt;=1000</formula>
    </cfRule>
  </conditionalFormatting>
  <conditionalFormatting sqref="L6">
    <cfRule type="expression" dxfId="700" priority="40">
      <formula>ABS(L$7-L$10)&gt;=1000</formula>
    </cfRule>
  </conditionalFormatting>
  <conditionalFormatting sqref="M6">
    <cfRule type="expression" dxfId="699" priority="39">
      <formula>ABS(M$7-M$10)&gt;=1000</formula>
    </cfRule>
  </conditionalFormatting>
  <conditionalFormatting sqref="N6">
    <cfRule type="expression" dxfId="698" priority="38">
      <formula>ABS(N$7-N$10)&gt;=1000</formula>
    </cfRule>
  </conditionalFormatting>
  <conditionalFormatting sqref="O6">
    <cfRule type="expression" dxfId="697" priority="37">
      <formula>ABS(O$7-O$10)&gt;=1000</formula>
    </cfRule>
  </conditionalFormatting>
  <conditionalFormatting sqref="P6">
    <cfRule type="expression" dxfId="696" priority="36">
      <formula>ABS(P$7-P$10)&gt;=1000</formula>
    </cfRule>
  </conditionalFormatting>
  <conditionalFormatting sqref="L7">
    <cfRule type="expression" dxfId="695" priority="35">
      <formula>ABS(L$7-L$10)&gt;=1000</formula>
    </cfRule>
  </conditionalFormatting>
  <conditionalFormatting sqref="M7">
    <cfRule type="expression" dxfId="694" priority="34">
      <formula>ABS(M$7-M$10)&gt;=1000</formula>
    </cfRule>
  </conditionalFormatting>
  <conditionalFormatting sqref="O7:P7">
    <cfRule type="expression" dxfId="693" priority="33">
      <formula>ABS(O$7-O$10)&gt;=1000</formula>
    </cfRule>
  </conditionalFormatting>
  <conditionalFormatting sqref="N7">
    <cfRule type="expression" dxfId="692" priority="32">
      <formula>ABS(N$7-N$10)&gt;=1000</formula>
    </cfRule>
  </conditionalFormatting>
  <conditionalFormatting sqref="H7:K7">
    <cfRule type="expression" dxfId="691" priority="31">
      <formula>ABS(H$7-H$10)&gt;=1000</formula>
    </cfRule>
  </conditionalFormatting>
  <conditionalFormatting sqref="D7:G7">
    <cfRule type="expression" dxfId="690" priority="30">
      <formula>ABS(D$7-D$10)&gt;=1000</formula>
    </cfRule>
  </conditionalFormatting>
  <conditionalFormatting sqref="J5:K5">
    <cfRule type="expression" dxfId="689" priority="29">
      <formula>ABS(J$7-J$10)&gt;=1000</formula>
    </cfRule>
  </conditionalFormatting>
  <conditionalFormatting sqref="D9 D11">
    <cfRule type="expression" dxfId="688" priority="28">
      <formula>ABS(D$7-D$10)&gt;=1000</formula>
    </cfRule>
  </conditionalFormatting>
  <conditionalFormatting sqref="E9 E11">
    <cfRule type="expression" dxfId="687" priority="27">
      <formula>ABS(E$7-E$10)&gt;=1000</formula>
    </cfRule>
  </conditionalFormatting>
  <conditionalFormatting sqref="F9 F11">
    <cfRule type="expression" dxfId="686" priority="26">
      <formula>ABS(F$7-F$10)&gt;=1000</formula>
    </cfRule>
  </conditionalFormatting>
  <conditionalFormatting sqref="G9 G11">
    <cfRule type="expression" dxfId="685" priority="25">
      <formula>ABS(G$7-G$10)&gt;=1000</formula>
    </cfRule>
  </conditionalFormatting>
  <conditionalFormatting sqref="H11">
    <cfRule type="expression" dxfId="684" priority="24">
      <formula>ABS(H$7-H$10)&gt;=1000</formula>
    </cfRule>
  </conditionalFormatting>
  <conditionalFormatting sqref="I11">
    <cfRule type="expression" dxfId="683" priority="23">
      <formula>ABS(I$7-I$10)&gt;=1000</formula>
    </cfRule>
  </conditionalFormatting>
  <conditionalFormatting sqref="J11">
    <cfRule type="expression" dxfId="682" priority="22">
      <formula>ABS(J$7-J$10)&gt;=1000</formula>
    </cfRule>
  </conditionalFormatting>
  <conditionalFormatting sqref="K11">
    <cfRule type="expression" dxfId="681" priority="21">
      <formula>ABS(K$7-K$10)&gt;=1000</formula>
    </cfRule>
  </conditionalFormatting>
  <conditionalFormatting sqref="L11">
    <cfRule type="expression" dxfId="680" priority="20">
      <formula>ABS(L$7-L$10)&gt;=1000</formula>
    </cfRule>
  </conditionalFormatting>
  <conditionalFormatting sqref="M11">
    <cfRule type="expression" dxfId="679" priority="19">
      <formula>ABS(M$7-M$10)&gt;=1000</formula>
    </cfRule>
  </conditionalFormatting>
  <conditionalFormatting sqref="N11">
    <cfRule type="expression" dxfId="678" priority="18">
      <formula>ABS(N$7-N$10)&gt;=1000</formula>
    </cfRule>
  </conditionalFormatting>
  <conditionalFormatting sqref="O11">
    <cfRule type="expression" dxfId="677" priority="17">
      <formula>ABS(O$7-O$10)&gt;=1000</formula>
    </cfRule>
  </conditionalFormatting>
  <conditionalFormatting sqref="P11">
    <cfRule type="expression" dxfId="676" priority="16">
      <formula>ABS(P$7-P$10)&gt;=1000</formula>
    </cfRule>
  </conditionalFormatting>
  <conditionalFormatting sqref="H9">
    <cfRule type="expression" dxfId="675" priority="15">
      <formula>ABS(H$7-H$10)&gt;=1000</formula>
    </cfRule>
  </conditionalFormatting>
  <conditionalFormatting sqref="J9">
    <cfRule type="expression" dxfId="674" priority="14">
      <formula>ABS(J$7-J$10)&gt;=1000</formula>
    </cfRule>
  </conditionalFormatting>
  <conditionalFormatting sqref="K9">
    <cfRule type="expression" dxfId="673" priority="13">
      <formula>ABS(K$7-K$10)&gt;=1000</formula>
    </cfRule>
  </conditionalFormatting>
  <conditionalFormatting sqref="L9">
    <cfRule type="expression" dxfId="672" priority="12">
      <formula>ABS(L$7-L$10)&gt;=1000</formula>
    </cfRule>
  </conditionalFormatting>
  <conditionalFormatting sqref="M9">
    <cfRule type="expression" dxfId="671" priority="11">
      <formula>ABS(M$7-M$10)&gt;=1000</formula>
    </cfRule>
  </conditionalFormatting>
  <conditionalFormatting sqref="N9">
    <cfRule type="expression" dxfId="670" priority="10">
      <formula>ABS(N$7-N$10)&gt;=1000</formula>
    </cfRule>
  </conditionalFormatting>
  <conditionalFormatting sqref="O9">
    <cfRule type="expression" dxfId="669" priority="9">
      <formula>ABS(O$7-O$10)&gt;=1000</formula>
    </cfRule>
  </conditionalFormatting>
  <conditionalFormatting sqref="P9">
    <cfRule type="expression" dxfId="668" priority="8">
      <formula>ABS(P$7-P$10)&gt;=1000</formula>
    </cfRule>
  </conditionalFormatting>
  <conditionalFormatting sqref="I9">
    <cfRule type="expression" dxfId="667" priority="7">
      <formula>ABS(I$7-I$10)&gt;=1000</formula>
    </cfRule>
  </conditionalFormatting>
  <conditionalFormatting sqref="L10">
    <cfRule type="expression" dxfId="666" priority="6">
      <formula>ABS(L$7-L$10)&gt;=1000</formula>
    </cfRule>
  </conditionalFormatting>
  <conditionalFormatting sqref="M10">
    <cfRule type="expression" dxfId="665" priority="5">
      <formula>ABS(M$7-M$10)&gt;=1000</formula>
    </cfRule>
  </conditionalFormatting>
  <conditionalFormatting sqref="O10:P10">
    <cfRule type="expression" dxfId="664" priority="4">
      <formula>ABS(O$7-O$10)&gt;=1000</formula>
    </cfRule>
  </conditionalFormatting>
  <conditionalFormatting sqref="N10">
    <cfRule type="expression" dxfId="663" priority="3">
      <formula>ABS(N$7-N$10)&gt;=1000</formula>
    </cfRule>
  </conditionalFormatting>
  <conditionalFormatting sqref="H10:K10">
    <cfRule type="expression" dxfId="662" priority="2">
      <formula>ABS(H$7-H$10)&gt;=1000</formula>
    </cfRule>
  </conditionalFormatting>
  <conditionalFormatting sqref="D10:G10">
    <cfRule type="expression" dxfId="661" priority="1">
      <formula>ABS(D$7-D$10)&gt;=1000</formula>
    </cfRule>
  </conditionalFormatting>
  <conditionalFormatting sqref="I12">
    <cfRule type="expression" dxfId="660" priority="73">
      <formula>ABS(#REF!-#REF!)&gt;=1000</formula>
    </cfRule>
  </conditionalFormatting>
  <conditionalFormatting sqref="D6">
    <cfRule type="expression" dxfId="659" priority="82" stopIfTrue="1">
      <formula>MOD(ROUND($D$6*100,2),1)=0</formula>
    </cfRule>
  </conditionalFormatting>
  <conditionalFormatting sqref="E6">
    <cfRule type="expression" dxfId="658" priority="83" stopIfTrue="1">
      <formula>MOD(ROUND($E$6*100,2),1)=0</formula>
    </cfRule>
  </conditionalFormatting>
  <conditionalFormatting sqref="F6">
    <cfRule type="expression" dxfId="657" priority="84" stopIfTrue="1">
      <formula>MOD(ROUND($F$6*100,2),1)=0</formula>
    </cfRule>
  </conditionalFormatting>
  <conditionalFormatting sqref="G6">
    <cfRule type="expression" dxfId="656" priority="85" stopIfTrue="1">
      <formula>MOD(ROUND($G$6*100,2),1)=0</formula>
    </cfRule>
  </conditionalFormatting>
  <conditionalFormatting sqref="D9">
    <cfRule type="expression" dxfId="655" priority="86" stopIfTrue="1">
      <formula>MOD(ROUND($D$9*100,2),1)=0</formula>
    </cfRule>
  </conditionalFormatting>
  <conditionalFormatting sqref="E9">
    <cfRule type="expression" dxfId="654" priority="87" stopIfTrue="1">
      <formula>MOD(ROUND($E$9*100,2),1)=0</formula>
    </cfRule>
  </conditionalFormatting>
  <conditionalFormatting sqref="F9">
    <cfRule type="expression" dxfId="653" priority="88" stopIfTrue="1">
      <formula>MOD(ROUND($F$9*100,2),1)=0</formula>
    </cfRule>
  </conditionalFormatting>
  <conditionalFormatting sqref="G9">
    <cfRule type="expression" dxfId="652"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46401"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46401" r:id="rId4" name="CommandButto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5">
    <pageSetUpPr fitToPage="1"/>
  </sheetPr>
  <dimension ref="A1:AQ205"/>
  <sheetViews>
    <sheetView view="pageBreakPreview" zoomScaleNormal="100" zoomScaleSheetLayoutView="100" workbookViewId="0">
      <selection activeCell="R19" sqref="R19"/>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46254</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97" t="s" ph="1">
        <v>42</v>
      </c>
      <c r="D6" s="151">
        <v>0.89019999999999999</v>
      </c>
      <c r="E6" s="151">
        <v>0.1032</v>
      </c>
      <c r="F6" s="151">
        <v>0.16539999999999999</v>
      </c>
      <c r="G6" s="151">
        <v>1E-3</v>
      </c>
      <c r="H6" s="150">
        <v>3107</v>
      </c>
      <c r="I6" s="150">
        <v>1513</v>
      </c>
      <c r="J6" s="150">
        <v>252</v>
      </c>
      <c r="K6" s="150">
        <v>2246</v>
      </c>
      <c r="L6" s="150">
        <v>5031</v>
      </c>
      <c r="M6" s="150">
        <v>1610</v>
      </c>
      <c r="N6" s="150">
        <v>1923</v>
      </c>
      <c r="O6" s="150">
        <v>3665</v>
      </c>
      <c r="P6" s="150">
        <v>5031</v>
      </c>
      <c r="Q6" s="294"/>
      <c r="R6" s="295"/>
      <c r="S6" s="295"/>
      <c r="T6" s="295"/>
      <c r="U6" s="296"/>
    </row>
    <row r="7" spans="1:43" s="61" customFormat="1" ht="25.95" customHeight="1" ph="1">
      <c r="B7" s="284" ph="1"/>
      <c r="C7" s="57" t="s" ph="1">
        <v>43</v>
      </c>
      <c r="D7" s="62" ph="1">
        <f>((D6*5885)*4.48)*LOOKUP(D8,密度!$A$2:$A$50,密度!$B$2:$B$50)</f>
        <v>18154.002426560004</v>
      </c>
      <c r="E7" s="62" ph="1">
        <f>((E6*5885)*4.48)*LOOKUP(E8,密度!$A$2:$A$50,密度!$B$2:$B$50)</f>
        <v>2107.0241955840002</v>
      </c>
      <c r="F7" s="62" ph="1">
        <f>((F6*5885)*4.48)*LOOKUP(F8,密度!$A$2:$A$50,密度!$B$2:$B$50)</f>
        <v>3376.9554452479997</v>
      </c>
      <c r="G7" s="62" ph="1">
        <f>((G6*5885)*4.48)*LOOKUP(G8,密度!$A$2:$A$50,密度!$B$2:$B$50)</f>
        <v>20.485449600000003</v>
      </c>
      <c r="H7" s="62" ph="1">
        <f>IF(H6&lt;=0,0,IF(H6&lt;=745,PI()*(5.3235*(H6/1000)^2-(4/3)*(H6/1000)^3),7.55+15.2053*((H6-745)/1000))*LOOKUP(H8,密度!$A$2:$A$50,密度!$B$2:$B$50)*1000)</f>
        <v>33620.114537099995</v>
      </c>
      <c r="I7" s="62" ph="1">
        <f>IF(I6&lt;=0,0,IF(I6&lt;=745,PI()*(5.3235*(I6/1000)^2-(4/3)*(I6/1000)^3),7.55+15.2053*((I6-745)/1000))*LOOKUP(I8,密度!$A$2:$A$50,密度!$B$2:$B$50)*1000)</f>
        <v>14889.90795776</v>
      </c>
      <c r="J7" s="62" ph="1">
        <f>IF(J6&lt;=0,0,IF(J6&lt;=745,PI()*(5.3235*(J6/1000)^2-(4/3)*(J6/1000)^3),7.55+15.2053*((J6-745)/1000))*LOOKUP(J8,密度!$A$2:$A$50,密度!$B$2:$B$50)*1000)</f>
        <v>773.13419432378294</v>
      </c>
      <c r="K7" s="62" ph="1">
        <f>IF(K6&lt;=0,0,IF(K6&lt;=745,PI()*(5.3235*(K6/1000)^2-(4/3)*(K6/1000)^3),7.55+15.2053*((K6-745)/1000))*LOOKUP(K8,密度!$A$2:$A$50,密度!$B$2:$B$50)*1000)</f>
        <v>23548.307304089998</v>
      </c>
      <c r="L7" s="62" ph="1">
        <f>L6*26.42*LOOKUP(L8,密度!$A$2:$A$50,密度!$B$2:$B$50)</f>
        <v>102932.48908800002</v>
      </c>
      <c r="M7" s="62" ph="1">
        <f>M6*26.42*1</f>
        <v>42536.200000000004</v>
      </c>
      <c r="N7" s="62" ph="1">
        <f>N6*18.32*LOOKUP(N8,密度!$A$2:$A$50,密度!$B$2:$B$50)</f>
        <v>27345.029232000001</v>
      </c>
      <c r="O7" s="62" ph="1">
        <f>O6*81.71*LOOKUP(O8,密度!$A$2:$A$50,密度!$B$2:$B$50)</f>
        <v>231637.84052499995</v>
      </c>
      <c r="P7" s="62" ph="1">
        <f>P6*81.71*LOOKUP(P8,密度!$A$2:$A$50,密度!$B$2:$B$50)</f>
        <v>318342.68294399994</v>
      </c>
      <c r="Q7" s="294"/>
      <c r="R7" s="295"/>
      <c r="S7" s="295"/>
      <c r="T7" s="295"/>
      <c r="U7" s="296"/>
    </row>
    <row r="8" spans="1:43" ht="25.95" customHeight="1" ph="1">
      <c r="B8" s="284" ph="1"/>
      <c r="C8" s="57" t="s" ph="1">
        <v>44</v>
      </c>
      <c r="D8" s="149">
        <v>32</v>
      </c>
      <c r="E8" s="149">
        <v>31</v>
      </c>
      <c r="F8" s="149">
        <v>31</v>
      </c>
      <c r="G8" s="149">
        <v>28</v>
      </c>
      <c r="H8" s="149">
        <v>32</v>
      </c>
      <c r="I8" s="149">
        <v>31</v>
      </c>
      <c r="J8" s="149">
        <v>28</v>
      </c>
      <c r="K8" s="149">
        <v>30</v>
      </c>
      <c r="L8" s="149">
        <v>31</v>
      </c>
      <c r="M8" s="149">
        <v>30</v>
      </c>
      <c r="N8" s="149">
        <v>29</v>
      </c>
      <c r="O8" s="149">
        <v>32</v>
      </c>
      <c r="P8" s="149">
        <v>31</v>
      </c>
      <c r="Q8" s="294"/>
      <c r="R8" s="295"/>
      <c r="S8" s="295"/>
      <c r="T8" s="295"/>
      <c r="U8" s="296"/>
    </row>
    <row r="9" spans="1:43" ht="25.95" customHeight="1" ph="1">
      <c r="B9" s="284" ph="1">
        <v>0.66666666666666663</v>
      </c>
      <c r="C9" s="197" t="s" ph="1">
        <v>45</v>
      </c>
      <c r="D9" s="151">
        <v>0.23449999999999999</v>
      </c>
      <c r="E9" s="151">
        <v>0.54979999999999996</v>
      </c>
      <c r="F9" s="151">
        <v>0.44280000000000003</v>
      </c>
      <c r="G9" s="151">
        <v>1E-3</v>
      </c>
      <c r="H9" s="150">
        <v>3107</v>
      </c>
      <c r="I9" s="150">
        <v>2647</v>
      </c>
      <c r="J9" s="150">
        <v>253</v>
      </c>
      <c r="K9" s="150">
        <v>288</v>
      </c>
      <c r="L9" s="150">
        <v>5746</v>
      </c>
      <c r="M9" s="150">
        <v>1611</v>
      </c>
      <c r="N9" s="150">
        <v>2025</v>
      </c>
      <c r="O9" s="150">
        <v>3507</v>
      </c>
      <c r="P9" s="150">
        <v>5030</v>
      </c>
      <c r="Q9" s="294"/>
      <c r="R9" s="295"/>
      <c r="S9" s="295"/>
      <c r="T9" s="295"/>
      <c r="U9" s="296"/>
    </row>
    <row r="10" spans="1:43" s="61" customFormat="1" ht="25.95" customHeight="1" ph="1">
      <c r="B10" s="284" ph="1"/>
      <c r="C10" s="197" t="s" ph="1">
        <v>43</v>
      </c>
      <c r="D10" s="62" ph="1">
        <f>((D9*5885)*4.48)*LOOKUP(D11,密度!$A$2:$A$50,密度!$B$2:$B$50)</f>
        <v>4782.1990216000004</v>
      </c>
      <c r="E10" s="62" ph="1">
        <f>((E9*5885)*4.48)*LOOKUP(E11,密度!$A$2:$A$50,密度!$B$2:$B$50)</f>
        <v>11187.524281472002</v>
      </c>
      <c r="F10" s="62" ph="1">
        <f>((F9*5885)*4.48)*LOOKUP(F11,密度!$A$2:$A$50,密度!$B$2:$B$50)</f>
        <v>9030.0969158400021</v>
      </c>
      <c r="G10" s="62" ph="1">
        <f>((G9*5885)*4.48)*LOOKUP(G11,密度!$A$2:$A$50,密度!$B$2:$B$50)</f>
        <v>20.416901120000002</v>
      </c>
      <c r="H10" s="62" ph="1">
        <f>IF(H9&lt;=0,0,IF(H9&lt;=745,PI()*(5.3235*(H9/1000)^2-(4/3)*(H9/1000)^3),7.55+15.2053*((H9-745)/1000))*LOOKUP(H11,密度!$A$2:$A$50,密度!$B$2:$B$50)*1000)</f>
        <v>33620.114537099995</v>
      </c>
      <c r="I10" s="62" ph="1">
        <f>IF(I9&lt;=0,0,IF(I9&lt;=745,PI()*(5.3235*(I9/1000)^2-(4/3)*(I9/1000)^3),7.55+15.2053*((I9-745)/1000))*LOOKUP(I11,密度!$A$2:$A$50,密度!$B$2:$B$50)*1000)</f>
        <v>28242.740176639996</v>
      </c>
      <c r="J10" s="62" ph="1">
        <f>IF(J9&lt;=0,0,IF(J9&lt;=745,PI()*(5.3235*(J9/1000)^2-(4/3)*(J9/1000)^3),7.55+15.2053*((J9-745)/1000))*LOOKUP(J11,密度!$A$2:$A$50,密度!$B$2:$B$50)*1000)</f>
        <v>775.56468266076752</v>
      </c>
      <c r="K10" s="62" ph="1">
        <f>IF(K9&lt;=0,0,IF(K9&lt;=745,PI()*(5.3235*(K9/1000)^2-(4/3)*(K9/1000)^3),7.55+15.2053*((K9-745)/1000))*LOOKUP(K11,密度!$A$2:$A$50,密度!$B$2:$B$50)*1000)</f>
        <v>995.58456750231369</v>
      </c>
      <c r="L10" s="62" ph="1">
        <f>L9*26.42*LOOKUP(L11,密度!$A$2:$A$50,密度!$B$2:$B$50)</f>
        <v>117561.137408</v>
      </c>
      <c r="M10" s="62" ph="1">
        <f>M9*26.42*1</f>
        <v>42562.62</v>
      </c>
      <c r="N10" s="62" ph="1">
        <f>N9*18.32*LOOKUP(N11,密度!$A$2:$A$50,密度!$B$2:$B$50)</f>
        <v>28795.4676</v>
      </c>
      <c r="O10" s="62" ph="1">
        <f>O9*81.71*LOOKUP(O11,密度!$A$2:$A$50,密度!$B$2:$B$50)</f>
        <v>221651.81629499997</v>
      </c>
      <c r="P10" s="62" ph="1">
        <f>P9*81.71*LOOKUP(P11,密度!$A$2:$A$50,密度!$B$2:$B$50)</f>
        <v>318279.40671999997</v>
      </c>
      <c r="Q10" s="294"/>
      <c r="R10" s="295"/>
      <c r="S10" s="295"/>
      <c r="T10" s="295"/>
      <c r="U10" s="296"/>
    </row>
    <row r="11" spans="1:43" ht="25.95" customHeight="1" ph="1">
      <c r="A11" s="53" t="s" ph="1">
        <v>40</v>
      </c>
      <c r="B11" s="284" ph="1"/>
      <c r="C11" s="197" t="s" ph="1">
        <v>44</v>
      </c>
      <c r="D11" s="149">
        <v>32</v>
      </c>
      <c r="E11" s="149">
        <v>34</v>
      </c>
      <c r="F11" s="149">
        <v>32</v>
      </c>
      <c r="G11" s="149">
        <v>31</v>
      </c>
      <c r="H11" s="149">
        <v>32</v>
      </c>
      <c r="I11" s="149">
        <v>31</v>
      </c>
      <c r="J11" s="149">
        <v>32</v>
      </c>
      <c r="K11" s="149">
        <v>32</v>
      </c>
      <c r="L11" s="149">
        <v>31</v>
      </c>
      <c r="M11" s="149">
        <v>31</v>
      </c>
      <c r="N11" s="149">
        <v>29</v>
      </c>
      <c r="O11" s="149">
        <v>32</v>
      </c>
      <c r="P11" s="149">
        <v>31</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97" t="s" ph="1">
        <v>1</v>
      </c>
      <c r="F14" s="88" t="s" ph="1">
        <v>28</v>
      </c>
      <c r="G14" s="86" t="s" ph="1">
        <v>0</v>
      </c>
      <c r="H14" s="197" t="s" ph="1">
        <v>1</v>
      </c>
      <c r="I14" s="196" t="s" ph="1">
        <v>28</v>
      </c>
      <c r="J14" s="86" t="s" ph="1">
        <v>0</v>
      </c>
      <c r="K14" s="197" t="s" ph="1">
        <v>1</v>
      </c>
      <c r="L14" s="196" t="s" ph="1">
        <v>28</v>
      </c>
      <c r="M14" s="86" t="s" ph="1">
        <v>0</v>
      </c>
      <c r="N14" s="197" t="s" ph="1">
        <v>1</v>
      </c>
      <c r="O14" s="196" t="s" ph="1">
        <v>28</v>
      </c>
      <c r="P14" s="86" t="s" ph="1">
        <v>0</v>
      </c>
      <c r="Q14" s="87" t="s" ph="1">
        <v>1</v>
      </c>
      <c r="R14" s="88" t="s" ph="1">
        <v>28</v>
      </c>
      <c r="S14" s="86" t="s" ph="1">
        <v>0</v>
      </c>
      <c r="T14" s="197" t="s" ph="1">
        <v>1</v>
      </c>
      <c r="U14" s="88" t="s" ph="1">
        <v>28</v>
      </c>
    </row>
    <row r="15" spans="1:43" ph="1">
      <c r="A15" s="53"/>
      <c r="B15" s="300" t="s" ph="1">
        <v>46</v>
      </c>
      <c r="C15" s="301" ph="1"/>
      <c r="D15" s="241" ph="1">
        <f>O10+P10</f>
        <v>539931.22301499988</v>
      </c>
      <c r="E15" s="233" ph="1">
        <f>H10+I10+J10+K10</f>
        <v>63634.003963903073</v>
      </c>
      <c r="F15" s="257" ph="1">
        <f>L10+N10</f>
        <v>146356.60500799998</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95" ph="1"/>
      <c r="P18" s="90" ph="1"/>
      <c r="Q18" s="195" t="s" ph="1">
        <v>50</v>
      </c>
      <c r="R18" s="218" t="s" ph="1">
        <v>179</v>
      </c>
      <c r="S18" s="218" ph="1"/>
    </row>
    <row r="19" spans="1:21" s="195"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651" priority="72">
      <formula>ABS(D$7-D$10)&gt;=1000</formula>
    </cfRule>
  </conditionalFormatting>
  <conditionalFormatting sqref="E4">
    <cfRule type="expression" dxfId="650" priority="71">
      <formula>ABS(E$7-E$10)&gt;=1000</formula>
    </cfRule>
  </conditionalFormatting>
  <conditionalFormatting sqref="F4">
    <cfRule type="expression" dxfId="649" priority="70">
      <formula>ABS(F$7-F$10)&gt;=1000</formula>
    </cfRule>
  </conditionalFormatting>
  <conditionalFormatting sqref="G4">
    <cfRule type="expression" dxfId="648" priority="69">
      <formula>ABS(G$7-G$10)&gt;=1000</formula>
    </cfRule>
  </conditionalFormatting>
  <conditionalFormatting sqref="H4:K4">
    <cfRule type="expression" dxfId="647" priority="68">
      <formula>ABS(H$7-H$10)&gt;=1000</formula>
    </cfRule>
  </conditionalFormatting>
  <conditionalFormatting sqref="I8">
    <cfRule type="expression" dxfId="646" priority="67">
      <formula>ABS(I$7-I$10)&gt;=1000</formula>
    </cfRule>
  </conditionalFormatting>
  <conditionalFormatting sqref="L4:L5 M4:N4">
    <cfRule type="expression" dxfId="645" priority="66">
      <formula>ABS(L$7-L$10)&gt;=1000</formula>
    </cfRule>
  </conditionalFormatting>
  <conditionalFormatting sqref="M5">
    <cfRule type="expression" dxfId="644" priority="65">
      <formula>ABS(M$7-M$10)&gt;=1000</formula>
    </cfRule>
  </conditionalFormatting>
  <conditionalFormatting sqref="N5">
    <cfRule type="expression" dxfId="643" priority="64">
      <formula>ABS(N$7-N$10)&gt;=1000</formula>
    </cfRule>
  </conditionalFormatting>
  <conditionalFormatting sqref="D5">
    <cfRule type="expression" dxfId="642" priority="63">
      <formula>ABS(D$7-D$10)&gt;=1000</formula>
    </cfRule>
  </conditionalFormatting>
  <conditionalFormatting sqref="E5:G5">
    <cfRule type="expression" dxfId="641" priority="62">
      <formula>ABS(E$7-E$10)&gt;=1000</formula>
    </cfRule>
  </conditionalFormatting>
  <conditionalFormatting sqref="H5">
    <cfRule type="expression" dxfId="640" priority="61">
      <formula>ABS(H$7-H$10)&gt;=1000</formula>
    </cfRule>
  </conditionalFormatting>
  <conditionalFormatting sqref="O4:P4">
    <cfRule type="expression" dxfId="639" priority="60">
      <formula>ABS(O$7-O$10)&gt;=1000</formula>
    </cfRule>
  </conditionalFormatting>
  <conditionalFormatting sqref="O5">
    <cfRule type="expression" dxfId="638" priority="59">
      <formula>ABS(O$7-O$10)&gt;=1000</formula>
    </cfRule>
  </conditionalFormatting>
  <conditionalFormatting sqref="I6">
    <cfRule type="expression" dxfId="637" priority="58">
      <formula>ABS(I$7-I$10)&gt;=1000</formula>
    </cfRule>
  </conditionalFormatting>
  <conditionalFormatting sqref="P5">
    <cfRule type="expression" dxfId="636" priority="57">
      <formula>ABS(P$7-P$10)&gt;=1000</formula>
    </cfRule>
  </conditionalFormatting>
  <conditionalFormatting sqref="I5">
    <cfRule type="expression" dxfId="635" priority="56">
      <formula>ABS(I$7-I$10)&gt;=1000</formula>
    </cfRule>
  </conditionalFormatting>
  <conditionalFormatting sqref="D6 D8">
    <cfRule type="expression" dxfId="634" priority="55">
      <formula>ABS(D$7-D$10)&gt;=1000</formula>
    </cfRule>
  </conditionalFormatting>
  <conditionalFormatting sqref="E6 E8">
    <cfRule type="expression" dxfId="633" priority="54">
      <formula>ABS(E$7-E$10)&gt;=1000</formula>
    </cfRule>
  </conditionalFormatting>
  <conditionalFormatting sqref="F6 F8">
    <cfRule type="expression" dxfId="632" priority="53">
      <formula>ABS(F$7-F$10)&gt;=1000</formula>
    </cfRule>
  </conditionalFormatting>
  <conditionalFormatting sqref="G6 G8">
    <cfRule type="expression" dxfId="631" priority="52">
      <formula>ABS(G$7-G$10)&gt;=1000</formula>
    </cfRule>
  </conditionalFormatting>
  <conditionalFormatting sqref="H8">
    <cfRule type="expression" dxfId="630" priority="51">
      <formula>ABS(H$7-H$10)&gt;=1000</formula>
    </cfRule>
  </conditionalFormatting>
  <conditionalFormatting sqref="H6">
    <cfRule type="expression" dxfId="629" priority="50">
      <formula>ABS(H$7-H$10)&gt;=1000</formula>
    </cfRule>
  </conditionalFormatting>
  <conditionalFormatting sqref="J8">
    <cfRule type="expression" dxfId="628" priority="49">
      <formula>ABS(J$7-J$10)&gt;=1000</formula>
    </cfRule>
  </conditionalFormatting>
  <conditionalFormatting sqref="K8">
    <cfRule type="expression" dxfId="627" priority="48">
      <formula>ABS(K$7-K$10)&gt;=1000</formula>
    </cfRule>
  </conditionalFormatting>
  <conditionalFormatting sqref="L8">
    <cfRule type="expression" dxfId="626" priority="47">
      <formula>ABS(L$7-L$10)&gt;=1000</formula>
    </cfRule>
  </conditionalFormatting>
  <conditionalFormatting sqref="M8">
    <cfRule type="expression" dxfId="625" priority="46">
      <formula>ABS(M$7-M$10)&gt;=1000</formula>
    </cfRule>
  </conditionalFormatting>
  <conditionalFormatting sqref="N8">
    <cfRule type="expression" dxfId="624" priority="45">
      <formula>ABS(N$7-N$10)&gt;=1000</formula>
    </cfRule>
  </conditionalFormatting>
  <conditionalFormatting sqref="O8">
    <cfRule type="expression" dxfId="623" priority="44">
      <formula>ABS(O$7-O$10)&gt;=1000</formula>
    </cfRule>
  </conditionalFormatting>
  <conditionalFormatting sqref="P8">
    <cfRule type="expression" dxfId="622" priority="43">
      <formula>ABS(P$7-P$10)&gt;=1000</formula>
    </cfRule>
  </conditionalFormatting>
  <conditionalFormatting sqref="J6">
    <cfRule type="expression" dxfId="621" priority="42">
      <formula>ABS(J$7-J$10)&gt;=1000</formula>
    </cfRule>
  </conditionalFormatting>
  <conditionalFormatting sqref="K6">
    <cfRule type="expression" dxfId="620" priority="41">
      <formula>ABS(K$7-K$10)&gt;=1000</formula>
    </cfRule>
  </conditionalFormatting>
  <conditionalFormatting sqref="L6">
    <cfRule type="expression" dxfId="619" priority="40">
      <formula>ABS(L$7-L$10)&gt;=1000</formula>
    </cfRule>
  </conditionalFormatting>
  <conditionalFormatting sqref="M6">
    <cfRule type="expression" dxfId="618" priority="39">
      <formula>ABS(M$7-M$10)&gt;=1000</formula>
    </cfRule>
  </conditionalFormatting>
  <conditionalFormatting sqref="N6">
    <cfRule type="expression" dxfId="617" priority="38">
      <formula>ABS(N$7-N$10)&gt;=1000</formula>
    </cfRule>
  </conditionalFormatting>
  <conditionalFormatting sqref="O6">
    <cfRule type="expression" dxfId="616" priority="37">
      <formula>ABS(O$7-O$10)&gt;=1000</formula>
    </cfRule>
  </conditionalFormatting>
  <conditionalFormatting sqref="P6">
    <cfRule type="expression" dxfId="615" priority="36">
      <formula>ABS(P$7-P$10)&gt;=1000</formula>
    </cfRule>
  </conditionalFormatting>
  <conditionalFormatting sqref="L7">
    <cfRule type="expression" dxfId="614" priority="35">
      <formula>ABS(L$7-L$10)&gt;=1000</formula>
    </cfRule>
  </conditionalFormatting>
  <conditionalFormatting sqref="M7">
    <cfRule type="expression" dxfId="613" priority="34">
      <formula>ABS(M$7-M$10)&gt;=1000</formula>
    </cfRule>
  </conditionalFormatting>
  <conditionalFormatting sqref="O7:P7">
    <cfRule type="expression" dxfId="612" priority="33">
      <formula>ABS(O$7-O$10)&gt;=1000</formula>
    </cfRule>
  </conditionalFormatting>
  <conditionalFormatting sqref="N7">
    <cfRule type="expression" dxfId="611" priority="32">
      <formula>ABS(N$7-N$10)&gt;=1000</formula>
    </cfRule>
  </conditionalFormatting>
  <conditionalFormatting sqref="H7:K7">
    <cfRule type="expression" dxfId="610" priority="31">
      <formula>ABS(H$7-H$10)&gt;=1000</formula>
    </cfRule>
  </conditionalFormatting>
  <conditionalFormatting sqref="D7:G7">
    <cfRule type="expression" dxfId="609" priority="30">
      <formula>ABS(D$7-D$10)&gt;=1000</formula>
    </cfRule>
  </conditionalFormatting>
  <conditionalFormatting sqref="J5:K5">
    <cfRule type="expression" dxfId="608" priority="29">
      <formula>ABS(J$7-J$10)&gt;=1000</formula>
    </cfRule>
  </conditionalFormatting>
  <conditionalFormatting sqref="D9 D11">
    <cfRule type="expression" dxfId="607" priority="28">
      <formula>ABS(D$7-D$10)&gt;=1000</formula>
    </cfRule>
  </conditionalFormatting>
  <conditionalFormatting sqref="E9 E11">
    <cfRule type="expression" dxfId="606" priority="27">
      <formula>ABS(E$7-E$10)&gt;=1000</formula>
    </cfRule>
  </conditionalFormatting>
  <conditionalFormatting sqref="F9 F11">
    <cfRule type="expression" dxfId="605" priority="26">
      <formula>ABS(F$7-F$10)&gt;=1000</formula>
    </cfRule>
  </conditionalFormatting>
  <conditionalFormatting sqref="G9 G11">
    <cfRule type="expression" dxfId="604" priority="25">
      <formula>ABS(G$7-G$10)&gt;=1000</formula>
    </cfRule>
  </conditionalFormatting>
  <conditionalFormatting sqref="H11">
    <cfRule type="expression" dxfId="603" priority="24">
      <formula>ABS(H$7-H$10)&gt;=1000</formula>
    </cfRule>
  </conditionalFormatting>
  <conditionalFormatting sqref="I11">
    <cfRule type="expression" dxfId="602" priority="23">
      <formula>ABS(I$7-I$10)&gt;=1000</formula>
    </cfRule>
  </conditionalFormatting>
  <conditionalFormatting sqref="J11">
    <cfRule type="expression" dxfId="601" priority="22">
      <formula>ABS(J$7-J$10)&gt;=1000</formula>
    </cfRule>
  </conditionalFormatting>
  <conditionalFormatting sqref="K11">
    <cfRule type="expression" dxfId="600" priority="21">
      <formula>ABS(K$7-K$10)&gt;=1000</formula>
    </cfRule>
  </conditionalFormatting>
  <conditionalFormatting sqref="L11">
    <cfRule type="expression" dxfId="599" priority="20">
      <formula>ABS(L$7-L$10)&gt;=1000</formula>
    </cfRule>
  </conditionalFormatting>
  <conditionalFormatting sqref="M11">
    <cfRule type="expression" dxfId="598" priority="19">
      <formula>ABS(M$7-M$10)&gt;=1000</formula>
    </cfRule>
  </conditionalFormatting>
  <conditionalFormatting sqref="N11">
    <cfRule type="expression" dxfId="597" priority="18">
      <formula>ABS(N$7-N$10)&gt;=1000</formula>
    </cfRule>
  </conditionalFormatting>
  <conditionalFormatting sqref="O11">
    <cfRule type="expression" dxfId="596" priority="17">
      <formula>ABS(O$7-O$10)&gt;=1000</formula>
    </cfRule>
  </conditionalFormatting>
  <conditionalFormatting sqref="P11">
    <cfRule type="expression" dxfId="595" priority="16">
      <formula>ABS(P$7-P$10)&gt;=1000</formula>
    </cfRule>
  </conditionalFormatting>
  <conditionalFormatting sqref="H9">
    <cfRule type="expression" dxfId="594" priority="15">
      <formula>ABS(H$7-H$10)&gt;=1000</formula>
    </cfRule>
  </conditionalFormatting>
  <conditionalFormatting sqref="J9">
    <cfRule type="expression" dxfId="593" priority="14">
      <formula>ABS(J$7-J$10)&gt;=1000</formula>
    </cfRule>
  </conditionalFormatting>
  <conditionalFormatting sqref="K9">
    <cfRule type="expression" dxfId="592" priority="13">
      <formula>ABS(K$7-K$10)&gt;=1000</formula>
    </cfRule>
  </conditionalFormatting>
  <conditionalFormatting sqref="L9">
    <cfRule type="expression" dxfId="591" priority="12">
      <formula>ABS(L$7-L$10)&gt;=1000</formula>
    </cfRule>
  </conditionalFormatting>
  <conditionalFormatting sqref="M9">
    <cfRule type="expression" dxfId="590" priority="11">
      <formula>ABS(M$7-M$10)&gt;=1000</formula>
    </cfRule>
  </conditionalFormatting>
  <conditionalFormatting sqref="N9">
    <cfRule type="expression" dxfId="589" priority="10">
      <formula>ABS(N$7-N$10)&gt;=1000</formula>
    </cfRule>
  </conditionalFormatting>
  <conditionalFormatting sqref="O9">
    <cfRule type="expression" dxfId="588" priority="9">
      <formula>ABS(O$7-O$10)&gt;=1000</formula>
    </cfRule>
  </conditionalFormatting>
  <conditionalFormatting sqref="P9">
    <cfRule type="expression" dxfId="587" priority="8">
      <formula>ABS(P$7-P$10)&gt;=1000</formula>
    </cfRule>
  </conditionalFormatting>
  <conditionalFormatting sqref="I9">
    <cfRule type="expression" dxfId="586" priority="7">
      <formula>ABS(I$7-I$10)&gt;=1000</formula>
    </cfRule>
  </conditionalFormatting>
  <conditionalFormatting sqref="L10">
    <cfRule type="expression" dxfId="585" priority="6">
      <formula>ABS(L$7-L$10)&gt;=1000</formula>
    </cfRule>
  </conditionalFormatting>
  <conditionalFormatting sqref="M10">
    <cfRule type="expression" dxfId="584" priority="5">
      <formula>ABS(M$7-M$10)&gt;=1000</formula>
    </cfRule>
  </conditionalFormatting>
  <conditionalFormatting sqref="O10:P10">
    <cfRule type="expression" dxfId="583" priority="4">
      <formula>ABS(O$7-O$10)&gt;=1000</formula>
    </cfRule>
  </conditionalFormatting>
  <conditionalFormatting sqref="N10">
    <cfRule type="expression" dxfId="582" priority="3">
      <formula>ABS(N$7-N$10)&gt;=1000</formula>
    </cfRule>
  </conditionalFormatting>
  <conditionalFormatting sqref="H10:K10">
    <cfRule type="expression" dxfId="581" priority="2">
      <formula>ABS(H$7-H$10)&gt;=1000</formula>
    </cfRule>
  </conditionalFormatting>
  <conditionalFormatting sqref="D10:G10">
    <cfRule type="expression" dxfId="580" priority="1">
      <formula>ABS(D$7-D$10)&gt;=1000</formula>
    </cfRule>
  </conditionalFormatting>
  <conditionalFormatting sqref="I12">
    <cfRule type="expression" dxfId="579" priority="73">
      <formula>ABS(#REF!-#REF!)&gt;=1000</formula>
    </cfRule>
  </conditionalFormatting>
  <conditionalFormatting sqref="D6">
    <cfRule type="expression" dxfId="578" priority="82" stopIfTrue="1">
      <formula>MOD(ROUND($D$6*100,2),1)=0</formula>
    </cfRule>
  </conditionalFormatting>
  <conditionalFormatting sqref="E6">
    <cfRule type="expression" dxfId="577" priority="83" stopIfTrue="1">
      <formula>MOD(ROUND($E$6*100,2),1)=0</formula>
    </cfRule>
  </conditionalFormatting>
  <conditionalFormatting sqref="F6">
    <cfRule type="expression" dxfId="576" priority="84" stopIfTrue="1">
      <formula>MOD(ROUND($F$6*100,2),1)=0</formula>
    </cfRule>
  </conditionalFormatting>
  <conditionalFormatting sqref="G6">
    <cfRule type="expression" dxfId="575" priority="85" stopIfTrue="1">
      <formula>MOD(ROUND($G$6*100,2),1)=0</formula>
    </cfRule>
  </conditionalFormatting>
  <conditionalFormatting sqref="D9">
    <cfRule type="expression" dxfId="574" priority="86" stopIfTrue="1">
      <formula>MOD(ROUND($D$9*100,2),1)=0</formula>
    </cfRule>
  </conditionalFormatting>
  <conditionalFormatting sqref="E9">
    <cfRule type="expression" dxfId="573" priority="87" stopIfTrue="1">
      <formula>MOD(ROUND($E$9*100,2),1)=0</formula>
    </cfRule>
  </conditionalFormatting>
  <conditionalFormatting sqref="F9">
    <cfRule type="expression" dxfId="572" priority="88" stopIfTrue="1">
      <formula>MOD(ROUND($F$9*100,2),1)=0</formula>
    </cfRule>
  </conditionalFormatting>
  <conditionalFormatting sqref="G9">
    <cfRule type="expression" dxfId="571"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47425"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47425" r:id="rId4" name="CommandButton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6">
    <pageSetUpPr fitToPage="1"/>
  </sheetPr>
  <dimension ref="A1:AQ205"/>
  <sheetViews>
    <sheetView view="pageBreakPreview" zoomScaleNormal="100" zoomScaleSheetLayoutView="100" workbookViewId="0">
      <selection activeCell="O10" sqref="O10"/>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46255</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97" t="s" ph="1">
        <v>42</v>
      </c>
      <c r="D6" s="151">
        <v>0.88580000000000003</v>
      </c>
      <c r="E6" s="151">
        <v>8.6099999999999996E-2</v>
      </c>
      <c r="F6" s="151">
        <v>0.99959999999999993</v>
      </c>
      <c r="G6" s="151">
        <v>0.12380000000000001</v>
      </c>
      <c r="H6" s="150">
        <v>3104</v>
      </c>
      <c r="I6" s="150">
        <v>4008</v>
      </c>
      <c r="J6" s="150">
        <v>236</v>
      </c>
      <c r="K6" s="150">
        <v>286</v>
      </c>
      <c r="L6" s="150">
        <v>5062</v>
      </c>
      <c r="M6" s="150">
        <v>1611</v>
      </c>
      <c r="N6" s="150">
        <v>2299</v>
      </c>
      <c r="O6" s="150">
        <v>3154</v>
      </c>
      <c r="P6" s="150">
        <v>5029</v>
      </c>
      <c r="Q6" s="294"/>
      <c r="R6" s="295"/>
      <c r="S6" s="295"/>
      <c r="T6" s="295"/>
      <c r="U6" s="296"/>
    </row>
    <row r="7" spans="1:43" s="61" customFormat="1" ht="25.95" customHeight="1" ph="1">
      <c r="B7" s="284" ph="1"/>
      <c r="C7" s="57" t="s" ph="1">
        <v>43</v>
      </c>
      <c r="D7" s="62" ph="1">
        <f>((D6*5885)*4.48)*LOOKUP(D8,密度!$A$2:$A$50,密度!$B$2:$B$50)</f>
        <v>18064.27246624</v>
      </c>
      <c r="E7" s="62" ph="1">
        <f>((E6*5885)*4.48)*LOOKUP(E8,密度!$A$2:$A$50,密度!$B$2:$B$50)</f>
        <v>1757.8951864320002</v>
      </c>
      <c r="F7" s="62" ph="1">
        <f>((F6*5885)*4.48)*LOOKUP(F8,密度!$A$2:$A$50,密度!$B$2:$B$50)</f>
        <v>20408.734359552</v>
      </c>
      <c r="G7" s="62" ph="1">
        <f>((G6*5885)*4.48)*LOOKUP(G8,密度!$A$2:$A$50,密度!$B$2:$B$50)</f>
        <v>2530.5499246720001</v>
      </c>
      <c r="H7" s="62" ph="1">
        <f>IF(H6&lt;=0,0,IF(H6&lt;=745,PI()*(5.3235*(H6/1000)^2-(4/3)*(H6/1000)^3),7.55+15.2053*((H6-745)/1000))*LOOKUP(H8,密度!$A$2:$A$50,密度!$B$2:$B$50)*1000)</f>
        <v>33662.985383309991</v>
      </c>
      <c r="I7" s="62" ph="1">
        <f>IF(I6&lt;=0,0,IF(I6&lt;=745,PI()*(5.3235*(I6/1000)^2-(4/3)*(I6/1000)^3),7.55+15.2053*((I6-745)/1000))*LOOKUP(I8,密度!$A$2:$A$50,密度!$B$2:$B$50)*1000)</f>
        <v>44268.49383616</v>
      </c>
      <c r="J7" s="62" ph="1">
        <f>IF(J6&lt;=0,0,IF(J6&lt;=745,PI()*(5.3235*(J6/1000)^2-(4/3)*(J6/1000)^3),7.55+15.2053*((J6-745)/1000))*LOOKUP(J8,密度!$A$2:$A$50,密度!$B$2:$B$50)*1000)</f>
        <v>680.97548616772485</v>
      </c>
      <c r="K7" s="62" ph="1">
        <f>IF(K6&lt;=0,0,IF(K6&lt;=745,PI()*(5.3235*(K6/1000)^2-(4/3)*(K6/1000)^3),7.55+15.2053*((K6-745)/1000))*LOOKUP(K8,密度!$A$2:$A$50,密度!$B$2:$B$50)*1000)</f>
        <v>986.78001431799362</v>
      </c>
      <c r="L7" s="62" ph="1">
        <f>L6*26.42*LOOKUP(L8,密度!$A$2:$A$50,密度!$B$2:$B$50)</f>
        <v>103687.10241200001</v>
      </c>
      <c r="M7" s="62" ph="1">
        <f>M6*26.42*1</f>
        <v>42562.62</v>
      </c>
      <c r="N7" s="62" ph="1">
        <f>N6*18.32*LOOKUP(N8,密度!$A$2:$A$50,密度!$B$2:$B$50)</f>
        <v>32725.43736</v>
      </c>
      <c r="O7" s="62" ph="1">
        <f>O6*81.71*LOOKUP(O8,密度!$A$2:$A$50,密度!$B$2:$B$50)</f>
        <v>199341.26848999996</v>
      </c>
      <c r="P7" s="62" ph="1">
        <f>P6*81.71*LOOKUP(P8,密度!$A$2:$A$50,密度!$B$2:$B$50)</f>
        <v>318216.13049599994</v>
      </c>
      <c r="Q7" s="294"/>
      <c r="R7" s="295"/>
      <c r="S7" s="295"/>
      <c r="T7" s="295"/>
      <c r="U7" s="296"/>
    </row>
    <row r="8" spans="1:43" ht="25.95" customHeight="1" ph="1">
      <c r="B8" s="284" ph="1"/>
      <c r="C8" s="57" t="s" ph="1">
        <v>44</v>
      </c>
      <c r="D8" s="149">
        <v>32</v>
      </c>
      <c r="E8" s="149">
        <v>31</v>
      </c>
      <c r="F8" s="149">
        <v>31</v>
      </c>
      <c r="G8" s="149">
        <v>30</v>
      </c>
      <c r="H8" s="149">
        <v>30</v>
      </c>
      <c r="I8" s="149">
        <v>31</v>
      </c>
      <c r="J8" s="149">
        <v>28</v>
      </c>
      <c r="K8" s="149">
        <v>28</v>
      </c>
      <c r="L8" s="149">
        <v>30</v>
      </c>
      <c r="M8" s="149">
        <v>30</v>
      </c>
      <c r="N8" s="149">
        <v>28</v>
      </c>
      <c r="O8" s="149">
        <v>32</v>
      </c>
      <c r="P8" s="149">
        <v>31</v>
      </c>
      <c r="Q8" s="294"/>
      <c r="R8" s="295"/>
      <c r="S8" s="295"/>
      <c r="T8" s="295"/>
      <c r="U8" s="296"/>
    </row>
    <row r="9" spans="1:43" ht="25.95" customHeight="1" ph="1">
      <c r="B9" s="284" ph="1">
        <v>0.66666666666666663</v>
      </c>
      <c r="C9" s="197" t="s" ph="1">
        <v>45</v>
      </c>
      <c r="D9" s="151">
        <v>0.88500000000000001</v>
      </c>
      <c r="E9" s="151">
        <v>0.54430000000000001</v>
      </c>
      <c r="F9" s="151">
        <v>0</v>
      </c>
      <c r="G9" s="151">
        <v>0.42820000000000003</v>
      </c>
      <c r="H9" s="150">
        <v>2646</v>
      </c>
      <c r="I9" s="150">
        <v>1071</v>
      </c>
      <c r="J9" s="150">
        <v>2133</v>
      </c>
      <c r="K9" s="150">
        <v>288</v>
      </c>
      <c r="L9" s="150">
        <v>4786</v>
      </c>
      <c r="M9" s="150">
        <v>1611</v>
      </c>
      <c r="N9" s="150">
        <v>2411</v>
      </c>
      <c r="O9" s="150">
        <v>2989</v>
      </c>
      <c r="P9" s="150">
        <v>5029</v>
      </c>
      <c r="Q9" s="294"/>
      <c r="R9" s="295"/>
      <c r="S9" s="295"/>
      <c r="T9" s="295"/>
      <c r="U9" s="296"/>
    </row>
    <row r="10" spans="1:43" s="61" customFormat="1" ht="25.95" customHeight="1" ph="1">
      <c r="B10" s="284" ph="1"/>
      <c r="C10" s="197" t="s" ph="1">
        <v>43</v>
      </c>
      <c r="D10" s="62" ph="1">
        <f>((D9*5885)*4.48)*LOOKUP(D11,密度!$A$2:$A$50,密度!$B$2:$B$50)</f>
        <v>18047.957928000003</v>
      </c>
      <c r="E10" s="62" ph="1">
        <f>((E9*5885)*4.48)*LOOKUP(E11,密度!$A$2:$A$50,密度!$B$2:$B$50)</f>
        <v>11075.608341952002</v>
      </c>
      <c r="F10" s="62" ph="1">
        <f>((F9*5885)*4.48)*LOOKUP(F11,密度!$A$2:$A$50,密度!$B$2:$B$50)</f>
        <v>0</v>
      </c>
      <c r="G10" s="62" ph="1">
        <f>((G9*5885)*4.48)*LOOKUP(G11,密度!$A$2:$A$50,密度!$B$2:$B$50)</f>
        <v>8732.3565929600027</v>
      </c>
      <c r="H10" s="62" ph="1">
        <f>IF(H9&lt;=0,0,IF(H9&lt;=745,PI()*(5.3235*(H9/1000)^2-(4/3)*(H9/1000)^3),7.55+15.2053*((H9-745)/1000))*LOOKUP(H11,密度!$A$2:$A$50,密度!$B$2:$B$50)*1000)</f>
        <v>28198.155444549997</v>
      </c>
      <c r="I10" s="62" ph="1">
        <f>IF(I9&lt;=0,0,IF(I9&lt;=745,PI()*(5.3235*(I9/1000)^2-(4/3)*(I9/1000)^3),7.55+15.2053*((I9-745)/1000))*LOOKUP(I11,密度!$A$2:$A$50,密度!$B$2:$B$50)*1000)</f>
        <v>9674.1086532999998</v>
      </c>
      <c r="J10" s="62" ph="1">
        <f>IF(J9&lt;=0,0,IF(J9&lt;=745,PI()*(5.3235*(J9/1000)^2-(4/3)*(J9/1000)^3),7.55+15.2053*((J9-745)/1000))*LOOKUP(J11,密度!$A$2:$A$50,密度!$B$2:$B$50)*1000)</f>
        <v>22216.187696919998</v>
      </c>
      <c r="K10" s="62" ph="1">
        <f>IF(K9&lt;=0,0,IF(K9&lt;=745,PI()*(5.3235*(K9/1000)^2-(4/3)*(K9/1000)^3),7.55+15.2053*((K9-745)/1000))*LOOKUP(K11,密度!$A$2:$A$50,密度!$B$2:$B$50)*1000)</f>
        <v>997.90137709701855</v>
      </c>
      <c r="L10" s="62" ph="1">
        <f>L9*26.42*LOOKUP(L11,密度!$A$2:$A$50,密度!$B$2:$B$50)</f>
        <v>97919.875328000009</v>
      </c>
      <c r="M10" s="62" ph="1">
        <f>M9*26.42*1</f>
        <v>42562.62</v>
      </c>
      <c r="N10" s="62" ph="1">
        <f>N9*18.32*LOOKUP(N11,密度!$A$2:$A$50,密度!$B$2:$B$50)</f>
        <v>34284.381424000007</v>
      </c>
      <c r="O10" s="62" ph="1">
        <f>O9*81.71*LOOKUP(O11,密度!$A$2:$A$50,密度!$B$2:$B$50)</f>
        <v>188912.82546499997</v>
      </c>
      <c r="P10" s="62" ph="1">
        <f>P9*81.71*LOOKUP(P11,密度!$A$2:$A$50,密度!$B$2:$B$50)</f>
        <v>318216.13049599994</v>
      </c>
      <c r="Q10" s="294"/>
      <c r="R10" s="295"/>
      <c r="S10" s="295"/>
      <c r="T10" s="295"/>
      <c r="U10" s="296"/>
    </row>
    <row r="11" spans="1:43" ht="25.95" customHeight="1" ph="1">
      <c r="A11" s="53" t="s" ph="1">
        <v>40</v>
      </c>
      <c r="B11" s="284" ph="1"/>
      <c r="C11" s="197" t="s" ph="1">
        <v>44</v>
      </c>
      <c r="D11" s="149">
        <v>32</v>
      </c>
      <c r="E11" s="149">
        <v>34</v>
      </c>
      <c r="F11" s="149">
        <v>30</v>
      </c>
      <c r="G11" s="149">
        <v>32</v>
      </c>
      <c r="H11" s="149">
        <v>32</v>
      </c>
      <c r="I11" s="149">
        <v>32</v>
      </c>
      <c r="J11" s="149">
        <v>30</v>
      </c>
      <c r="K11" s="149">
        <v>30</v>
      </c>
      <c r="L11" s="149">
        <v>31</v>
      </c>
      <c r="M11" s="149">
        <v>31</v>
      </c>
      <c r="N11" s="149">
        <v>29</v>
      </c>
      <c r="O11" s="149">
        <v>32</v>
      </c>
      <c r="P11" s="149">
        <v>31</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97" t="s" ph="1">
        <v>1</v>
      </c>
      <c r="F14" s="88" t="s" ph="1">
        <v>28</v>
      </c>
      <c r="G14" s="86" t="s" ph="1">
        <v>0</v>
      </c>
      <c r="H14" s="197" t="s" ph="1">
        <v>1</v>
      </c>
      <c r="I14" s="196" t="s" ph="1">
        <v>28</v>
      </c>
      <c r="J14" s="86" t="s" ph="1">
        <v>0</v>
      </c>
      <c r="K14" s="197" t="s" ph="1">
        <v>1</v>
      </c>
      <c r="L14" s="196" t="s" ph="1">
        <v>28</v>
      </c>
      <c r="M14" s="86" t="s" ph="1">
        <v>0</v>
      </c>
      <c r="N14" s="197" t="s" ph="1">
        <v>1</v>
      </c>
      <c r="O14" s="196" t="s" ph="1">
        <v>28</v>
      </c>
      <c r="P14" s="86" t="s" ph="1">
        <v>0</v>
      </c>
      <c r="Q14" s="87" t="s" ph="1">
        <v>1</v>
      </c>
      <c r="R14" s="88" t="s" ph="1">
        <v>28</v>
      </c>
      <c r="S14" s="86" t="s" ph="1">
        <v>0</v>
      </c>
      <c r="T14" s="197" t="s" ph="1">
        <v>1</v>
      </c>
      <c r="U14" s="88" t="s" ph="1">
        <v>28</v>
      </c>
    </row>
    <row r="15" spans="1:43" ph="1">
      <c r="A15" s="53"/>
      <c r="B15" s="300" t="s" ph="1">
        <v>46</v>
      </c>
      <c r="C15" s="301" ph="1"/>
      <c r="D15" s="241" ph="1">
        <f>O10+P10</f>
        <v>507128.95596099994</v>
      </c>
      <c r="E15" s="233" ph="1">
        <f>H10+I10+J10+K10</f>
        <v>61086.353171867013</v>
      </c>
      <c r="F15" s="257" ph="1">
        <f>L10+N10</f>
        <v>132204.25675200002</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95" ph="1"/>
      <c r="P18" s="90" ph="1"/>
      <c r="Q18" s="195" t="s" ph="1">
        <v>50</v>
      </c>
      <c r="R18" s="218" t="s" ph="1">
        <v>176</v>
      </c>
      <c r="S18" s="218" ph="1"/>
    </row>
    <row r="19" spans="1:21" s="195"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570" priority="72">
      <formula>ABS(D$7-D$10)&gt;=1000</formula>
    </cfRule>
  </conditionalFormatting>
  <conditionalFormatting sqref="E4">
    <cfRule type="expression" dxfId="569" priority="71">
      <formula>ABS(E$7-E$10)&gt;=1000</formula>
    </cfRule>
  </conditionalFormatting>
  <conditionalFormatting sqref="F4">
    <cfRule type="expression" dxfId="568" priority="70">
      <formula>ABS(F$7-F$10)&gt;=1000</formula>
    </cfRule>
  </conditionalFormatting>
  <conditionalFormatting sqref="G4">
    <cfRule type="expression" dxfId="567" priority="69">
      <formula>ABS(G$7-G$10)&gt;=1000</formula>
    </cfRule>
  </conditionalFormatting>
  <conditionalFormatting sqref="H4:K4">
    <cfRule type="expression" dxfId="566" priority="68">
      <formula>ABS(H$7-H$10)&gt;=1000</formula>
    </cfRule>
  </conditionalFormatting>
  <conditionalFormatting sqref="I8">
    <cfRule type="expression" dxfId="565" priority="67">
      <formula>ABS(I$7-I$10)&gt;=1000</formula>
    </cfRule>
  </conditionalFormatting>
  <conditionalFormatting sqref="L4:L5 M4:N4">
    <cfRule type="expression" dxfId="564" priority="66">
      <formula>ABS(L$7-L$10)&gt;=1000</formula>
    </cfRule>
  </conditionalFormatting>
  <conditionalFormatting sqref="M5">
    <cfRule type="expression" dxfId="563" priority="65">
      <formula>ABS(M$7-M$10)&gt;=1000</formula>
    </cfRule>
  </conditionalFormatting>
  <conditionalFormatting sqref="N5">
    <cfRule type="expression" dxfId="562" priority="64">
      <formula>ABS(N$7-N$10)&gt;=1000</formula>
    </cfRule>
  </conditionalFormatting>
  <conditionalFormatting sqref="D5">
    <cfRule type="expression" dxfId="561" priority="63">
      <formula>ABS(D$7-D$10)&gt;=1000</formula>
    </cfRule>
  </conditionalFormatting>
  <conditionalFormatting sqref="E5:G5">
    <cfRule type="expression" dxfId="560" priority="62">
      <formula>ABS(E$7-E$10)&gt;=1000</formula>
    </cfRule>
  </conditionalFormatting>
  <conditionalFormatting sqref="H5">
    <cfRule type="expression" dxfId="559" priority="61">
      <formula>ABS(H$7-H$10)&gt;=1000</formula>
    </cfRule>
  </conditionalFormatting>
  <conditionalFormatting sqref="O4:P4">
    <cfRule type="expression" dxfId="558" priority="60">
      <formula>ABS(O$7-O$10)&gt;=1000</formula>
    </cfRule>
  </conditionalFormatting>
  <conditionalFormatting sqref="O5">
    <cfRule type="expression" dxfId="557" priority="59">
      <formula>ABS(O$7-O$10)&gt;=1000</formula>
    </cfRule>
  </conditionalFormatting>
  <conditionalFormatting sqref="I6">
    <cfRule type="expression" dxfId="556" priority="58">
      <formula>ABS(I$7-I$10)&gt;=1000</formula>
    </cfRule>
  </conditionalFormatting>
  <conditionalFormatting sqref="P5">
    <cfRule type="expression" dxfId="555" priority="57">
      <formula>ABS(P$7-P$10)&gt;=1000</formula>
    </cfRule>
  </conditionalFormatting>
  <conditionalFormatting sqref="I5">
    <cfRule type="expression" dxfId="554" priority="56">
      <formula>ABS(I$7-I$10)&gt;=1000</formula>
    </cfRule>
  </conditionalFormatting>
  <conditionalFormatting sqref="D6 D8">
    <cfRule type="expression" dxfId="553" priority="55">
      <formula>ABS(D$7-D$10)&gt;=1000</formula>
    </cfRule>
  </conditionalFormatting>
  <conditionalFormatting sqref="E6 E8">
    <cfRule type="expression" dxfId="552" priority="54">
      <formula>ABS(E$7-E$10)&gt;=1000</formula>
    </cfRule>
  </conditionalFormatting>
  <conditionalFormatting sqref="F6 F8">
    <cfRule type="expression" dxfId="551" priority="53">
      <formula>ABS(F$7-F$10)&gt;=1000</formula>
    </cfRule>
  </conditionalFormatting>
  <conditionalFormatting sqref="G6 G8">
    <cfRule type="expression" dxfId="550" priority="52">
      <formula>ABS(G$7-G$10)&gt;=1000</formula>
    </cfRule>
  </conditionalFormatting>
  <conditionalFormatting sqref="H8">
    <cfRule type="expression" dxfId="549" priority="51">
      <formula>ABS(H$7-H$10)&gt;=1000</formula>
    </cfRule>
  </conditionalFormatting>
  <conditionalFormatting sqref="H6">
    <cfRule type="expression" dxfId="548" priority="50">
      <formula>ABS(H$7-H$10)&gt;=1000</formula>
    </cfRule>
  </conditionalFormatting>
  <conditionalFormatting sqref="J8">
    <cfRule type="expression" dxfId="547" priority="49">
      <formula>ABS(J$7-J$10)&gt;=1000</formula>
    </cfRule>
  </conditionalFormatting>
  <conditionalFormatting sqref="K8">
    <cfRule type="expression" dxfId="546" priority="48">
      <formula>ABS(K$7-K$10)&gt;=1000</formula>
    </cfRule>
  </conditionalFormatting>
  <conditionalFormatting sqref="L8">
    <cfRule type="expression" dxfId="545" priority="47">
      <formula>ABS(L$7-L$10)&gt;=1000</formula>
    </cfRule>
  </conditionalFormatting>
  <conditionalFormatting sqref="M8">
    <cfRule type="expression" dxfId="544" priority="46">
      <formula>ABS(M$7-M$10)&gt;=1000</formula>
    </cfRule>
  </conditionalFormatting>
  <conditionalFormatting sqref="N8">
    <cfRule type="expression" dxfId="543" priority="45">
      <formula>ABS(N$7-N$10)&gt;=1000</formula>
    </cfRule>
  </conditionalFormatting>
  <conditionalFormatting sqref="O8">
    <cfRule type="expression" dxfId="542" priority="44">
      <formula>ABS(O$7-O$10)&gt;=1000</formula>
    </cfRule>
  </conditionalFormatting>
  <conditionalFormatting sqref="P8">
    <cfRule type="expression" dxfId="541" priority="43">
      <formula>ABS(P$7-P$10)&gt;=1000</formula>
    </cfRule>
  </conditionalFormatting>
  <conditionalFormatting sqref="J6">
    <cfRule type="expression" dxfId="540" priority="42">
      <formula>ABS(J$7-J$10)&gt;=1000</formula>
    </cfRule>
  </conditionalFormatting>
  <conditionalFormatting sqref="K6">
    <cfRule type="expression" dxfId="539" priority="41">
      <formula>ABS(K$7-K$10)&gt;=1000</formula>
    </cfRule>
  </conditionalFormatting>
  <conditionalFormatting sqref="L6">
    <cfRule type="expression" dxfId="538" priority="40">
      <formula>ABS(L$7-L$10)&gt;=1000</formula>
    </cfRule>
  </conditionalFormatting>
  <conditionalFormatting sqref="M6">
    <cfRule type="expression" dxfId="537" priority="39">
      <formula>ABS(M$7-M$10)&gt;=1000</formula>
    </cfRule>
  </conditionalFormatting>
  <conditionalFormatting sqref="N6">
    <cfRule type="expression" dxfId="536" priority="38">
      <formula>ABS(N$7-N$10)&gt;=1000</formula>
    </cfRule>
  </conditionalFormatting>
  <conditionalFormatting sqref="O6">
    <cfRule type="expression" dxfId="535" priority="37">
      <formula>ABS(O$7-O$10)&gt;=1000</formula>
    </cfRule>
  </conditionalFormatting>
  <conditionalFormatting sqref="P6">
    <cfRule type="expression" dxfId="534" priority="36">
      <formula>ABS(P$7-P$10)&gt;=1000</formula>
    </cfRule>
  </conditionalFormatting>
  <conditionalFormatting sqref="L7">
    <cfRule type="expression" dxfId="533" priority="35">
      <formula>ABS(L$7-L$10)&gt;=1000</formula>
    </cfRule>
  </conditionalFormatting>
  <conditionalFormatting sqref="M7">
    <cfRule type="expression" dxfId="532" priority="34">
      <formula>ABS(M$7-M$10)&gt;=1000</formula>
    </cfRule>
  </conditionalFormatting>
  <conditionalFormatting sqref="O7:P7">
    <cfRule type="expression" dxfId="531" priority="33">
      <formula>ABS(O$7-O$10)&gt;=1000</formula>
    </cfRule>
  </conditionalFormatting>
  <conditionalFormatting sqref="N7">
    <cfRule type="expression" dxfId="530" priority="32">
      <formula>ABS(N$7-N$10)&gt;=1000</formula>
    </cfRule>
  </conditionalFormatting>
  <conditionalFormatting sqref="H7:K7">
    <cfRule type="expression" dxfId="529" priority="31">
      <formula>ABS(H$7-H$10)&gt;=1000</formula>
    </cfRule>
  </conditionalFormatting>
  <conditionalFormatting sqref="D7:G7">
    <cfRule type="expression" dxfId="528" priority="30">
      <formula>ABS(D$7-D$10)&gt;=1000</formula>
    </cfRule>
  </conditionalFormatting>
  <conditionalFormatting sqref="J5:K5">
    <cfRule type="expression" dxfId="527" priority="29">
      <formula>ABS(J$7-J$10)&gt;=1000</formula>
    </cfRule>
  </conditionalFormatting>
  <conditionalFormatting sqref="D9 D11">
    <cfRule type="expression" dxfId="526" priority="28">
      <formula>ABS(D$7-D$10)&gt;=1000</formula>
    </cfRule>
  </conditionalFormatting>
  <conditionalFormatting sqref="E9 E11">
    <cfRule type="expression" dxfId="525" priority="27">
      <formula>ABS(E$7-E$10)&gt;=1000</formula>
    </cfRule>
  </conditionalFormatting>
  <conditionalFormatting sqref="F9 F11">
    <cfRule type="expression" dxfId="524" priority="26">
      <formula>ABS(F$7-F$10)&gt;=1000</formula>
    </cfRule>
  </conditionalFormatting>
  <conditionalFormatting sqref="G9 G11">
    <cfRule type="expression" dxfId="523" priority="25">
      <formula>ABS(G$7-G$10)&gt;=1000</formula>
    </cfRule>
  </conditionalFormatting>
  <conditionalFormatting sqref="H11">
    <cfRule type="expression" dxfId="522" priority="24">
      <formula>ABS(H$7-H$10)&gt;=1000</formula>
    </cfRule>
  </conditionalFormatting>
  <conditionalFormatting sqref="I11">
    <cfRule type="expression" dxfId="521" priority="23">
      <formula>ABS(I$7-I$10)&gt;=1000</formula>
    </cfRule>
  </conditionalFormatting>
  <conditionalFormatting sqref="J11">
    <cfRule type="expression" dxfId="520" priority="22">
      <formula>ABS(J$7-J$10)&gt;=1000</formula>
    </cfRule>
  </conditionalFormatting>
  <conditionalFormatting sqref="K11">
    <cfRule type="expression" dxfId="519" priority="21">
      <formula>ABS(K$7-K$10)&gt;=1000</formula>
    </cfRule>
  </conditionalFormatting>
  <conditionalFormatting sqref="L11">
    <cfRule type="expression" dxfId="518" priority="20">
      <formula>ABS(L$7-L$10)&gt;=1000</formula>
    </cfRule>
  </conditionalFormatting>
  <conditionalFormatting sqref="M11">
    <cfRule type="expression" dxfId="517" priority="19">
      <formula>ABS(M$7-M$10)&gt;=1000</formula>
    </cfRule>
  </conditionalFormatting>
  <conditionalFormatting sqref="N11">
    <cfRule type="expression" dxfId="516" priority="18">
      <formula>ABS(N$7-N$10)&gt;=1000</formula>
    </cfRule>
  </conditionalFormatting>
  <conditionalFormatting sqref="O11">
    <cfRule type="expression" dxfId="515" priority="17">
      <formula>ABS(O$7-O$10)&gt;=1000</formula>
    </cfRule>
  </conditionalFormatting>
  <conditionalFormatting sqref="P11">
    <cfRule type="expression" dxfId="514" priority="16">
      <formula>ABS(P$7-P$10)&gt;=1000</formula>
    </cfRule>
  </conditionalFormatting>
  <conditionalFormatting sqref="H9">
    <cfRule type="expression" dxfId="513" priority="15">
      <formula>ABS(H$7-H$10)&gt;=1000</formula>
    </cfRule>
  </conditionalFormatting>
  <conditionalFormatting sqref="J9">
    <cfRule type="expression" dxfId="512" priority="14">
      <formula>ABS(J$7-J$10)&gt;=1000</formula>
    </cfRule>
  </conditionalFormatting>
  <conditionalFormatting sqref="K9">
    <cfRule type="expression" dxfId="511" priority="13">
      <formula>ABS(K$7-K$10)&gt;=1000</formula>
    </cfRule>
  </conditionalFormatting>
  <conditionalFormatting sqref="L9">
    <cfRule type="expression" dxfId="510" priority="12">
      <formula>ABS(L$7-L$10)&gt;=1000</formula>
    </cfRule>
  </conditionalFormatting>
  <conditionalFormatting sqref="M9">
    <cfRule type="expression" dxfId="509" priority="11">
      <formula>ABS(M$7-M$10)&gt;=1000</formula>
    </cfRule>
  </conditionalFormatting>
  <conditionalFormatting sqref="N9">
    <cfRule type="expression" dxfId="508" priority="10">
      <formula>ABS(N$7-N$10)&gt;=1000</formula>
    </cfRule>
  </conditionalFormatting>
  <conditionalFormatting sqref="O9">
    <cfRule type="expression" dxfId="507" priority="9">
      <formula>ABS(O$7-O$10)&gt;=1000</formula>
    </cfRule>
  </conditionalFormatting>
  <conditionalFormatting sqref="P9">
    <cfRule type="expression" dxfId="506" priority="8">
      <formula>ABS(P$7-P$10)&gt;=1000</formula>
    </cfRule>
  </conditionalFormatting>
  <conditionalFormatting sqref="I9">
    <cfRule type="expression" dxfId="505" priority="7">
      <formula>ABS(I$7-I$10)&gt;=1000</formula>
    </cfRule>
  </conditionalFormatting>
  <conditionalFormatting sqref="L10">
    <cfRule type="expression" dxfId="504" priority="6">
      <formula>ABS(L$7-L$10)&gt;=1000</formula>
    </cfRule>
  </conditionalFormatting>
  <conditionalFormatting sqref="M10">
    <cfRule type="expression" dxfId="503" priority="5">
      <formula>ABS(M$7-M$10)&gt;=1000</formula>
    </cfRule>
  </conditionalFormatting>
  <conditionalFormatting sqref="O10:P10">
    <cfRule type="expression" dxfId="502" priority="4">
      <formula>ABS(O$7-O$10)&gt;=1000</formula>
    </cfRule>
  </conditionalFormatting>
  <conditionalFormatting sqref="N10">
    <cfRule type="expression" dxfId="501" priority="3">
      <formula>ABS(N$7-N$10)&gt;=1000</formula>
    </cfRule>
  </conditionalFormatting>
  <conditionalFormatting sqref="H10:K10">
    <cfRule type="expression" dxfId="500" priority="2">
      <formula>ABS(H$7-H$10)&gt;=1000</formula>
    </cfRule>
  </conditionalFormatting>
  <conditionalFormatting sqref="D10:G10">
    <cfRule type="expression" dxfId="499" priority="1">
      <formula>ABS(D$7-D$10)&gt;=1000</formula>
    </cfRule>
  </conditionalFormatting>
  <conditionalFormatting sqref="I12">
    <cfRule type="expression" dxfId="498" priority="73">
      <formula>ABS(#REF!-#REF!)&gt;=1000</formula>
    </cfRule>
  </conditionalFormatting>
  <conditionalFormatting sqref="D6">
    <cfRule type="expression" dxfId="497" priority="82" stopIfTrue="1">
      <formula>MOD(ROUND($D$6*100,2),1)=0</formula>
    </cfRule>
  </conditionalFormatting>
  <conditionalFormatting sqref="E6">
    <cfRule type="expression" dxfId="496" priority="83" stopIfTrue="1">
      <formula>MOD(ROUND($E$6*100,2),1)=0</formula>
    </cfRule>
  </conditionalFormatting>
  <conditionalFormatting sqref="F6">
    <cfRule type="expression" dxfId="495" priority="84" stopIfTrue="1">
      <formula>MOD(ROUND($F$6*100,2),1)=0</formula>
    </cfRule>
  </conditionalFormatting>
  <conditionalFormatting sqref="G6">
    <cfRule type="expression" dxfId="494" priority="85" stopIfTrue="1">
      <formula>MOD(ROUND($G$6*100,2),1)=0</formula>
    </cfRule>
  </conditionalFormatting>
  <conditionalFormatting sqref="D9">
    <cfRule type="expression" dxfId="493" priority="86" stopIfTrue="1">
      <formula>MOD(ROUND($D$9*100,2),1)=0</formula>
    </cfRule>
  </conditionalFormatting>
  <conditionalFormatting sqref="E9">
    <cfRule type="expression" dxfId="492" priority="87" stopIfTrue="1">
      <formula>MOD(ROUND($E$9*100,2),1)=0</formula>
    </cfRule>
  </conditionalFormatting>
  <conditionalFormatting sqref="F9">
    <cfRule type="expression" dxfId="491" priority="88" stopIfTrue="1">
      <formula>MOD(ROUND($F$9*100,2),1)=0</formula>
    </cfRule>
  </conditionalFormatting>
  <conditionalFormatting sqref="G9">
    <cfRule type="expression" dxfId="490"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48449"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48449" r:id="rId4" name="CommandButton1"/>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7">
    <pageSetUpPr fitToPage="1"/>
  </sheetPr>
  <dimension ref="A1:AQ205"/>
  <sheetViews>
    <sheetView view="pageBreakPreview" zoomScaleNormal="100" zoomScaleSheetLayoutView="100" workbookViewId="0">
      <selection activeCell="O10" sqref="O10"/>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46258</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97" t="s" ph="1">
        <v>42</v>
      </c>
      <c r="D6" s="151">
        <v>0.68279999999999996</v>
      </c>
      <c r="E6" s="151">
        <v>0.1069</v>
      </c>
      <c r="F6" s="151">
        <v>0.98919999999999997</v>
      </c>
      <c r="G6" s="151">
        <v>0.9889</v>
      </c>
      <c r="H6" s="150">
        <v>2605</v>
      </c>
      <c r="I6" s="150">
        <v>3349</v>
      </c>
      <c r="J6" s="150">
        <v>3326</v>
      </c>
      <c r="K6" s="150">
        <v>283</v>
      </c>
      <c r="L6" s="150">
        <v>5016</v>
      </c>
      <c r="M6" s="150">
        <v>1612</v>
      </c>
      <c r="N6" s="150">
        <v>3286</v>
      </c>
      <c r="O6" s="150">
        <v>1606</v>
      </c>
      <c r="P6" s="150">
        <v>4324</v>
      </c>
      <c r="Q6" s="294"/>
      <c r="R6" s="295"/>
      <c r="S6" s="295"/>
      <c r="T6" s="295"/>
      <c r="U6" s="296"/>
    </row>
    <row r="7" spans="1:43" s="61" customFormat="1" ht="25.95" customHeight="1" ph="1">
      <c r="B7" s="284" ph="1"/>
      <c r="C7" s="57" t="s" ph="1">
        <v>43</v>
      </c>
      <c r="D7" s="62" ph="1">
        <f>((D6*5885)*4.48)*LOOKUP(D8,密度!$A$2:$A$50,密度!$B$2:$B$50)</f>
        <v>13956.861781632002</v>
      </c>
      <c r="E7" s="62" ph="1">
        <f>((E6*5885)*4.48)*LOOKUP(E8,密度!$A$2:$A$50,密度!$B$2:$B$50)</f>
        <v>2194.685837344</v>
      </c>
      <c r="F7" s="62" ph="1">
        <f>((F6*5885)*4.48)*LOOKUP(F8,密度!$A$2:$A$50,密度!$B$2:$B$50)</f>
        <v>20287.678798464003</v>
      </c>
      <c r="G7" s="62" ph="1">
        <f>((G6*5885)*4.48)*LOOKUP(G8,密度!$A$2:$A$50,密度!$B$2:$B$50)</f>
        <v>20237.203388864</v>
      </c>
      <c r="H7" s="62" ph="1">
        <f>IF(H6&lt;=0,0,IF(H6&lt;=745,PI()*(5.3235*(H6/1000)^2-(4/3)*(H6/1000)^3),7.55+15.2053*((H6-745)/1000))*LOOKUP(H8,密度!$A$2:$A$50,密度!$B$2:$B$50)*1000)</f>
        <v>27812.688179599998</v>
      </c>
      <c r="I7" s="62" ph="1">
        <f>IF(I6&lt;=0,0,IF(I6&lt;=745,PI()*(5.3235*(I6/1000)^2-(4/3)*(I6/1000)^3),7.55+15.2053*((I6-745)/1000))*LOOKUP(I8,密度!$A$2:$A$50,密度!$B$2:$B$50)*1000)</f>
        <v>36508.779169279995</v>
      </c>
      <c r="J7" s="62" ph="1">
        <f>IF(J6&lt;=0,0,IF(J6&lt;=745,PI()*(5.3235*(J6/1000)^2-(4/3)*(J6/1000)^3),7.55+15.2053*((J6-745)/1000))*LOOKUP(J8,密度!$A$2:$A$50,密度!$B$2:$B$50)*1000)</f>
        <v>36401.736607469997</v>
      </c>
      <c r="K7" s="62" ph="1">
        <f>IF(K6&lt;=0,0,IF(K6&lt;=745,PI()*(5.3235*(K6/1000)^2-(4/3)*(K6/1000)^3),7.55+15.2053*((K6-745)/1000))*LOOKUP(K8,密度!$A$2:$A$50,密度!$B$2:$B$50)*1000)</f>
        <v>971.32462132377134</v>
      </c>
      <c r="L7" s="62" ph="1">
        <f>L6*26.42*LOOKUP(L8,密度!$A$2:$A$50,密度!$B$2:$B$50)</f>
        <v>103089.423888</v>
      </c>
      <c r="M7" s="62" ph="1">
        <f>M6*26.42*1</f>
        <v>42589.04</v>
      </c>
      <c r="N7" s="62" ph="1">
        <f>N6*18.32*LOOKUP(N8,密度!$A$2:$A$50,密度!$B$2:$B$50)</f>
        <v>46877.366223999998</v>
      </c>
      <c r="O7" s="62" ph="1">
        <f>O6*81.71*LOOKUP(O8,密度!$A$2:$A$50,密度!$B$2:$B$50)</f>
        <v>101739.71937799998</v>
      </c>
      <c r="P7" s="62" ph="1">
        <f>P6*81.71*LOOKUP(P8,密度!$A$2:$A$50,密度!$B$2:$B$50)</f>
        <v>273924.37521199998</v>
      </c>
      <c r="Q7" s="294"/>
      <c r="R7" s="295"/>
      <c r="S7" s="295"/>
      <c r="T7" s="295"/>
      <c r="U7" s="296"/>
    </row>
    <row r="8" spans="1:43" ht="25.95" customHeight="1" ph="1">
      <c r="B8" s="284" ph="1"/>
      <c r="C8" s="57" t="s" ph="1">
        <v>44</v>
      </c>
      <c r="D8" s="149">
        <v>30</v>
      </c>
      <c r="E8" s="149">
        <v>26</v>
      </c>
      <c r="F8" s="149">
        <v>27</v>
      </c>
      <c r="G8" s="149">
        <v>29</v>
      </c>
      <c r="H8" s="149">
        <v>29</v>
      </c>
      <c r="I8" s="149">
        <v>31</v>
      </c>
      <c r="J8" s="149">
        <v>27</v>
      </c>
      <c r="K8" s="149">
        <v>24</v>
      </c>
      <c r="L8" s="149">
        <v>27</v>
      </c>
      <c r="M8" s="149">
        <v>29</v>
      </c>
      <c r="N8" s="149">
        <v>26</v>
      </c>
      <c r="O8" s="149">
        <v>30</v>
      </c>
      <c r="P8" s="149">
        <v>30</v>
      </c>
      <c r="Q8" s="294"/>
      <c r="R8" s="295"/>
      <c r="S8" s="295"/>
      <c r="T8" s="295"/>
      <c r="U8" s="296"/>
    </row>
    <row r="9" spans="1:43" ht="25.95" customHeight="1" ph="1">
      <c r="B9" s="284" ph="1">
        <v>0.66666666666666663</v>
      </c>
      <c r="C9" s="197" t="s" ph="1">
        <v>45</v>
      </c>
      <c r="D9" s="151">
        <v>0.58829999999999993</v>
      </c>
      <c r="E9" s="151">
        <v>0.55579999999999996</v>
      </c>
      <c r="F9" s="151">
        <v>0.98849999999999993</v>
      </c>
      <c r="G9" s="151">
        <v>0.98730000000000007</v>
      </c>
      <c r="H9" s="150">
        <v>2210</v>
      </c>
      <c r="I9" s="150">
        <v>2444</v>
      </c>
      <c r="J9" s="150">
        <v>3325</v>
      </c>
      <c r="K9" s="150">
        <v>286</v>
      </c>
      <c r="L9" s="150">
        <v>5164</v>
      </c>
      <c r="M9" s="150">
        <v>1611</v>
      </c>
      <c r="N9" s="150">
        <v>1812</v>
      </c>
      <c r="O9" s="150">
        <v>1441</v>
      </c>
      <c r="P9" s="150">
        <v>4324</v>
      </c>
      <c r="Q9" s="294"/>
      <c r="R9" s="295"/>
      <c r="S9" s="295"/>
      <c r="T9" s="295"/>
      <c r="U9" s="296"/>
    </row>
    <row r="10" spans="1:43" s="61" customFormat="1" ht="25.95" customHeight="1" ph="1">
      <c r="B10" s="284" ph="1"/>
      <c r="C10" s="197" t="s" ph="1">
        <v>43</v>
      </c>
      <c r="D10" s="62" ph="1">
        <f>((D9*5885)*4.48)*LOOKUP(D11,密度!$A$2:$A$50,密度!$B$2:$B$50)</f>
        <v>12039.181670208001</v>
      </c>
      <c r="E10" s="62" ph="1">
        <f>((E9*5885)*4.48)*LOOKUP(E11,密度!$A$2:$A$50,密度!$B$2:$B$50)</f>
        <v>11360.901842752</v>
      </c>
      <c r="F10" s="62" ph="1">
        <f>((F9*5885)*4.48)*LOOKUP(F11,密度!$A$2:$A$50,密度!$B$2:$B$50)</f>
        <v>20273.32237392</v>
      </c>
      <c r="G10" s="62" ph="1">
        <f>((G9*5885)*4.48)*LOOKUP(G11,密度!$A$2:$A$50,密度!$B$2:$B$50)</f>
        <v>20225.284390080004</v>
      </c>
      <c r="H10" s="62" ph="1">
        <f>IF(H9&lt;=0,0,IF(H9&lt;=745,PI()*(5.3235*(H9/1000)^2-(4/3)*(H9/1000)^3),7.55+15.2053*((H9-745)/1000))*LOOKUP(H11,密度!$A$2:$A$50,密度!$B$2:$B$50)*1000)</f>
        <v>23123.91521685</v>
      </c>
      <c r="I10" s="62" ph="1">
        <f>IF(I9&lt;=0,0,IF(I9&lt;=745,PI()*(5.3235*(I9/1000)^2-(4/3)*(I9/1000)^3),7.55+15.2053*((I9-745)/1000))*LOOKUP(I11,密度!$A$2:$A$50,密度!$B$2:$B$50)*1000)</f>
        <v>25852.418359679999</v>
      </c>
      <c r="J10" s="62" ph="1">
        <f>IF(J9&lt;=0,0,IF(J9&lt;=745,PI()*(5.3235*(J9/1000)^2-(4/3)*(J9/1000)^3),7.55+15.2053*((J9-745)/1000))*LOOKUP(J11,密度!$A$2:$A$50,密度!$B$2:$B$50)*1000)</f>
        <v>36389.908404599999</v>
      </c>
      <c r="K10" s="62" ph="1">
        <f>IF(K9&lt;=0,0,IF(K9&lt;=745,PI()*(5.3235*(K9/1000)^2-(4/3)*(K9/1000)^3),7.55+15.2053*((K9-745)/1000))*LOOKUP(K11,密度!$A$2:$A$50,密度!$B$2:$B$50)*1000)</f>
        <v>990.08198090387111</v>
      </c>
      <c r="L10" s="62" ph="1">
        <f>L9*26.42*LOOKUP(L11,密度!$A$2:$A$50,密度!$B$2:$B$50)</f>
        <v>106131.13735200001</v>
      </c>
      <c r="M10" s="62" ph="1">
        <f>M9*26.42*1</f>
        <v>42562.62</v>
      </c>
      <c r="N10" s="62" ph="1">
        <f>N9*18.32*LOOKUP(N11,密度!$A$2:$A$50,密度!$B$2:$B$50)</f>
        <v>25849.600608000001</v>
      </c>
      <c r="O10" s="62" ph="1">
        <f>O9*81.71*LOOKUP(O11,密度!$A$2:$A$50,密度!$B$2:$B$50)</f>
        <v>91287.008482999983</v>
      </c>
      <c r="P10" s="62" ph="1">
        <f>P9*81.71*LOOKUP(P11,密度!$A$2:$A$50,密度!$B$2:$B$50)</f>
        <v>273924.37521199998</v>
      </c>
      <c r="Q10" s="294"/>
      <c r="R10" s="295"/>
      <c r="S10" s="295"/>
      <c r="T10" s="295"/>
      <c r="U10" s="296"/>
    </row>
    <row r="11" spans="1:43" ht="25.95" customHeight="1" ph="1">
      <c r="A11" s="53" t="s" ph="1">
        <v>40</v>
      </c>
      <c r="B11" s="284" ph="1"/>
      <c r="C11" s="197" t="s" ph="1">
        <v>44</v>
      </c>
      <c r="D11" s="149">
        <v>29</v>
      </c>
      <c r="E11" s="149">
        <v>30</v>
      </c>
      <c r="F11" s="149">
        <v>27</v>
      </c>
      <c r="G11" s="149">
        <v>28</v>
      </c>
      <c r="H11" s="149">
        <v>30</v>
      </c>
      <c r="I11" s="149">
        <v>31</v>
      </c>
      <c r="J11" s="149">
        <v>27</v>
      </c>
      <c r="K11" s="149">
        <v>25</v>
      </c>
      <c r="L11" s="149">
        <v>27</v>
      </c>
      <c r="M11" s="149">
        <v>30</v>
      </c>
      <c r="N11" s="149">
        <v>26</v>
      </c>
      <c r="O11" s="149">
        <v>30</v>
      </c>
      <c r="P11" s="149">
        <v>30</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97" t="s" ph="1">
        <v>1</v>
      </c>
      <c r="F14" s="88" t="s" ph="1">
        <v>28</v>
      </c>
      <c r="G14" s="86" t="s" ph="1">
        <v>0</v>
      </c>
      <c r="H14" s="197" t="s" ph="1">
        <v>1</v>
      </c>
      <c r="I14" s="196" t="s" ph="1">
        <v>28</v>
      </c>
      <c r="J14" s="86" t="s" ph="1">
        <v>0</v>
      </c>
      <c r="K14" s="197" t="s" ph="1">
        <v>1</v>
      </c>
      <c r="L14" s="196" t="s" ph="1">
        <v>28</v>
      </c>
      <c r="M14" s="86" t="s" ph="1">
        <v>0</v>
      </c>
      <c r="N14" s="197" t="s" ph="1">
        <v>1</v>
      </c>
      <c r="O14" s="196" t="s" ph="1">
        <v>28</v>
      </c>
      <c r="P14" s="86" t="s" ph="1">
        <v>0</v>
      </c>
      <c r="Q14" s="87" t="s" ph="1">
        <v>1</v>
      </c>
      <c r="R14" s="88" t="s" ph="1">
        <v>28</v>
      </c>
      <c r="S14" s="86" t="s" ph="1">
        <v>0</v>
      </c>
      <c r="T14" s="197" t="s" ph="1">
        <v>1</v>
      </c>
      <c r="U14" s="88" t="s" ph="1">
        <v>28</v>
      </c>
    </row>
    <row r="15" spans="1:43" ph="1">
      <c r="A15" s="53"/>
      <c r="B15" s="300" t="s" ph="1">
        <v>46</v>
      </c>
      <c r="C15" s="301" ph="1"/>
      <c r="D15" s="241" ph="1">
        <f>O10+P10</f>
        <v>365211.38369499997</v>
      </c>
      <c r="E15" s="233" ph="1">
        <f>H10+I10+J10+K10</f>
        <v>86356.323962033872</v>
      </c>
      <c r="F15" s="257" ph="1">
        <f>L10+N10</f>
        <v>131980.73796</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195" ph="1"/>
      <c r="P18" s="90" ph="1"/>
      <c r="Q18" s="195" t="s" ph="1">
        <v>50</v>
      </c>
      <c r="R18" s="218" t="s" ph="1">
        <v>176</v>
      </c>
      <c r="S18" s="218" ph="1"/>
    </row>
    <row r="19" spans="1:21" s="195"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489" priority="72">
      <formula>ABS(D$7-D$10)&gt;=1000</formula>
    </cfRule>
  </conditionalFormatting>
  <conditionalFormatting sqref="E4">
    <cfRule type="expression" dxfId="488" priority="71">
      <formula>ABS(E$7-E$10)&gt;=1000</formula>
    </cfRule>
  </conditionalFormatting>
  <conditionalFormatting sqref="F4">
    <cfRule type="expression" dxfId="487" priority="70">
      <formula>ABS(F$7-F$10)&gt;=1000</formula>
    </cfRule>
  </conditionalFormatting>
  <conditionalFormatting sqref="G4">
    <cfRule type="expression" dxfId="486" priority="69">
      <formula>ABS(G$7-G$10)&gt;=1000</formula>
    </cfRule>
  </conditionalFormatting>
  <conditionalFormatting sqref="H4:K4">
    <cfRule type="expression" dxfId="485" priority="68">
      <formula>ABS(H$7-H$10)&gt;=1000</formula>
    </cfRule>
  </conditionalFormatting>
  <conditionalFormatting sqref="I8">
    <cfRule type="expression" dxfId="484" priority="67">
      <formula>ABS(I$7-I$10)&gt;=1000</formula>
    </cfRule>
  </conditionalFormatting>
  <conditionalFormatting sqref="L4:L5 M4:N4">
    <cfRule type="expression" dxfId="483" priority="66">
      <formula>ABS(L$7-L$10)&gt;=1000</formula>
    </cfRule>
  </conditionalFormatting>
  <conditionalFormatting sqref="M5">
    <cfRule type="expression" dxfId="482" priority="65">
      <formula>ABS(M$7-M$10)&gt;=1000</formula>
    </cfRule>
  </conditionalFormatting>
  <conditionalFormatting sqref="N5">
    <cfRule type="expression" dxfId="481" priority="64">
      <formula>ABS(N$7-N$10)&gt;=1000</formula>
    </cfRule>
  </conditionalFormatting>
  <conditionalFormatting sqref="D5">
    <cfRule type="expression" dxfId="480" priority="63">
      <formula>ABS(D$7-D$10)&gt;=1000</formula>
    </cfRule>
  </conditionalFormatting>
  <conditionalFormatting sqref="E5:G5">
    <cfRule type="expression" dxfId="479" priority="62">
      <formula>ABS(E$7-E$10)&gt;=1000</formula>
    </cfRule>
  </conditionalFormatting>
  <conditionalFormatting sqref="H5">
    <cfRule type="expression" dxfId="478" priority="61">
      <formula>ABS(H$7-H$10)&gt;=1000</formula>
    </cfRule>
  </conditionalFormatting>
  <conditionalFormatting sqref="O4:P4">
    <cfRule type="expression" dxfId="477" priority="60">
      <formula>ABS(O$7-O$10)&gt;=1000</formula>
    </cfRule>
  </conditionalFormatting>
  <conditionalFormatting sqref="O5">
    <cfRule type="expression" dxfId="476" priority="59">
      <formula>ABS(O$7-O$10)&gt;=1000</formula>
    </cfRule>
  </conditionalFormatting>
  <conditionalFormatting sqref="I6">
    <cfRule type="expression" dxfId="475" priority="58">
      <formula>ABS(I$7-I$10)&gt;=1000</formula>
    </cfRule>
  </conditionalFormatting>
  <conditionalFormatting sqref="P5">
    <cfRule type="expression" dxfId="474" priority="57">
      <formula>ABS(P$7-P$10)&gt;=1000</formula>
    </cfRule>
  </conditionalFormatting>
  <conditionalFormatting sqref="I5">
    <cfRule type="expression" dxfId="473" priority="56">
      <formula>ABS(I$7-I$10)&gt;=1000</formula>
    </cfRule>
  </conditionalFormatting>
  <conditionalFormatting sqref="D6 D8">
    <cfRule type="expression" dxfId="472" priority="55">
      <formula>ABS(D$7-D$10)&gt;=1000</formula>
    </cfRule>
  </conditionalFormatting>
  <conditionalFormatting sqref="E6 E8">
    <cfRule type="expression" dxfId="471" priority="54">
      <formula>ABS(E$7-E$10)&gt;=1000</formula>
    </cfRule>
  </conditionalFormatting>
  <conditionalFormatting sqref="F6 F8">
    <cfRule type="expression" dxfId="470" priority="53">
      <formula>ABS(F$7-F$10)&gt;=1000</formula>
    </cfRule>
  </conditionalFormatting>
  <conditionalFormatting sqref="G6 G8">
    <cfRule type="expression" dxfId="469" priority="52">
      <formula>ABS(G$7-G$10)&gt;=1000</formula>
    </cfRule>
  </conditionalFormatting>
  <conditionalFormatting sqref="H8">
    <cfRule type="expression" dxfId="468" priority="51">
      <formula>ABS(H$7-H$10)&gt;=1000</formula>
    </cfRule>
  </conditionalFormatting>
  <conditionalFormatting sqref="H6">
    <cfRule type="expression" dxfId="467" priority="50">
      <formula>ABS(H$7-H$10)&gt;=1000</formula>
    </cfRule>
  </conditionalFormatting>
  <conditionalFormatting sqref="J8">
    <cfRule type="expression" dxfId="466" priority="49">
      <formula>ABS(J$7-J$10)&gt;=1000</formula>
    </cfRule>
  </conditionalFormatting>
  <conditionalFormatting sqref="K8">
    <cfRule type="expression" dxfId="465" priority="48">
      <formula>ABS(K$7-K$10)&gt;=1000</formula>
    </cfRule>
  </conditionalFormatting>
  <conditionalFormatting sqref="L8">
    <cfRule type="expression" dxfId="464" priority="47">
      <formula>ABS(L$7-L$10)&gt;=1000</formula>
    </cfRule>
  </conditionalFormatting>
  <conditionalFormatting sqref="M8">
    <cfRule type="expression" dxfId="463" priority="46">
      <formula>ABS(M$7-M$10)&gt;=1000</formula>
    </cfRule>
  </conditionalFormatting>
  <conditionalFormatting sqref="N8">
    <cfRule type="expression" dxfId="462" priority="45">
      <formula>ABS(N$7-N$10)&gt;=1000</formula>
    </cfRule>
  </conditionalFormatting>
  <conditionalFormatting sqref="O8">
    <cfRule type="expression" dxfId="461" priority="44">
      <formula>ABS(O$7-O$10)&gt;=1000</formula>
    </cfRule>
  </conditionalFormatting>
  <conditionalFormatting sqref="P8">
    <cfRule type="expression" dxfId="460" priority="43">
      <formula>ABS(P$7-P$10)&gt;=1000</formula>
    </cfRule>
  </conditionalFormatting>
  <conditionalFormatting sqref="J6">
    <cfRule type="expression" dxfId="459" priority="42">
      <formula>ABS(J$7-J$10)&gt;=1000</formula>
    </cfRule>
  </conditionalFormatting>
  <conditionalFormatting sqref="K6">
    <cfRule type="expression" dxfId="458" priority="41">
      <formula>ABS(K$7-K$10)&gt;=1000</formula>
    </cfRule>
  </conditionalFormatting>
  <conditionalFormatting sqref="L6">
    <cfRule type="expression" dxfId="457" priority="40">
      <formula>ABS(L$7-L$10)&gt;=1000</formula>
    </cfRule>
  </conditionalFormatting>
  <conditionalFormatting sqref="M6">
    <cfRule type="expression" dxfId="456" priority="39">
      <formula>ABS(M$7-M$10)&gt;=1000</formula>
    </cfRule>
  </conditionalFormatting>
  <conditionalFormatting sqref="N6">
    <cfRule type="expression" dxfId="455" priority="38">
      <formula>ABS(N$7-N$10)&gt;=1000</formula>
    </cfRule>
  </conditionalFormatting>
  <conditionalFormatting sqref="O6">
    <cfRule type="expression" dxfId="454" priority="37">
      <formula>ABS(O$7-O$10)&gt;=1000</formula>
    </cfRule>
  </conditionalFormatting>
  <conditionalFormatting sqref="P6">
    <cfRule type="expression" dxfId="453" priority="36">
      <formula>ABS(P$7-P$10)&gt;=1000</formula>
    </cfRule>
  </conditionalFormatting>
  <conditionalFormatting sqref="L7">
    <cfRule type="expression" dxfId="452" priority="35">
      <formula>ABS(L$7-L$10)&gt;=1000</formula>
    </cfRule>
  </conditionalFormatting>
  <conditionalFormatting sqref="M7">
    <cfRule type="expression" dxfId="451" priority="34">
      <formula>ABS(M$7-M$10)&gt;=1000</formula>
    </cfRule>
  </conditionalFormatting>
  <conditionalFormatting sqref="O7:P7">
    <cfRule type="expression" dxfId="450" priority="33">
      <formula>ABS(O$7-O$10)&gt;=1000</formula>
    </cfRule>
  </conditionalFormatting>
  <conditionalFormatting sqref="N7">
    <cfRule type="expression" dxfId="449" priority="32">
      <formula>ABS(N$7-N$10)&gt;=1000</formula>
    </cfRule>
  </conditionalFormatting>
  <conditionalFormatting sqref="H7:K7">
    <cfRule type="expression" dxfId="448" priority="31">
      <formula>ABS(H$7-H$10)&gt;=1000</formula>
    </cfRule>
  </conditionalFormatting>
  <conditionalFormatting sqref="D7:G7">
    <cfRule type="expression" dxfId="447" priority="30">
      <formula>ABS(D$7-D$10)&gt;=1000</formula>
    </cfRule>
  </conditionalFormatting>
  <conditionalFormatting sqref="J5:K5">
    <cfRule type="expression" dxfId="446" priority="29">
      <formula>ABS(J$7-J$10)&gt;=1000</formula>
    </cfRule>
  </conditionalFormatting>
  <conditionalFormatting sqref="D9 D11">
    <cfRule type="expression" dxfId="445" priority="28">
      <formula>ABS(D$7-D$10)&gt;=1000</formula>
    </cfRule>
  </conditionalFormatting>
  <conditionalFormatting sqref="E9 E11">
    <cfRule type="expression" dxfId="444" priority="27">
      <formula>ABS(E$7-E$10)&gt;=1000</formula>
    </cfRule>
  </conditionalFormatting>
  <conditionalFormatting sqref="F9 F11">
    <cfRule type="expression" dxfId="443" priority="26">
      <formula>ABS(F$7-F$10)&gt;=1000</formula>
    </cfRule>
  </conditionalFormatting>
  <conditionalFormatting sqref="G9 G11">
    <cfRule type="expression" dxfId="442" priority="25">
      <formula>ABS(G$7-G$10)&gt;=1000</formula>
    </cfRule>
  </conditionalFormatting>
  <conditionalFormatting sqref="H11">
    <cfRule type="expression" dxfId="441" priority="24">
      <formula>ABS(H$7-H$10)&gt;=1000</formula>
    </cfRule>
  </conditionalFormatting>
  <conditionalFormatting sqref="I11">
    <cfRule type="expression" dxfId="440" priority="23">
      <formula>ABS(I$7-I$10)&gt;=1000</formula>
    </cfRule>
  </conditionalFormatting>
  <conditionalFormatting sqref="J11">
    <cfRule type="expression" dxfId="439" priority="22">
      <formula>ABS(J$7-J$10)&gt;=1000</formula>
    </cfRule>
  </conditionalFormatting>
  <conditionalFormatting sqref="K11">
    <cfRule type="expression" dxfId="438" priority="21">
      <formula>ABS(K$7-K$10)&gt;=1000</formula>
    </cfRule>
  </conditionalFormatting>
  <conditionalFormatting sqref="L11">
    <cfRule type="expression" dxfId="437" priority="20">
      <formula>ABS(L$7-L$10)&gt;=1000</formula>
    </cfRule>
  </conditionalFormatting>
  <conditionalFormatting sqref="M11">
    <cfRule type="expression" dxfId="436" priority="19">
      <formula>ABS(M$7-M$10)&gt;=1000</formula>
    </cfRule>
  </conditionalFormatting>
  <conditionalFormatting sqref="N11">
    <cfRule type="expression" dxfId="435" priority="18">
      <formula>ABS(N$7-N$10)&gt;=1000</formula>
    </cfRule>
  </conditionalFormatting>
  <conditionalFormatting sqref="O11">
    <cfRule type="expression" dxfId="434" priority="17">
      <formula>ABS(O$7-O$10)&gt;=1000</formula>
    </cfRule>
  </conditionalFormatting>
  <conditionalFormatting sqref="P11">
    <cfRule type="expression" dxfId="433" priority="16">
      <formula>ABS(P$7-P$10)&gt;=1000</formula>
    </cfRule>
  </conditionalFormatting>
  <conditionalFormatting sqref="H9">
    <cfRule type="expression" dxfId="432" priority="15">
      <formula>ABS(H$7-H$10)&gt;=1000</formula>
    </cfRule>
  </conditionalFormatting>
  <conditionalFormatting sqref="J9">
    <cfRule type="expression" dxfId="431" priority="14">
      <formula>ABS(J$7-J$10)&gt;=1000</formula>
    </cfRule>
  </conditionalFormatting>
  <conditionalFormatting sqref="K9">
    <cfRule type="expression" dxfId="430" priority="13">
      <formula>ABS(K$7-K$10)&gt;=1000</formula>
    </cfRule>
  </conditionalFormatting>
  <conditionalFormatting sqref="L9">
    <cfRule type="expression" dxfId="429" priority="12">
      <formula>ABS(L$7-L$10)&gt;=1000</formula>
    </cfRule>
  </conditionalFormatting>
  <conditionalFormatting sqref="M9">
    <cfRule type="expression" dxfId="428" priority="11">
      <formula>ABS(M$7-M$10)&gt;=1000</formula>
    </cfRule>
  </conditionalFormatting>
  <conditionalFormatting sqref="N9">
    <cfRule type="expression" dxfId="427" priority="10">
      <formula>ABS(N$7-N$10)&gt;=1000</formula>
    </cfRule>
  </conditionalFormatting>
  <conditionalFormatting sqref="O9">
    <cfRule type="expression" dxfId="426" priority="9">
      <formula>ABS(O$7-O$10)&gt;=1000</formula>
    </cfRule>
  </conditionalFormatting>
  <conditionalFormatting sqref="P9">
    <cfRule type="expression" dxfId="425" priority="8">
      <formula>ABS(P$7-P$10)&gt;=1000</formula>
    </cfRule>
  </conditionalFormatting>
  <conditionalFormatting sqref="I9">
    <cfRule type="expression" dxfId="424" priority="7">
      <formula>ABS(I$7-I$10)&gt;=1000</formula>
    </cfRule>
  </conditionalFormatting>
  <conditionalFormatting sqref="L10">
    <cfRule type="expression" dxfId="423" priority="6">
      <formula>ABS(L$7-L$10)&gt;=1000</formula>
    </cfRule>
  </conditionalFormatting>
  <conditionalFormatting sqref="M10">
    <cfRule type="expression" dxfId="422" priority="5">
      <formula>ABS(M$7-M$10)&gt;=1000</formula>
    </cfRule>
  </conditionalFormatting>
  <conditionalFormatting sqref="O10:P10">
    <cfRule type="expression" dxfId="421" priority="4">
      <formula>ABS(O$7-O$10)&gt;=1000</formula>
    </cfRule>
  </conditionalFormatting>
  <conditionalFormatting sqref="N10">
    <cfRule type="expression" dxfId="420" priority="3">
      <formula>ABS(N$7-N$10)&gt;=1000</formula>
    </cfRule>
  </conditionalFormatting>
  <conditionalFormatting sqref="H10:K10">
    <cfRule type="expression" dxfId="419" priority="2">
      <formula>ABS(H$7-H$10)&gt;=1000</formula>
    </cfRule>
  </conditionalFormatting>
  <conditionalFormatting sqref="D10:G10">
    <cfRule type="expression" dxfId="418" priority="1">
      <formula>ABS(D$7-D$10)&gt;=1000</formula>
    </cfRule>
  </conditionalFormatting>
  <conditionalFormatting sqref="I12">
    <cfRule type="expression" dxfId="417" priority="73">
      <formula>ABS(#REF!-#REF!)&gt;=1000</formula>
    </cfRule>
  </conditionalFormatting>
  <conditionalFormatting sqref="D6">
    <cfRule type="expression" dxfId="416" priority="82" stopIfTrue="1">
      <formula>MOD(ROUND($D$6*100,2),1)=0</formula>
    </cfRule>
  </conditionalFormatting>
  <conditionalFormatting sqref="E6">
    <cfRule type="expression" dxfId="415" priority="83" stopIfTrue="1">
      <formula>MOD(ROUND($E$6*100,2),1)=0</formula>
    </cfRule>
  </conditionalFormatting>
  <conditionalFormatting sqref="F6">
    <cfRule type="expression" dxfId="414" priority="84" stopIfTrue="1">
      <formula>MOD(ROUND($F$6*100,2),1)=0</formula>
    </cfRule>
  </conditionalFormatting>
  <conditionalFormatting sqref="G6">
    <cfRule type="expression" dxfId="413" priority="85" stopIfTrue="1">
      <formula>MOD(ROUND($G$6*100,2),1)=0</formula>
    </cfRule>
  </conditionalFormatting>
  <conditionalFormatting sqref="D9">
    <cfRule type="expression" dxfId="412" priority="86" stopIfTrue="1">
      <formula>MOD(ROUND($D$9*100,2),1)=0</formula>
    </cfRule>
  </conditionalFormatting>
  <conditionalFormatting sqref="E9">
    <cfRule type="expression" dxfId="411" priority="87" stopIfTrue="1">
      <formula>MOD(ROUND($E$9*100,2),1)=0</formula>
    </cfRule>
  </conditionalFormatting>
  <conditionalFormatting sqref="F9">
    <cfRule type="expression" dxfId="410" priority="88" stopIfTrue="1">
      <formula>MOD(ROUND($F$9*100,2),1)=0</formula>
    </cfRule>
  </conditionalFormatting>
  <conditionalFormatting sqref="G9">
    <cfRule type="expression" dxfId="409"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49473"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49473" r:id="rId4" name="CommandButton1"/>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8">
    <pageSetUpPr fitToPage="1"/>
  </sheetPr>
  <dimension ref="A1:AQ205"/>
  <sheetViews>
    <sheetView view="pageBreakPreview" zoomScaleNormal="100" zoomScaleSheetLayoutView="100" workbookViewId="0">
      <selection activeCell="N11" sqref="N11"/>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46259</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98" t="s" ph="1">
        <v>42</v>
      </c>
      <c r="D6" s="151">
        <v>0.89119999999999999</v>
      </c>
      <c r="E6" s="151">
        <v>0.11699999999999999</v>
      </c>
      <c r="F6" s="151">
        <v>0.98760000000000003</v>
      </c>
      <c r="G6" s="151">
        <v>0.98569999999999991</v>
      </c>
      <c r="H6" s="150">
        <v>1735</v>
      </c>
      <c r="I6" s="150">
        <v>2932</v>
      </c>
      <c r="J6" s="150">
        <v>3323</v>
      </c>
      <c r="K6" s="150">
        <v>289</v>
      </c>
      <c r="L6" s="150">
        <v>5211</v>
      </c>
      <c r="M6" s="150">
        <v>1611</v>
      </c>
      <c r="N6" s="150">
        <v>1953</v>
      </c>
      <c r="O6" s="150">
        <v>1088</v>
      </c>
      <c r="P6" s="150">
        <v>4324</v>
      </c>
      <c r="Q6" s="294"/>
      <c r="R6" s="295"/>
      <c r="S6" s="295"/>
      <c r="T6" s="295"/>
      <c r="U6" s="296"/>
    </row>
    <row r="7" spans="1:43" s="61" customFormat="1" ht="25.95" customHeight="1" ph="1">
      <c r="B7" s="284" ph="1"/>
      <c r="C7" s="57" t="s" ph="1">
        <v>43</v>
      </c>
      <c r="D7" s="62" ph="1">
        <f>((D6*5885)*4.48)*LOOKUP(D8,密度!$A$2:$A$50,密度!$B$2:$B$50)</f>
        <v>18237.835635711999</v>
      </c>
      <c r="E7" s="62" ph="1">
        <f>((E6*5885)*4.48)*LOOKUP(E8,密度!$A$2:$A$50,密度!$B$2:$B$50)</f>
        <v>2402.0415619199998</v>
      </c>
      <c r="F7" s="62" ph="1">
        <f>((F6*5885)*4.48)*LOOKUP(F8,密度!$A$2:$A$50,密度!$B$2:$B$50)</f>
        <v>20275.694414976002</v>
      </c>
      <c r="G7" s="62" ph="1">
        <f>((G6*5885)*4.48)*LOOKUP(G8,密度!$A$2:$A$50,密度!$B$2:$B$50)</f>
        <v>20236.686902431997</v>
      </c>
      <c r="H7" s="62" ph="1">
        <f>IF(H6&lt;=0,0,IF(H6&lt;=745,PI()*(5.3235*(H6/1000)^2-(4/3)*(H6/1000)^3),7.55+15.2053*((H6-745)/1000))*LOOKUP(H8,密度!$A$2:$A$50,密度!$B$2:$B$50)*1000)</f>
        <v>17562.722919</v>
      </c>
      <c r="I7" s="62" ph="1">
        <f>IF(I6&lt;=0,0,IF(I6&lt;=745,PI()*(5.3235*(I6/1000)^2-(4/3)*(I6/1000)^3),7.55+15.2053*((I6-745)/1000))*LOOKUP(I8,密度!$A$2:$A$50,密度!$B$2:$B$50)*1000)</f>
        <v>31672.057891819994</v>
      </c>
      <c r="J7" s="62" ph="1">
        <f>IF(J6&lt;=0,0,IF(J6&lt;=745,PI()*(5.3235*(J6/1000)^2-(4/3)*(J6/1000)^3),7.55+15.2053*((J6-745)/1000))*LOOKUP(J8,密度!$A$2:$A$50,密度!$B$2:$B$50)*1000)</f>
        <v>36403.651409579994</v>
      </c>
      <c r="K7" s="62" ph="1">
        <f>IF(K6&lt;=0,0,IF(K6&lt;=745,PI()*(5.3235*(K6/1000)^2-(4/3)*(K6/1000)^3),7.55+15.2053*((K6-745)/1000))*LOOKUP(K8,密度!$A$2:$A$50,密度!$B$2:$B$50)*1000)</f>
        <v>1011.3097847460946</v>
      </c>
      <c r="L7" s="62" ph="1">
        <f>L6*26.42*LOOKUP(L8,密度!$A$2:$A$50,密度!$B$2:$B$50)</f>
        <v>107207.22659399999</v>
      </c>
      <c r="M7" s="62" ph="1">
        <f>M6*26.42*1</f>
        <v>42562.62</v>
      </c>
      <c r="N7" s="62" ph="1">
        <f>N6*18.32*LOOKUP(N8,密度!$A$2:$A$50,密度!$B$2:$B$50)</f>
        <v>27861.076151999998</v>
      </c>
      <c r="O7" s="62" ph="1">
        <f>O6*81.71*LOOKUP(O8,密度!$A$2:$A$50,密度!$B$2:$B$50)</f>
        <v>69004.552576000002</v>
      </c>
      <c r="P7" s="62" ph="1">
        <f>P6*81.71*LOOKUP(P8,密度!$A$2:$A$50,密度!$B$2:$B$50)</f>
        <v>274242.35784799996</v>
      </c>
      <c r="Q7" s="294"/>
      <c r="R7" s="295"/>
      <c r="S7" s="295"/>
      <c r="T7" s="295"/>
      <c r="U7" s="296"/>
    </row>
    <row r="8" spans="1:43" ht="25.95" customHeight="1" ph="1">
      <c r="B8" s="284" ph="1"/>
      <c r="C8" s="57" t="s" ph="1">
        <v>44</v>
      </c>
      <c r="D8" s="149">
        <v>29</v>
      </c>
      <c r="E8" s="149">
        <v>26</v>
      </c>
      <c r="F8" s="149">
        <v>26</v>
      </c>
      <c r="G8" s="149">
        <v>26</v>
      </c>
      <c r="H8" s="149">
        <v>28</v>
      </c>
      <c r="I8" s="149">
        <v>29</v>
      </c>
      <c r="J8" s="149">
        <v>26</v>
      </c>
      <c r="K8" s="149">
        <v>24</v>
      </c>
      <c r="L8" s="149">
        <v>26</v>
      </c>
      <c r="M8" s="149">
        <v>26</v>
      </c>
      <c r="N8" s="149">
        <v>26</v>
      </c>
      <c r="O8" s="149">
        <v>29</v>
      </c>
      <c r="P8" s="149">
        <v>29</v>
      </c>
      <c r="Q8" s="294"/>
      <c r="R8" s="295"/>
      <c r="S8" s="295"/>
      <c r="T8" s="295"/>
      <c r="U8" s="296"/>
    </row>
    <row r="9" spans="1:43" ht="25.95" customHeight="1" ph="1">
      <c r="B9" s="284" ph="1">
        <v>0.66666666666666663</v>
      </c>
      <c r="C9" s="198" t="s" ph="1">
        <v>45</v>
      </c>
      <c r="D9" s="151">
        <v>5.7300000000000004E-2</v>
      </c>
      <c r="E9" s="151">
        <v>0.57289999999999996</v>
      </c>
      <c r="F9" s="151">
        <v>0.98719999999999997</v>
      </c>
      <c r="G9" s="151">
        <v>0.98519999999999996</v>
      </c>
      <c r="H9" s="150">
        <v>2677</v>
      </c>
      <c r="I9" s="150">
        <v>2005</v>
      </c>
      <c r="J9" s="150">
        <v>3309</v>
      </c>
      <c r="K9" s="150">
        <v>291</v>
      </c>
      <c r="L9" s="150">
        <v>5381</v>
      </c>
      <c r="M9" s="150">
        <v>1611</v>
      </c>
      <c r="N9" s="150">
        <v>627</v>
      </c>
      <c r="O9" s="150">
        <v>1444</v>
      </c>
      <c r="P9" s="150">
        <v>4323</v>
      </c>
      <c r="Q9" s="294"/>
      <c r="R9" s="295"/>
      <c r="S9" s="295"/>
      <c r="T9" s="295"/>
      <c r="U9" s="296"/>
    </row>
    <row r="10" spans="1:43" s="61" customFormat="1" ht="25.95" customHeight="1" ph="1">
      <c r="B10" s="284" ph="1"/>
      <c r="C10" s="198" t="s" ph="1">
        <v>43</v>
      </c>
      <c r="D10" s="62" ph="1">
        <f>((D9*5885)*4.48)*LOOKUP(D11,密度!$A$2:$A$50,密度!$B$2:$B$50)</f>
        <v>1173.8162620800003</v>
      </c>
      <c r="E10" s="62" ph="1">
        <f>((E9*5885)*4.48)*LOOKUP(E11,密度!$A$2:$A$50,密度!$B$2:$B$50)</f>
        <v>11710.436606176001</v>
      </c>
      <c r="F10" s="62" ph="1">
        <f>((F9*5885)*4.48)*LOOKUP(F11,密度!$A$2:$A$50,密度!$B$2:$B$50)</f>
        <v>20267.482307072001</v>
      </c>
      <c r="G10" s="62" ph="1">
        <f>((G9*5885)*4.48)*LOOKUP(G11,密度!$A$2:$A$50,密度!$B$2:$B$50)</f>
        <v>20226.421767552001</v>
      </c>
      <c r="H10" s="62" ph="1">
        <f>IF(H9&lt;=0,0,IF(H9&lt;=745,PI()*(5.3235*(H9/1000)^2-(4/3)*(H9/1000)^3),7.55+15.2053*((H9-745)/1000))*LOOKUP(H11,密度!$A$2:$A$50,密度!$B$2:$B$50)*1000)</f>
        <v>28662.457657519997</v>
      </c>
      <c r="I10" s="62" ph="1">
        <f>IF(I9&lt;=0,0,IF(I9&lt;=745,PI()*(5.3235*(I9/1000)^2-(4/3)*(I9/1000)^3),7.55+15.2053*((I9-745)/1000))*LOOKUP(I11,密度!$A$2:$A$50,密度!$B$2:$B$50)*1000)</f>
        <v>20707.238053399997</v>
      </c>
      <c r="J10" s="62" ph="1">
        <f>IF(J9&lt;=0,0,IF(J9&lt;=745,PI()*(5.3235*(J9/1000)^2-(4/3)*(J9/1000)^3),7.55+15.2053*((J9-745)/1000))*LOOKUP(J11,密度!$A$2:$A$50,密度!$B$2:$B$50)*1000)</f>
        <v>36237.886270039991</v>
      </c>
      <c r="K10" s="62" ph="1">
        <f>IF(K9&lt;=0,0,IF(K9&lt;=745,PI()*(5.3235*(K9/1000)^2-(4/3)*(K9/1000)^3),7.55+15.2053*((K9-745)/1000))*LOOKUP(K11,密度!$A$2:$A$50,密度!$B$2:$B$50)*1000)</f>
        <v>1023.620175817185</v>
      </c>
      <c r="L10" s="62" ph="1">
        <f>L9*26.42*LOOKUP(L11,密度!$A$2:$A$50,密度!$B$2:$B$50)</f>
        <v>110704.679774</v>
      </c>
      <c r="M10" s="62" ph="1">
        <f>M9*26.42*1</f>
        <v>42562.62</v>
      </c>
      <c r="N10" s="62" ph="1">
        <f>N9*18.32*LOOKUP(N11,密度!$A$2:$A$50,密度!$B$2:$B$50)</f>
        <v>8944.6465679999983</v>
      </c>
      <c r="O10" s="62" ph="1">
        <f>O9*81.71*LOOKUP(O11,密度!$A$2:$A$50,密度!$B$2:$B$50)</f>
        <v>91583.248087999993</v>
      </c>
      <c r="P10" s="62" ph="1">
        <f>P9*81.71*LOOKUP(P11,密度!$A$2:$A$50,密度!$B$2:$B$50)</f>
        <v>274178.93454599997</v>
      </c>
      <c r="Q10" s="294"/>
      <c r="R10" s="295"/>
      <c r="S10" s="295"/>
      <c r="T10" s="295"/>
      <c r="U10" s="296"/>
    </row>
    <row r="11" spans="1:43" ht="25.95" customHeight="1" ph="1">
      <c r="A11" s="53" t="s" ph="1">
        <v>40</v>
      </c>
      <c r="B11" s="284" ph="1"/>
      <c r="C11" s="198" t="s" ph="1">
        <v>44</v>
      </c>
      <c r="D11" s="149">
        <v>28</v>
      </c>
      <c r="E11" s="149">
        <v>30</v>
      </c>
      <c r="F11" s="149">
        <v>26</v>
      </c>
      <c r="G11" s="149">
        <v>26</v>
      </c>
      <c r="H11" s="149">
        <v>29</v>
      </c>
      <c r="I11" s="149">
        <v>30</v>
      </c>
      <c r="J11" s="149">
        <v>26</v>
      </c>
      <c r="K11" s="149">
        <v>25</v>
      </c>
      <c r="L11" s="149">
        <v>26</v>
      </c>
      <c r="M11" s="149">
        <v>30</v>
      </c>
      <c r="N11" s="149">
        <v>26</v>
      </c>
      <c r="O11" s="149">
        <v>29</v>
      </c>
      <c r="P11" s="149">
        <v>29</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98" t="s" ph="1">
        <v>1</v>
      </c>
      <c r="F14" s="88" t="s" ph="1">
        <v>28</v>
      </c>
      <c r="G14" s="86" t="s" ph="1">
        <v>0</v>
      </c>
      <c r="H14" s="198" t="s" ph="1">
        <v>1</v>
      </c>
      <c r="I14" s="199" t="s" ph="1">
        <v>28</v>
      </c>
      <c r="J14" s="86" t="s" ph="1">
        <v>0</v>
      </c>
      <c r="K14" s="198" t="s" ph="1">
        <v>1</v>
      </c>
      <c r="L14" s="199" t="s" ph="1">
        <v>28</v>
      </c>
      <c r="M14" s="86" t="s" ph="1">
        <v>0</v>
      </c>
      <c r="N14" s="198" t="s" ph="1">
        <v>1</v>
      </c>
      <c r="O14" s="199" t="s" ph="1">
        <v>28</v>
      </c>
      <c r="P14" s="86" t="s" ph="1">
        <v>0</v>
      </c>
      <c r="Q14" s="87" t="s" ph="1">
        <v>1</v>
      </c>
      <c r="R14" s="88" t="s" ph="1">
        <v>28</v>
      </c>
      <c r="S14" s="86" t="s" ph="1">
        <v>0</v>
      </c>
      <c r="T14" s="198" t="s" ph="1">
        <v>1</v>
      </c>
      <c r="U14" s="88" t="s" ph="1">
        <v>28</v>
      </c>
    </row>
    <row r="15" spans="1:43" ph="1">
      <c r="A15" s="53"/>
      <c r="B15" s="300" t="s" ph="1">
        <v>46</v>
      </c>
      <c r="C15" s="301" ph="1"/>
      <c r="D15" s="241" ph="1">
        <f>O10+P10</f>
        <v>365762.18263399997</v>
      </c>
      <c r="E15" s="233" ph="1">
        <f>H10+I10+J10+K10</f>
        <v>86631.202156777159</v>
      </c>
      <c r="F15" s="257" ph="1">
        <f>L10+N10</f>
        <v>119649.326342</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200" ph="1"/>
      <c r="P18" s="90" ph="1"/>
      <c r="Q18" s="200" t="s" ph="1">
        <v>50</v>
      </c>
      <c r="R18" s="218" t="s" ph="1">
        <v>176</v>
      </c>
      <c r="S18" s="218" ph="1"/>
    </row>
    <row r="19" spans="1:21" s="200"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408" priority="72">
      <formula>ABS(D$7-D$10)&gt;=1000</formula>
    </cfRule>
  </conditionalFormatting>
  <conditionalFormatting sqref="E4">
    <cfRule type="expression" dxfId="407" priority="71">
      <formula>ABS(E$7-E$10)&gt;=1000</formula>
    </cfRule>
  </conditionalFormatting>
  <conditionalFormatting sqref="F4">
    <cfRule type="expression" dxfId="406" priority="70">
      <formula>ABS(F$7-F$10)&gt;=1000</formula>
    </cfRule>
  </conditionalFormatting>
  <conditionalFormatting sqref="G4">
    <cfRule type="expression" dxfId="405" priority="69">
      <formula>ABS(G$7-G$10)&gt;=1000</formula>
    </cfRule>
  </conditionalFormatting>
  <conditionalFormatting sqref="H4:K4">
    <cfRule type="expression" dxfId="404" priority="68">
      <formula>ABS(H$7-H$10)&gt;=1000</formula>
    </cfRule>
  </conditionalFormatting>
  <conditionalFormatting sqref="I8">
    <cfRule type="expression" dxfId="403" priority="67">
      <formula>ABS(I$7-I$10)&gt;=1000</formula>
    </cfRule>
  </conditionalFormatting>
  <conditionalFormatting sqref="L4:L5 M4:N4">
    <cfRule type="expression" dxfId="402" priority="66">
      <formula>ABS(L$7-L$10)&gt;=1000</formula>
    </cfRule>
  </conditionalFormatting>
  <conditionalFormatting sqref="M5">
    <cfRule type="expression" dxfId="401" priority="65">
      <formula>ABS(M$7-M$10)&gt;=1000</formula>
    </cfRule>
  </conditionalFormatting>
  <conditionalFormatting sqref="N5">
    <cfRule type="expression" dxfId="400" priority="64">
      <formula>ABS(N$7-N$10)&gt;=1000</formula>
    </cfRule>
  </conditionalFormatting>
  <conditionalFormatting sqref="D5">
    <cfRule type="expression" dxfId="399" priority="63">
      <formula>ABS(D$7-D$10)&gt;=1000</formula>
    </cfRule>
  </conditionalFormatting>
  <conditionalFormatting sqref="E5:G5">
    <cfRule type="expression" dxfId="398" priority="62">
      <formula>ABS(E$7-E$10)&gt;=1000</formula>
    </cfRule>
  </conditionalFormatting>
  <conditionalFormatting sqref="H5">
    <cfRule type="expression" dxfId="397" priority="61">
      <formula>ABS(H$7-H$10)&gt;=1000</formula>
    </cfRule>
  </conditionalFormatting>
  <conditionalFormatting sqref="O4:P4">
    <cfRule type="expression" dxfId="396" priority="60">
      <formula>ABS(O$7-O$10)&gt;=1000</formula>
    </cfRule>
  </conditionalFormatting>
  <conditionalFormatting sqref="O5">
    <cfRule type="expression" dxfId="395" priority="59">
      <formula>ABS(O$7-O$10)&gt;=1000</formula>
    </cfRule>
  </conditionalFormatting>
  <conditionalFormatting sqref="I6">
    <cfRule type="expression" dxfId="394" priority="58">
      <formula>ABS(I$7-I$10)&gt;=1000</formula>
    </cfRule>
  </conditionalFormatting>
  <conditionalFormatting sqref="P5">
    <cfRule type="expression" dxfId="393" priority="57">
      <formula>ABS(P$7-P$10)&gt;=1000</formula>
    </cfRule>
  </conditionalFormatting>
  <conditionalFormatting sqref="I5">
    <cfRule type="expression" dxfId="392" priority="56">
      <formula>ABS(I$7-I$10)&gt;=1000</formula>
    </cfRule>
  </conditionalFormatting>
  <conditionalFormatting sqref="D6 D8">
    <cfRule type="expression" dxfId="391" priority="55">
      <formula>ABS(D$7-D$10)&gt;=1000</formula>
    </cfRule>
  </conditionalFormatting>
  <conditionalFormatting sqref="E6 E8">
    <cfRule type="expression" dxfId="390" priority="54">
      <formula>ABS(E$7-E$10)&gt;=1000</formula>
    </cfRule>
  </conditionalFormatting>
  <conditionalFormatting sqref="F6 F8">
    <cfRule type="expression" dxfId="389" priority="53">
      <formula>ABS(F$7-F$10)&gt;=1000</formula>
    </cfRule>
  </conditionalFormatting>
  <conditionalFormatting sqref="G6 G8">
    <cfRule type="expression" dxfId="388" priority="52">
      <formula>ABS(G$7-G$10)&gt;=1000</formula>
    </cfRule>
  </conditionalFormatting>
  <conditionalFormatting sqref="H8">
    <cfRule type="expression" dxfId="387" priority="51">
      <formula>ABS(H$7-H$10)&gt;=1000</formula>
    </cfRule>
  </conditionalFormatting>
  <conditionalFormatting sqref="H6">
    <cfRule type="expression" dxfId="386" priority="50">
      <formula>ABS(H$7-H$10)&gt;=1000</formula>
    </cfRule>
  </conditionalFormatting>
  <conditionalFormatting sqref="J8">
    <cfRule type="expression" dxfId="385" priority="49">
      <formula>ABS(J$7-J$10)&gt;=1000</formula>
    </cfRule>
  </conditionalFormatting>
  <conditionalFormatting sqref="K8">
    <cfRule type="expression" dxfId="384" priority="48">
      <formula>ABS(K$7-K$10)&gt;=1000</formula>
    </cfRule>
  </conditionalFormatting>
  <conditionalFormatting sqref="L8">
    <cfRule type="expression" dxfId="383" priority="47">
      <formula>ABS(L$7-L$10)&gt;=1000</formula>
    </cfRule>
  </conditionalFormatting>
  <conditionalFormatting sqref="M8">
    <cfRule type="expression" dxfId="382" priority="46">
      <formula>ABS(M$7-M$10)&gt;=1000</formula>
    </cfRule>
  </conditionalFormatting>
  <conditionalFormatting sqref="N8">
    <cfRule type="expression" dxfId="381" priority="45">
      <formula>ABS(N$7-N$10)&gt;=1000</formula>
    </cfRule>
  </conditionalFormatting>
  <conditionalFormatting sqref="O8">
    <cfRule type="expression" dxfId="380" priority="44">
      <formula>ABS(O$7-O$10)&gt;=1000</formula>
    </cfRule>
  </conditionalFormatting>
  <conditionalFormatting sqref="P8">
    <cfRule type="expression" dxfId="379" priority="43">
      <formula>ABS(P$7-P$10)&gt;=1000</formula>
    </cfRule>
  </conditionalFormatting>
  <conditionalFormatting sqref="J6">
    <cfRule type="expression" dxfId="378" priority="42">
      <formula>ABS(J$7-J$10)&gt;=1000</formula>
    </cfRule>
  </conditionalFormatting>
  <conditionalFormatting sqref="K6">
    <cfRule type="expression" dxfId="377" priority="41">
      <formula>ABS(K$7-K$10)&gt;=1000</formula>
    </cfRule>
  </conditionalFormatting>
  <conditionalFormatting sqref="L6">
    <cfRule type="expression" dxfId="376" priority="40">
      <formula>ABS(L$7-L$10)&gt;=1000</formula>
    </cfRule>
  </conditionalFormatting>
  <conditionalFormatting sqref="M6">
    <cfRule type="expression" dxfId="375" priority="39">
      <formula>ABS(M$7-M$10)&gt;=1000</formula>
    </cfRule>
  </conditionalFormatting>
  <conditionalFormatting sqref="N6">
    <cfRule type="expression" dxfId="374" priority="38">
      <formula>ABS(N$7-N$10)&gt;=1000</formula>
    </cfRule>
  </conditionalFormatting>
  <conditionalFormatting sqref="O6">
    <cfRule type="expression" dxfId="373" priority="37">
      <formula>ABS(O$7-O$10)&gt;=1000</formula>
    </cfRule>
  </conditionalFormatting>
  <conditionalFormatting sqref="P6">
    <cfRule type="expression" dxfId="372" priority="36">
      <formula>ABS(P$7-P$10)&gt;=1000</formula>
    </cfRule>
  </conditionalFormatting>
  <conditionalFormatting sqref="L7">
    <cfRule type="expression" dxfId="371" priority="35">
      <formula>ABS(L$7-L$10)&gt;=1000</formula>
    </cfRule>
  </conditionalFormatting>
  <conditionalFormatting sqref="M7">
    <cfRule type="expression" dxfId="370" priority="34">
      <formula>ABS(M$7-M$10)&gt;=1000</formula>
    </cfRule>
  </conditionalFormatting>
  <conditionalFormatting sqref="O7:P7">
    <cfRule type="expression" dxfId="369" priority="33">
      <formula>ABS(O$7-O$10)&gt;=1000</formula>
    </cfRule>
  </conditionalFormatting>
  <conditionalFormatting sqref="N7">
    <cfRule type="expression" dxfId="368" priority="32">
      <formula>ABS(N$7-N$10)&gt;=1000</formula>
    </cfRule>
  </conditionalFormatting>
  <conditionalFormatting sqref="H7:K7">
    <cfRule type="expression" dxfId="367" priority="31">
      <formula>ABS(H$7-H$10)&gt;=1000</formula>
    </cfRule>
  </conditionalFormatting>
  <conditionalFormatting sqref="D7:G7">
    <cfRule type="expression" dxfId="366" priority="30">
      <formula>ABS(D$7-D$10)&gt;=1000</formula>
    </cfRule>
  </conditionalFormatting>
  <conditionalFormatting sqref="J5:K5">
    <cfRule type="expression" dxfId="365" priority="29">
      <formula>ABS(J$7-J$10)&gt;=1000</formula>
    </cfRule>
  </conditionalFormatting>
  <conditionalFormatting sqref="D9 D11">
    <cfRule type="expression" dxfId="364" priority="28">
      <formula>ABS(D$7-D$10)&gt;=1000</formula>
    </cfRule>
  </conditionalFormatting>
  <conditionalFormatting sqref="E9 E11">
    <cfRule type="expression" dxfId="363" priority="27">
      <formula>ABS(E$7-E$10)&gt;=1000</formula>
    </cfRule>
  </conditionalFormatting>
  <conditionalFormatting sqref="F9 F11">
    <cfRule type="expression" dxfId="362" priority="26">
      <formula>ABS(F$7-F$10)&gt;=1000</formula>
    </cfRule>
  </conditionalFormatting>
  <conditionalFormatting sqref="G9 G11">
    <cfRule type="expression" dxfId="361" priority="25">
      <formula>ABS(G$7-G$10)&gt;=1000</formula>
    </cfRule>
  </conditionalFormatting>
  <conditionalFormatting sqref="H11">
    <cfRule type="expression" dxfId="360" priority="24">
      <formula>ABS(H$7-H$10)&gt;=1000</formula>
    </cfRule>
  </conditionalFormatting>
  <conditionalFormatting sqref="I11">
    <cfRule type="expression" dxfId="359" priority="23">
      <formula>ABS(I$7-I$10)&gt;=1000</formula>
    </cfRule>
  </conditionalFormatting>
  <conditionalFormatting sqref="J11">
    <cfRule type="expression" dxfId="358" priority="22">
      <formula>ABS(J$7-J$10)&gt;=1000</formula>
    </cfRule>
  </conditionalFormatting>
  <conditionalFormatting sqref="K11">
    <cfRule type="expression" dxfId="357" priority="21">
      <formula>ABS(K$7-K$10)&gt;=1000</formula>
    </cfRule>
  </conditionalFormatting>
  <conditionalFormatting sqref="L11">
    <cfRule type="expression" dxfId="356" priority="20">
      <formula>ABS(L$7-L$10)&gt;=1000</formula>
    </cfRule>
  </conditionalFormatting>
  <conditionalFormatting sqref="M11">
    <cfRule type="expression" dxfId="355" priority="19">
      <formula>ABS(M$7-M$10)&gt;=1000</formula>
    </cfRule>
  </conditionalFormatting>
  <conditionalFormatting sqref="N11">
    <cfRule type="expression" dxfId="354" priority="18">
      <formula>ABS(N$7-N$10)&gt;=1000</formula>
    </cfRule>
  </conditionalFormatting>
  <conditionalFormatting sqref="O11">
    <cfRule type="expression" dxfId="353" priority="17">
      <formula>ABS(O$7-O$10)&gt;=1000</formula>
    </cfRule>
  </conditionalFormatting>
  <conditionalFormatting sqref="P11">
    <cfRule type="expression" dxfId="352" priority="16">
      <formula>ABS(P$7-P$10)&gt;=1000</formula>
    </cfRule>
  </conditionalFormatting>
  <conditionalFormatting sqref="H9">
    <cfRule type="expression" dxfId="351" priority="15">
      <formula>ABS(H$7-H$10)&gt;=1000</formula>
    </cfRule>
  </conditionalFormatting>
  <conditionalFormatting sqref="J9">
    <cfRule type="expression" dxfId="350" priority="14">
      <formula>ABS(J$7-J$10)&gt;=1000</formula>
    </cfRule>
  </conditionalFormatting>
  <conditionalFormatting sqref="K9">
    <cfRule type="expression" dxfId="349" priority="13">
      <formula>ABS(K$7-K$10)&gt;=1000</formula>
    </cfRule>
  </conditionalFormatting>
  <conditionalFormatting sqref="L9">
    <cfRule type="expression" dxfId="348" priority="12">
      <formula>ABS(L$7-L$10)&gt;=1000</formula>
    </cfRule>
  </conditionalFormatting>
  <conditionalFormatting sqref="M9">
    <cfRule type="expression" dxfId="347" priority="11">
      <formula>ABS(M$7-M$10)&gt;=1000</formula>
    </cfRule>
  </conditionalFormatting>
  <conditionalFormatting sqref="N9">
    <cfRule type="expression" dxfId="346" priority="10">
      <formula>ABS(N$7-N$10)&gt;=1000</formula>
    </cfRule>
  </conditionalFormatting>
  <conditionalFormatting sqref="O9">
    <cfRule type="expression" dxfId="345" priority="9">
      <formula>ABS(O$7-O$10)&gt;=1000</formula>
    </cfRule>
  </conditionalFormatting>
  <conditionalFormatting sqref="P9">
    <cfRule type="expression" dxfId="344" priority="8">
      <formula>ABS(P$7-P$10)&gt;=1000</formula>
    </cfRule>
  </conditionalFormatting>
  <conditionalFormatting sqref="I9">
    <cfRule type="expression" dxfId="343" priority="7">
      <formula>ABS(I$7-I$10)&gt;=1000</formula>
    </cfRule>
  </conditionalFormatting>
  <conditionalFormatting sqref="L10">
    <cfRule type="expression" dxfId="342" priority="6">
      <formula>ABS(L$7-L$10)&gt;=1000</formula>
    </cfRule>
  </conditionalFormatting>
  <conditionalFormatting sqref="M10">
    <cfRule type="expression" dxfId="341" priority="5">
      <formula>ABS(M$7-M$10)&gt;=1000</formula>
    </cfRule>
  </conditionalFormatting>
  <conditionalFormatting sqref="O10:P10">
    <cfRule type="expression" dxfId="340" priority="4">
      <formula>ABS(O$7-O$10)&gt;=1000</formula>
    </cfRule>
  </conditionalFormatting>
  <conditionalFormatting sqref="N10">
    <cfRule type="expression" dxfId="339" priority="3">
      <formula>ABS(N$7-N$10)&gt;=1000</formula>
    </cfRule>
  </conditionalFormatting>
  <conditionalFormatting sqref="H10:K10">
    <cfRule type="expression" dxfId="338" priority="2">
      <formula>ABS(H$7-H$10)&gt;=1000</formula>
    </cfRule>
  </conditionalFormatting>
  <conditionalFormatting sqref="D10:G10">
    <cfRule type="expression" dxfId="337" priority="1">
      <formula>ABS(D$7-D$10)&gt;=1000</formula>
    </cfRule>
  </conditionalFormatting>
  <conditionalFormatting sqref="I12">
    <cfRule type="expression" dxfId="336" priority="73">
      <formula>ABS(#REF!-#REF!)&gt;=1000</formula>
    </cfRule>
  </conditionalFormatting>
  <conditionalFormatting sqref="D6">
    <cfRule type="expression" dxfId="335" priority="82" stopIfTrue="1">
      <formula>MOD(ROUND($D$6*100,2),1)=0</formula>
    </cfRule>
  </conditionalFormatting>
  <conditionalFormatting sqref="E6">
    <cfRule type="expression" dxfId="334" priority="83" stopIfTrue="1">
      <formula>MOD(ROUND($E$6*100,2),1)=0</formula>
    </cfRule>
  </conditionalFormatting>
  <conditionalFormatting sqref="F6">
    <cfRule type="expression" dxfId="333" priority="84" stopIfTrue="1">
      <formula>MOD(ROUND($F$6*100,2),1)=0</formula>
    </cfRule>
  </conditionalFormatting>
  <conditionalFormatting sqref="G6">
    <cfRule type="expression" dxfId="332" priority="85" stopIfTrue="1">
      <formula>MOD(ROUND($G$6*100,2),1)=0</formula>
    </cfRule>
  </conditionalFormatting>
  <conditionalFormatting sqref="D9">
    <cfRule type="expression" dxfId="331" priority="86" stopIfTrue="1">
      <formula>MOD(ROUND($D$9*100,2),1)=0</formula>
    </cfRule>
  </conditionalFormatting>
  <conditionalFormatting sqref="E9">
    <cfRule type="expression" dxfId="330" priority="87" stopIfTrue="1">
      <formula>MOD(ROUND($E$9*100,2),1)=0</formula>
    </cfRule>
  </conditionalFormatting>
  <conditionalFormatting sqref="F9">
    <cfRule type="expression" dxfId="329" priority="88" stopIfTrue="1">
      <formula>MOD(ROUND($F$9*100,2),1)=0</formula>
    </cfRule>
  </conditionalFormatting>
  <conditionalFormatting sqref="G9">
    <cfRule type="expression" dxfId="328"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53569"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53569" r:id="rId4" name="CommandButton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19">
    <pageSetUpPr fitToPage="1"/>
  </sheetPr>
  <dimension ref="A1:AQ205"/>
  <sheetViews>
    <sheetView view="pageBreakPreview" zoomScaleNormal="100" zoomScaleSheetLayoutView="100" workbookViewId="0">
      <selection activeCell="N11" sqref="N11"/>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46260</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98" t="s" ph="1">
        <v>42</v>
      </c>
      <c r="D6" s="151">
        <v>0.93340000000000001</v>
      </c>
      <c r="E6" s="151">
        <v>8.6199999999999999E-2</v>
      </c>
      <c r="F6" s="151">
        <v>0.98699999999999999</v>
      </c>
      <c r="G6" s="151">
        <v>0.98480000000000001</v>
      </c>
      <c r="H6" s="150">
        <v>2675</v>
      </c>
      <c r="I6" s="150">
        <v>2519</v>
      </c>
      <c r="J6" s="150">
        <v>3308</v>
      </c>
      <c r="K6" s="150">
        <v>285</v>
      </c>
      <c r="L6" s="150">
        <v>5412</v>
      </c>
      <c r="M6" s="150">
        <v>1609</v>
      </c>
      <c r="N6" s="150">
        <v>763</v>
      </c>
      <c r="O6" s="150">
        <v>1114</v>
      </c>
      <c r="P6" s="150">
        <v>4322</v>
      </c>
      <c r="Q6" s="294"/>
      <c r="R6" s="295"/>
      <c r="S6" s="295"/>
      <c r="T6" s="295"/>
      <c r="U6" s="296"/>
    </row>
    <row r="7" spans="1:43" s="61" customFormat="1" ht="25.95" customHeight="1" ph="1">
      <c r="B7" s="284" ph="1"/>
      <c r="C7" s="57" t="s" ph="1">
        <v>43</v>
      </c>
      <c r="D7" s="62" ph="1">
        <f>((D6*5885)*4.48)*LOOKUP(D8,密度!$A$2:$A$50,密度!$B$2:$B$50)</f>
        <v>19079.283519296001</v>
      </c>
      <c r="E7" s="62" ph="1">
        <f>((E6*5885)*4.48)*LOOKUP(E8,密度!$A$2:$A$50,密度!$B$2:$B$50)</f>
        <v>1764.0276389120002</v>
      </c>
      <c r="F7" s="62" ph="1">
        <f>((F6*5885)*4.48)*LOOKUP(F8,密度!$A$2:$A$50,密度!$B$2:$B$50)</f>
        <v>20286.796104960002</v>
      </c>
      <c r="G7" s="62" ph="1">
        <f>((G6*5885)*4.48)*LOOKUP(G8,密度!$A$2:$A$50,密度!$B$2:$B$50)</f>
        <v>20218.209659648001</v>
      </c>
      <c r="H7" s="62" ph="1">
        <f>IF(H6&lt;=0,0,IF(H6&lt;=745,PI()*(5.3235*(H6/1000)^2-(4/3)*(H6/1000)^3),7.55+15.2053*((H6-745)/1000))*LOOKUP(H8,密度!$A$2:$A$50,密度!$B$2:$B$50)*1000)</f>
        <v>28668.369933000002</v>
      </c>
      <c r="I7" s="62" ph="1">
        <f>IF(I6&lt;=0,0,IF(I6&lt;=745,PI()*(5.3235*(I6/1000)^2-(4/3)*(I6/1000)^3),7.55+15.2053*((I6-745)/1000))*LOOKUP(I8,密度!$A$2:$A$50,密度!$B$2:$B$50)*1000)</f>
        <v>26797.68574764</v>
      </c>
      <c r="J7" s="62" ph="1">
        <f>IF(J6&lt;=0,0,IF(J6&lt;=745,PI()*(5.3235*(J6/1000)^2-(4/3)*(J6/1000)^3),7.55+15.2053*((J6-745)/1000))*LOOKUP(J8,密度!$A$2:$A$50,密度!$B$2:$B$50)*1000)</f>
        <v>36226.045902929996</v>
      </c>
      <c r="K7" s="62" ph="1">
        <f>IF(K6&lt;=0,0,IF(K6&lt;=745,PI()*(5.3235*(K6/1000)^2-(4/3)*(K6/1000)^3),7.55+15.2053*((K6-745)/1000))*LOOKUP(K8,密度!$A$2:$A$50,密度!$B$2:$B$50)*1000)</f>
        <v>982.30036608323337</v>
      </c>
      <c r="L7" s="62" ph="1">
        <f>L6*26.42*LOOKUP(L8,密度!$A$2:$A$50,密度!$B$2:$B$50)</f>
        <v>111342.450648</v>
      </c>
      <c r="M7" s="62" ph="1">
        <f>M6*26.42*1</f>
        <v>42509.780000000006</v>
      </c>
      <c r="N7" s="62" ph="1">
        <f>N6*18.32*LOOKUP(N8,密度!$A$2:$A$50,密度!$B$2:$B$50)</f>
        <v>10884.793191999999</v>
      </c>
      <c r="O7" s="62" ph="1">
        <f>O6*81.71*LOOKUP(O8,密度!$A$2:$A$50,密度!$B$2:$B$50)</f>
        <v>70653.558427999989</v>
      </c>
      <c r="P7" s="62" ph="1">
        <f>P6*81.71*LOOKUP(P8,密度!$A$2:$A$50,密度!$B$2:$B$50)</f>
        <v>274115.51124399999</v>
      </c>
      <c r="Q7" s="294"/>
      <c r="R7" s="295"/>
      <c r="S7" s="295"/>
      <c r="T7" s="295"/>
      <c r="U7" s="296"/>
    </row>
    <row r="8" spans="1:43" ht="25.95" customHeight="1" ph="1">
      <c r="B8" s="284" ph="1"/>
      <c r="C8" s="57" t="s" ph="1">
        <v>44</v>
      </c>
      <c r="D8" s="149">
        <v>30</v>
      </c>
      <c r="E8" s="149">
        <v>29</v>
      </c>
      <c r="F8" s="149">
        <v>25</v>
      </c>
      <c r="G8" s="149">
        <v>26</v>
      </c>
      <c r="H8" s="149">
        <v>28</v>
      </c>
      <c r="I8" s="149">
        <v>29</v>
      </c>
      <c r="J8" s="149">
        <v>26</v>
      </c>
      <c r="K8" s="149">
        <v>26</v>
      </c>
      <c r="L8" s="149">
        <v>26</v>
      </c>
      <c r="M8" s="149">
        <v>29</v>
      </c>
      <c r="N8" s="149">
        <v>26</v>
      </c>
      <c r="O8" s="149">
        <v>29</v>
      </c>
      <c r="P8" s="149">
        <v>29</v>
      </c>
      <c r="Q8" s="294"/>
      <c r="R8" s="295"/>
      <c r="S8" s="295"/>
      <c r="T8" s="295"/>
      <c r="U8" s="296"/>
    </row>
    <row r="9" spans="1:43" ht="25.95" customHeight="1" ph="1">
      <c r="B9" s="284" ph="1">
        <v>0.66666666666666663</v>
      </c>
      <c r="C9" s="198" t="s" ph="1">
        <v>45</v>
      </c>
      <c r="D9" s="151">
        <v>0.92260000000000009</v>
      </c>
      <c r="E9" s="151">
        <v>0.5534</v>
      </c>
      <c r="F9" s="151">
        <v>0.98780000000000001</v>
      </c>
      <c r="G9" s="151">
        <v>0.98549999999999993</v>
      </c>
      <c r="H9" s="150">
        <v>1960</v>
      </c>
      <c r="I9" s="150">
        <v>1451</v>
      </c>
      <c r="J9" s="150">
        <v>3309</v>
      </c>
      <c r="K9" s="150">
        <v>288</v>
      </c>
      <c r="L9" s="150">
        <v>5479</v>
      </c>
      <c r="M9" s="150">
        <v>1608</v>
      </c>
      <c r="N9" s="150">
        <v>831</v>
      </c>
      <c r="O9" s="150">
        <v>1494</v>
      </c>
      <c r="P9" s="150">
        <v>4326</v>
      </c>
      <c r="Q9" s="294"/>
      <c r="R9" s="295"/>
      <c r="S9" s="295"/>
      <c r="T9" s="295"/>
      <c r="U9" s="296"/>
    </row>
    <row r="10" spans="1:43" s="61" customFormat="1" ht="25.95" customHeight="1" ph="1">
      <c r="B10" s="284" ph="1"/>
      <c r="C10" s="198" t="s" ph="1">
        <v>43</v>
      </c>
      <c r="D10" s="62" ph="1">
        <f>((D9*5885)*4.48)*LOOKUP(D11,密度!$A$2:$A$50,密度!$B$2:$B$50)</f>
        <v>18858.524721344002</v>
      </c>
      <c r="E10" s="62" ph="1">
        <f>((E9*5885)*4.48)*LOOKUP(E11,密度!$A$2:$A$50,密度!$B$2:$B$50)</f>
        <v>11273.909603264003</v>
      </c>
      <c r="F10" s="62" ph="1">
        <f>((F9*5885)*4.48)*LOOKUP(F11,密度!$A$2:$A$50,密度!$B$2:$B$50)</f>
        <v>20279.800468928002</v>
      </c>
      <c r="G10" s="62" ph="1">
        <f>((G9*5885)*4.48)*LOOKUP(G11,密度!$A$2:$A$50,密度!$B$2:$B$50)</f>
        <v>20211.794840160001</v>
      </c>
      <c r="H10" s="62" ph="1">
        <f>IF(H9&lt;=0,0,IF(H9&lt;=745,PI()*(5.3235*(H9/1000)^2-(4/3)*(H9/1000)^3),7.55+15.2053*((H9-745)/1000))*LOOKUP(H11,密度!$A$2:$A$50,密度!$B$2:$B$50)*1000)</f>
        <v>20176.747944349998</v>
      </c>
      <c r="I10" s="62" ph="1">
        <f>IF(I9&lt;=0,0,IF(I9&lt;=745,PI()*(5.3235*(I9/1000)^2-(4/3)*(I9/1000)^3),7.55+15.2053*((I9-745)/1000))*LOOKUP(I11,密度!$A$2:$A$50,密度!$B$2:$B$50)*1000)</f>
        <v>14143.4024823</v>
      </c>
      <c r="J10" s="62" ph="1">
        <f>IF(J9&lt;=0,0,IF(J9&lt;=745,PI()*(5.3235*(J9/1000)^2-(4/3)*(J9/1000)^3),7.55+15.2053*((J9-745)/1000))*LOOKUP(J11,密度!$A$2:$A$50,密度!$B$2:$B$50)*1000)</f>
        <v>36237.886270039991</v>
      </c>
      <c r="K10" s="62" ph="1">
        <f>IF(K9&lt;=0,0,IF(K9&lt;=745,PI()*(5.3235*(K9/1000)^2-(4/3)*(K9/1000)^3),7.55+15.2053*((K9-745)/1000))*LOOKUP(K11,密度!$A$2:$A$50,密度!$B$2:$B$50)*1000)</f>
        <v>995.58456750231369</v>
      </c>
      <c r="L10" s="62" ph="1">
        <f>L9*26.42*LOOKUP(L11,密度!$A$2:$A$50,密度!$B$2:$B$50)</f>
        <v>112605.05452200002</v>
      </c>
      <c r="M10" s="62" ph="1">
        <f>M9*26.42*1</f>
        <v>42483.360000000001</v>
      </c>
      <c r="N10" s="62" ph="1">
        <f>N9*18.32*LOOKUP(N11,密度!$A$2:$A$50,密度!$B$2:$B$50)</f>
        <v>11854.866504</v>
      </c>
      <c r="O10" s="62" ph="1">
        <f>O9*81.71*LOOKUP(O11,密度!$A$2:$A$50,密度!$B$2:$B$50)</f>
        <v>94852.072979999997</v>
      </c>
      <c r="P10" s="62" ph="1">
        <f>P9*81.71*LOOKUP(P11,密度!$A$2:$A$50,密度!$B$2:$B$50)</f>
        <v>274369.20445199998</v>
      </c>
      <c r="Q10" s="294"/>
      <c r="R10" s="295"/>
      <c r="S10" s="295"/>
      <c r="T10" s="295"/>
      <c r="U10" s="296"/>
    </row>
    <row r="11" spans="1:43" ht="25.95" customHeight="1" ph="1">
      <c r="A11" s="53" t="s" ph="1">
        <v>40</v>
      </c>
      <c r="B11" s="284" ph="1"/>
      <c r="C11" s="198" t="s" ph="1">
        <v>44</v>
      </c>
      <c r="D11" s="149">
        <v>30</v>
      </c>
      <c r="E11" s="149">
        <v>33</v>
      </c>
      <c r="F11" s="149">
        <v>26</v>
      </c>
      <c r="G11" s="149">
        <v>27</v>
      </c>
      <c r="H11" s="149">
        <v>30</v>
      </c>
      <c r="I11" s="149">
        <v>32</v>
      </c>
      <c r="J11" s="149">
        <v>26</v>
      </c>
      <c r="K11" s="149">
        <v>32</v>
      </c>
      <c r="L11" s="149">
        <v>27</v>
      </c>
      <c r="M11" s="149">
        <v>30</v>
      </c>
      <c r="N11" s="149">
        <v>26</v>
      </c>
      <c r="O11" s="149">
        <v>28</v>
      </c>
      <c r="P11" s="149">
        <v>29</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98" t="s" ph="1">
        <v>1</v>
      </c>
      <c r="F14" s="88" t="s" ph="1">
        <v>28</v>
      </c>
      <c r="G14" s="86" t="s" ph="1">
        <v>0</v>
      </c>
      <c r="H14" s="198" t="s" ph="1">
        <v>1</v>
      </c>
      <c r="I14" s="199" t="s" ph="1">
        <v>28</v>
      </c>
      <c r="J14" s="86" t="s" ph="1">
        <v>0</v>
      </c>
      <c r="K14" s="198" t="s" ph="1">
        <v>1</v>
      </c>
      <c r="L14" s="199" t="s" ph="1">
        <v>28</v>
      </c>
      <c r="M14" s="86" t="s" ph="1">
        <v>0</v>
      </c>
      <c r="N14" s="198" t="s" ph="1">
        <v>1</v>
      </c>
      <c r="O14" s="199" t="s" ph="1">
        <v>28</v>
      </c>
      <c r="P14" s="86" t="s" ph="1">
        <v>0</v>
      </c>
      <c r="Q14" s="87" t="s" ph="1">
        <v>1</v>
      </c>
      <c r="R14" s="88" t="s" ph="1">
        <v>28</v>
      </c>
      <c r="S14" s="86" t="s" ph="1">
        <v>0</v>
      </c>
      <c r="T14" s="198" t="s" ph="1">
        <v>1</v>
      </c>
      <c r="U14" s="88" t="s" ph="1">
        <v>28</v>
      </c>
    </row>
    <row r="15" spans="1:43" ph="1">
      <c r="A15" s="53"/>
      <c r="B15" s="300" t="s" ph="1">
        <v>46</v>
      </c>
      <c r="C15" s="301" ph="1"/>
      <c r="D15" s="241" ph="1">
        <f>O10+P10</f>
        <v>369221.27743199997</v>
      </c>
      <c r="E15" s="233" ph="1">
        <f>H10+I10+J10+K10</f>
        <v>71553.621264192305</v>
      </c>
      <c r="F15" s="257" ph="1">
        <f>L10+N10</f>
        <v>124459.92102600003</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200" ph="1"/>
      <c r="P18" s="90" ph="1"/>
      <c r="Q18" s="200" t="s" ph="1">
        <v>50</v>
      </c>
      <c r="R18" s="218" t="s" ph="1">
        <v>176</v>
      </c>
      <c r="S18" s="218" ph="1"/>
    </row>
    <row r="19" spans="1:21" s="200"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327" priority="72">
      <formula>ABS(D$7-D$10)&gt;=1000</formula>
    </cfRule>
  </conditionalFormatting>
  <conditionalFormatting sqref="E4">
    <cfRule type="expression" dxfId="326" priority="71">
      <formula>ABS(E$7-E$10)&gt;=1000</formula>
    </cfRule>
  </conditionalFormatting>
  <conditionalFormatting sqref="F4">
    <cfRule type="expression" dxfId="325" priority="70">
      <formula>ABS(F$7-F$10)&gt;=1000</formula>
    </cfRule>
  </conditionalFormatting>
  <conditionalFormatting sqref="G4">
    <cfRule type="expression" dxfId="324" priority="69">
      <formula>ABS(G$7-G$10)&gt;=1000</formula>
    </cfRule>
  </conditionalFormatting>
  <conditionalFormatting sqref="H4:K4">
    <cfRule type="expression" dxfId="323" priority="68">
      <formula>ABS(H$7-H$10)&gt;=1000</formula>
    </cfRule>
  </conditionalFormatting>
  <conditionalFormatting sqref="I8">
    <cfRule type="expression" dxfId="322" priority="67">
      <formula>ABS(I$7-I$10)&gt;=1000</formula>
    </cfRule>
  </conditionalFormatting>
  <conditionalFormatting sqref="L4:L5 M4:N4">
    <cfRule type="expression" dxfId="321" priority="66">
      <formula>ABS(L$7-L$10)&gt;=1000</formula>
    </cfRule>
  </conditionalFormatting>
  <conditionalFormatting sqref="M5">
    <cfRule type="expression" dxfId="320" priority="65">
      <formula>ABS(M$7-M$10)&gt;=1000</formula>
    </cfRule>
  </conditionalFormatting>
  <conditionalFormatting sqref="N5">
    <cfRule type="expression" dxfId="319" priority="64">
      <formula>ABS(N$7-N$10)&gt;=1000</formula>
    </cfRule>
  </conditionalFormatting>
  <conditionalFormatting sqref="D5">
    <cfRule type="expression" dxfId="318" priority="63">
      <formula>ABS(D$7-D$10)&gt;=1000</formula>
    </cfRule>
  </conditionalFormatting>
  <conditionalFormatting sqref="E5:G5">
    <cfRule type="expression" dxfId="317" priority="62">
      <formula>ABS(E$7-E$10)&gt;=1000</formula>
    </cfRule>
  </conditionalFormatting>
  <conditionalFormatting sqref="H5">
    <cfRule type="expression" dxfId="316" priority="61">
      <formula>ABS(H$7-H$10)&gt;=1000</formula>
    </cfRule>
  </conditionalFormatting>
  <conditionalFormatting sqref="O4:P4">
    <cfRule type="expression" dxfId="315" priority="60">
      <formula>ABS(O$7-O$10)&gt;=1000</formula>
    </cfRule>
  </conditionalFormatting>
  <conditionalFormatting sqref="O5">
    <cfRule type="expression" dxfId="314" priority="59">
      <formula>ABS(O$7-O$10)&gt;=1000</formula>
    </cfRule>
  </conditionalFormatting>
  <conditionalFormatting sqref="I6">
    <cfRule type="expression" dxfId="313" priority="58">
      <formula>ABS(I$7-I$10)&gt;=1000</formula>
    </cfRule>
  </conditionalFormatting>
  <conditionalFormatting sqref="P5">
    <cfRule type="expression" dxfId="312" priority="57">
      <formula>ABS(P$7-P$10)&gt;=1000</formula>
    </cfRule>
  </conditionalFormatting>
  <conditionalFormatting sqref="I5">
    <cfRule type="expression" dxfId="311" priority="56">
      <formula>ABS(I$7-I$10)&gt;=1000</formula>
    </cfRule>
  </conditionalFormatting>
  <conditionalFormatting sqref="D6 D8">
    <cfRule type="expression" dxfId="310" priority="55">
      <formula>ABS(D$7-D$10)&gt;=1000</formula>
    </cfRule>
  </conditionalFormatting>
  <conditionalFormatting sqref="E6 E8">
    <cfRule type="expression" dxfId="309" priority="54">
      <formula>ABS(E$7-E$10)&gt;=1000</formula>
    </cfRule>
  </conditionalFormatting>
  <conditionalFormatting sqref="F6 F8">
    <cfRule type="expression" dxfId="308" priority="53">
      <formula>ABS(F$7-F$10)&gt;=1000</formula>
    </cfRule>
  </conditionalFormatting>
  <conditionalFormatting sqref="G6 G8">
    <cfRule type="expression" dxfId="307" priority="52">
      <formula>ABS(G$7-G$10)&gt;=1000</formula>
    </cfRule>
  </conditionalFormatting>
  <conditionalFormatting sqref="H8">
    <cfRule type="expression" dxfId="306" priority="51">
      <formula>ABS(H$7-H$10)&gt;=1000</formula>
    </cfRule>
  </conditionalFormatting>
  <conditionalFormatting sqref="H6">
    <cfRule type="expression" dxfId="305" priority="50">
      <formula>ABS(H$7-H$10)&gt;=1000</formula>
    </cfRule>
  </conditionalFormatting>
  <conditionalFormatting sqref="J8">
    <cfRule type="expression" dxfId="304" priority="49">
      <formula>ABS(J$7-J$10)&gt;=1000</formula>
    </cfRule>
  </conditionalFormatting>
  <conditionalFormatting sqref="K8">
    <cfRule type="expression" dxfId="303" priority="48">
      <formula>ABS(K$7-K$10)&gt;=1000</formula>
    </cfRule>
  </conditionalFormatting>
  <conditionalFormatting sqref="L8">
    <cfRule type="expression" dxfId="302" priority="47">
      <formula>ABS(L$7-L$10)&gt;=1000</formula>
    </cfRule>
  </conditionalFormatting>
  <conditionalFormatting sqref="M8">
    <cfRule type="expression" dxfId="301" priority="46">
      <formula>ABS(M$7-M$10)&gt;=1000</formula>
    </cfRule>
  </conditionalFormatting>
  <conditionalFormatting sqref="N8">
    <cfRule type="expression" dxfId="300" priority="45">
      <formula>ABS(N$7-N$10)&gt;=1000</formula>
    </cfRule>
  </conditionalFormatting>
  <conditionalFormatting sqref="O8">
    <cfRule type="expression" dxfId="299" priority="44">
      <formula>ABS(O$7-O$10)&gt;=1000</formula>
    </cfRule>
  </conditionalFormatting>
  <conditionalFormatting sqref="P8">
    <cfRule type="expression" dxfId="298" priority="43">
      <formula>ABS(P$7-P$10)&gt;=1000</formula>
    </cfRule>
  </conditionalFormatting>
  <conditionalFormatting sqref="J6">
    <cfRule type="expression" dxfId="297" priority="42">
      <formula>ABS(J$7-J$10)&gt;=1000</formula>
    </cfRule>
  </conditionalFormatting>
  <conditionalFormatting sqref="K6">
    <cfRule type="expression" dxfId="296" priority="41">
      <formula>ABS(K$7-K$10)&gt;=1000</formula>
    </cfRule>
  </conditionalFormatting>
  <conditionalFormatting sqref="L6">
    <cfRule type="expression" dxfId="295" priority="40">
      <formula>ABS(L$7-L$10)&gt;=1000</formula>
    </cfRule>
  </conditionalFormatting>
  <conditionalFormatting sqref="M6">
    <cfRule type="expression" dxfId="294" priority="39">
      <formula>ABS(M$7-M$10)&gt;=1000</formula>
    </cfRule>
  </conditionalFormatting>
  <conditionalFormatting sqref="N6">
    <cfRule type="expression" dxfId="293" priority="38">
      <formula>ABS(N$7-N$10)&gt;=1000</formula>
    </cfRule>
  </conditionalFormatting>
  <conditionalFormatting sqref="O6">
    <cfRule type="expression" dxfId="292" priority="37">
      <formula>ABS(O$7-O$10)&gt;=1000</formula>
    </cfRule>
  </conditionalFormatting>
  <conditionalFormatting sqref="P6">
    <cfRule type="expression" dxfId="291" priority="36">
      <formula>ABS(P$7-P$10)&gt;=1000</formula>
    </cfRule>
  </conditionalFormatting>
  <conditionalFormatting sqref="L7">
    <cfRule type="expression" dxfId="290" priority="35">
      <formula>ABS(L$7-L$10)&gt;=1000</formula>
    </cfRule>
  </conditionalFormatting>
  <conditionalFormatting sqref="M7">
    <cfRule type="expression" dxfId="289" priority="34">
      <formula>ABS(M$7-M$10)&gt;=1000</formula>
    </cfRule>
  </conditionalFormatting>
  <conditionalFormatting sqref="O7:P7">
    <cfRule type="expression" dxfId="288" priority="33">
      <formula>ABS(O$7-O$10)&gt;=1000</formula>
    </cfRule>
  </conditionalFormatting>
  <conditionalFormatting sqref="N7">
    <cfRule type="expression" dxfId="287" priority="32">
      <formula>ABS(N$7-N$10)&gt;=1000</formula>
    </cfRule>
  </conditionalFormatting>
  <conditionalFormatting sqref="H7:K7">
    <cfRule type="expression" dxfId="286" priority="31">
      <formula>ABS(H$7-H$10)&gt;=1000</formula>
    </cfRule>
  </conditionalFormatting>
  <conditionalFormatting sqref="D7:G7">
    <cfRule type="expression" dxfId="285" priority="30">
      <formula>ABS(D$7-D$10)&gt;=1000</formula>
    </cfRule>
  </conditionalFormatting>
  <conditionalFormatting sqref="J5:K5">
    <cfRule type="expression" dxfId="284" priority="29">
      <formula>ABS(J$7-J$10)&gt;=1000</formula>
    </cfRule>
  </conditionalFormatting>
  <conditionalFormatting sqref="D9 D11">
    <cfRule type="expression" dxfId="283" priority="28">
      <formula>ABS(D$7-D$10)&gt;=1000</formula>
    </cfRule>
  </conditionalFormatting>
  <conditionalFormatting sqref="E9 E11">
    <cfRule type="expression" dxfId="282" priority="27">
      <formula>ABS(E$7-E$10)&gt;=1000</formula>
    </cfRule>
  </conditionalFormatting>
  <conditionalFormatting sqref="F9 F11">
    <cfRule type="expression" dxfId="281" priority="26">
      <formula>ABS(F$7-F$10)&gt;=1000</formula>
    </cfRule>
  </conditionalFormatting>
  <conditionalFormatting sqref="G9 G11">
    <cfRule type="expression" dxfId="280" priority="25">
      <formula>ABS(G$7-G$10)&gt;=1000</formula>
    </cfRule>
  </conditionalFormatting>
  <conditionalFormatting sqref="H11">
    <cfRule type="expression" dxfId="279" priority="24">
      <formula>ABS(H$7-H$10)&gt;=1000</formula>
    </cfRule>
  </conditionalFormatting>
  <conditionalFormatting sqref="I11">
    <cfRule type="expression" dxfId="278" priority="23">
      <formula>ABS(I$7-I$10)&gt;=1000</formula>
    </cfRule>
  </conditionalFormatting>
  <conditionalFormatting sqref="J11">
    <cfRule type="expression" dxfId="277" priority="22">
      <formula>ABS(J$7-J$10)&gt;=1000</formula>
    </cfRule>
  </conditionalFormatting>
  <conditionalFormatting sqref="K11">
    <cfRule type="expression" dxfId="276" priority="21">
      <formula>ABS(K$7-K$10)&gt;=1000</formula>
    </cfRule>
  </conditionalFormatting>
  <conditionalFormatting sqref="L11">
    <cfRule type="expression" dxfId="275" priority="20">
      <formula>ABS(L$7-L$10)&gt;=1000</formula>
    </cfRule>
  </conditionalFormatting>
  <conditionalFormatting sqref="M11">
    <cfRule type="expression" dxfId="274" priority="19">
      <formula>ABS(M$7-M$10)&gt;=1000</formula>
    </cfRule>
  </conditionalFormatting>
  <conditionalFormatting sqref="N11">
    <cfRule type="expression" dxfId="273" priority="18">
      <formula>ABS(N$7-N$10)&gt;=1000</formula>
    </cfRule>
  </conditionalFormatting>
  <conditionalFormatting sqref="O11">
    <cfRule type="expression" dxfId="272" priority="17">
      <formula>ABS(O$7-O$10)&gt;=1000</formula>
    </cfRule>
  </conditionalFormatting>
  <conditionalFormatting sqref="P11">
    <cfRule type="expression" dxfId="271" priority="16">
      <formula>ABS(P$7-P$10)&gt;=1000</formula>
    </cfRule>
  </conditionalFormatting>
  <conditionalFormatting sqref="H9">
    <cfRule type="expression" dxfId="270" priority="15">
      <formula>ABS(H$7-H$10)&gt;=1000</formula>
    </cfRule>
  </conditionalFormatting>
  <conditionalFormatting sqref="J9">
    <cfRule type="expression" dxfId="269" priority="14">
      <formula>ABS(J$7-J$10)&gt;=1000</formula>
    </cfRule>
  </conditionalFormatting>
  <conditionalFormatting sqref="K9">
    <cfRule type="expression" dxfId="268" priority="13">
      <formula>ABS(K$7-K$10)&gt;=1000</formula>
    </cfRule>
  </conditionalFormatting>
  <conditionalFormatting sqref="L9">
    <cfRule type="expression" dxfId="267" priority="12">
      <formula>ABS(L$7-L$10)&gt;=1000</formula>
    </cfRule>
  </conditionalFormatting>
  <conditionalFormatting sqref="M9">
    <cfRule type="expression" dxfId="266" priority="11">
      <formula>ABS(M$7-M$10)&gt;=1000</formula>
    </cfRule>
  </conditionalFormatting>
  <conditionalFormatting sqref="N9">
    <cfRule type="expression" dxfId="265" priority="10">
      <formula>ABS(N$7-N$10)&gt;=1000</formula>
    </cfRule>
  </conditionalFormatting>
  <conditionalFormatting sqref="O9">
    <cfRule type="expression" dxfId="264" priority="9">
      <formula>ABS(O$7-O$10)&gt;=1000</formula>
    </cfRule>
  </conditionalFormatting>
  <conditionalFormatting sqref="P9">
    <cfRule type="expression" dxfId="263" priority="8">
      <formula>ABS(P$7-P$10)&gt;=1000</formula>
    </cfRule>
  </conditionalFormatting>
  <conditionalFormatting sqref="I9">
    <cfRule type="expression" dxfId="262" priority="7">
      <formula>ABS(I$7-I$10)&gt;=1000</formula>
    </cfRule>
  </conditionalFormatting>
  <conditionalFormatting sqref="L10">
    <cfRule type="expression" dxfId="261" priority="6">
      <formula>ABS(L$7-L$10)&gt;=1000</formula>
    </cfRule>
  </conditionalFormatting>
  <conditionalFormatting sqref="M10">
    <cfRule type="expression" dxfId="260" priority="5">
      <formula>ABS(M$7-M$10)&gt;=1000</formula>
    </cfRule>
  </conditionalFormatting>
  <conditionalFormatting sqref="O10:P10">
    <cfRule type="expression" dxfId="259" priority="4">
      <formula>ABS(O$7-O$10)&gt;=1000</formula>
    </cfRule>
  </conditionalFormatting>
  <conditionalFormatting sqref="N10">
    <cfRule type="expression" dxfId="258" priority="3">
      <formula>ABS(N$7-N$10)&gt;=1000</formula>
    </cfRule>
  </conditionalFormatting>
  <conditionalFormatting sqref="H10:K10">
    <cfRule type="expression" dxfId="257" priority="2">
      <formula>ABS(H$7-H$10)&gt;=1000</formula>
    </cfRule>
  </conditionalFormatting>
  <conditionalFormatting sqref="D10:G10">
    <cfRule type="expression" dxfId="256" priority="1">
      <formula>ABS(D$7-D$10)&gt;=1000</formula>
    </cfRule>
  </conditionalFormatting>
  <conditionalFormatting sqref="I12">
    <cfRule type="expression" dxfId="255" priority="73">
      <formula>ABS(#REF!-#REF!)&gt;=1000</formula>
    </cfRule>
  </conditionalFormatting>
  <conditionalFormatting sqref="D6">
    <cfRule type="expression" dxfId="254" priority="82" stopIfTrue="1">
      <formula>MOD(ROUND($D$6*100,2),1)=0</formula>
    </cfRule>
  </conditionalFormatting>
  <conditionalFormatting sqref="E6">
    <cfRule type="expression" dxfId="253" priority="83" stopIfTrue="1">
      <formula>MOD(ROUND($E$6*100,2),1)=0</formula>
    </cfRule>
  </conditionalFormatting>
  <conditionalFormatting sqref="F6">
    <cfRule type="expression" dxfId="252" priority="84" stopIfTrue="1">
      <formula>MOD(ROUND($F$6*100,2),1)=0</formula>
    </cfRule>
  </conditionalFormatting>
  <conditionalFormatting sqref="G6">
    <cfRule type="expression" dxfId="251" priority="85" stopIfTrue="1">
      <formula>MOD(ROUND($G$6*100,2),1)=0</formula>
    </cfRule>
  </conditionalFormatting>
  <conditionalFormatting sqref="D9">
    <cfRule type="expression" dxfId="250" priority="86" stopIfTrue="1">
      <formula>MOD(ROUND($D$9*100,2),1)=0</formula>
    </cfRule>
  </conditionalFormatting>
  <conditionalFormatting sqref="E9">
    <cfRule type="expression" dxfId="249" priority="87" stopIfTrue="1">
      <formula>MOD(ROUND($E$9*100,2),1)=0</formula>
    </cfRule>
  </conditionalFormatting>
  <conditionalFormatting sqref="F9">
    <cfRule type="expression" dxfId="248" priority="88" stopIfTrue="1">
      <formula>MOD(ROUND($F$9*100,2),1)=0</formula>
    </cfRule>
  </conditionalFormatting>
  <conditionalFormatting sqref="G9">
    <cfRule type="expression" dxfId="247"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54593"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54593" r:id="rId4" name="CommandButton1"/>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20">
    <pageSetUpPr fitToPage="1"/>
  </sheetPr>
  <dimension ref="A1:AQ205"/>
  <sheetViews>
    <sheetView view="pageBreakPreview" zoomScaleNormal="100" zoomScaleSheetLayoutView="100" workbookViewId="0">
      <selection activeCell="K7" sqref="K7"/>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46261</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198" t="s" ph="1">
        <v>42</v>
      </c>
      <c r="D6" s="151">
        <v>0.83909999999999996</v>
      </c>
      <c r="E6" s="151">
        <v>8.5800000000000001E-2</v>
      </c>
      <c r="F6" s="151">
        <v>0.98769999999999991</v>
      </c>
      <c r="G6" s="151">
        <v>0.98549999999999993</v>
      </c>
      <c r="H6" s="150">
        <v>3331</v>
      </c>
      <c r="I6" s="150">
        <v>1690</v>
      </c>
      <c r="J6" s="150">
        <v>3311</v>
      </c>
      <c r="K6" s="150">
        <v>286</v>
      </c>
      <c r="L6" s="150">
        <v>5517</v>
      </c>
      <c r="M6" s="150">
        <v>1610</v>
      </c>
      <c r="N6" s="150">
        <v>973</v>
      </c>
      <c r="O6" s="150">
        <v>1427</v>
      </c>
      <c r="P6" s="150">
        <v>4322</v>
      </c>
      <c r="Q6" s="294"/>
      <c r="R6" s="295"/>
      <c r="S6" s="295"/>
      <c r="T6" s="295"/>
      <c r="U6" s="296"/>
    </row>
    <row r="7" spans="1:43" s="61" customFormat="1" ht="25.95" customHeight="1" ph="1">
      <c r="B7" s="284" ph="1"/>
      <c r="C7" s="57" t="s" ph="1">
        <v>43</v>
      </c>
      <c r="D7" s="62" ph="1">
        <f>((D6*5885)*4.48)*LOOKUP(D8,密度!$A$2:$A$50,密度!$B$2:$B$50)</f>
        <v>17111.911296480001</v>
      </c>
      <c r="E7" s="62" ph="1">
        <f>((E6*5885)*4.48)*LOOKUP(E8,密度!$A$2:$A$50,密度!$B$2:$B$50)</f>
        <v>1755.8418958080003</v>
      </c>
      <c r="F7" s="62" ph="1">
        <f>((F6*5885)*4.48)*LOOKUP(F8,密度!$A$2:$A$50,密度!$B$2:$B$50)</f>
        <v>20256.915031584002</v>
      </c>
      <c r="G7" s="62" ph="1">
        <f>((G6*5885)*4.48)*LOOKUP(G8,密度!$A$2:$A$50,密度!$B$2:$B$50)</f>
        <v>20211.794840160001</v>
      </c>
      <c r="H7" s="62" ph="1">
        <f>IF(H6&lt;=0,0,IF(H6&lt;=745,PI()*(5.3235*(H6/1000)^2-(4/3)*(H6/1000)^3),7.55+15.2053*((H6-745)/1000))*LOOKUP(H8,密度!$A$2:$A$50,密度!$B$2:$B$50)*1000)</f>
        <v>36339.013266739996</v>
      </c>
      <c r="I7" s="62" ph="1">
        <f>IF(I6&lt;=0,0,IF(I6&lt;=745,PI()*(5.3235*(I6/1000)^2-(4/3)*(I6/1000)^3),7.55+15.2053*((I6-745)/1000))*LOOKUP(I8,密度!$A$2:$A$50,密度!$B$2:$B$50)*1000)</f>
        <v>16974.080182399997</v>
      </c>
      <c r="J7" s="62" ph="1">
        <f>IF(J6&lt;=0,0,IF(J6&lt;=745,PI()*(5.3235*(J6/1000)^2-(4/3)*(J6/1000)^3),7.55+15.2053*((J6-745)/1000))*LOOKUP(J8,密度!$A$2:$A$50,密度!$B$2:$B$50)*1000)</f>
        <v>36261.567004259989</v>
      </c>
      <c r="K7" s="62" ph="1">
        <f>IF(K6&lt;=0,0,IF(K6&lt;=745,PI()*(5.3235*(K6/1000)^2-(4/3)*(K6/1000)^3),7.55+15.2053*((K6-745)/1000))*LOOKUP(K8,密度!$A$2:$A$50,密度!$B$2:$B$50)*1000)</f>
        <v>987.92300275156674</v>
      </c>
      <c r="L7" s="62" ph="1">
        <f>L6*26.42*LOOKUP(L8,密度!$A$2:$A$50,密度!$B$2:$B$50)</f>
        <v>113386.03500600002</v>
      </c>
      <c r="M7" s="62" ph="1">
        <f>M6*26.42*1</f>
        <v>42536.200000000004</v>
      </c>
      <c r="N7" s="62" ph="1">
        <f>N6*18.32*LOOKUP(N8,密度!$A$2:$A$50,密度!$B$2:$B$50)</f>
        <v>13866.347544</v>
      </c>
      <c r="O7" s="62" ph="1">
        <f>O6*81.71*LOOKUP(O8,密度!$A$2:$A$50,密度!$B$2:$B$50)</f>
        <v>90505.051953999995</v>
      </c>
      <c r="P7" s="62" ph="1">
        <f>P6*81.71*LOOKUP(P8,密度!$A$2:$A$50,密度!$B$2:$B$50)</f>
        <v>274115.51124399999</v>
      </c>
      <c r="Q7" s="294"/>
      <c r="R7" s="295"/>
      <c r="S7" s="295"/>
      <c r="T7" s="295"/>
      <c r="U7" s="296"/>
    </row>
    <row r="8" spans="1:43" ht="25.95" customHeight="1" ph="1">
      <c r="B8" s="284" ph="1"/>
      <c r="C8" s="57" t="s" ph="1">
        <v>44</v>
      </c>
      <c r="D8" s="149">
        <v>32</v>
      </c>
      <c r="E8" s="149">
        <v>29</v>
      </c>
      <c r="F8" s="149">
        <v>27</v>
      </c>
      <c r="G8" s="149">
        <v>27</v>
      </c>
      <c r="H8" s="149">
        <v>30</v>
      </c>
      <c r="I8" s="149">
        <v>31</v>
      </c>
      <c r="J8" s="149">
        <v>26</v>
      </c>
      <c r="K8" s="149">
        <v>27</v>
      </c>
      <c r="L8" s="149">
        <v>27</v>
      </c>
      <c r="M8" s="149">
        <v>29</v>
      </c>
      <c r="N8" s="149">
        <v>27</v>
      </c>
      <c r="O8" s="149">
        <v>29</v>
      </c>
      <c r="P8" s="149">
        <v>29</v>
      </c>
      <c r="Q8" s="294"/>
      <c r="R8" s="295"/>
      <c r="S8" s="295"/>
      <c r="T8" s="295"/>
      <c r="U8" s="296"/>
    </row>
    <row r="9" spans="1:43" ht="25.95" customHeight="1" ph="1">
      <c r="B9" s="284" ph="1">
        <v>0.66666666666666663</v>
      </c>
      <c r="C9" s="198" t="s" ph="1">
        <v>45</v>
      </c>
      <c r="D9" s="151">
        <v>0.83829999999999993</v>
      </c>
      <c r="E9" s="151">
        <v>0.55479999999999996</v>
      </c>
      <c r="F9" s="151">
        <v>0.98829999999999996</v>
      </c>
      <c r="G9" s="151">
        <v>0.98599999999999999</v>
      </c>
      <c r="H9" s="150">
        <v>2438</v>
      </c>
      <c r="I9" s="150">
        <v>769</v>
      </c>
      <c r="J9" s="150">
        <v>3287</v>
      </c>
      <c r="K9" s="150">
        <v>283</v>
      </c>
      <c r="L9" s="150">
        <v>5585</v>
      </c>
      <c r="M9" s="150">
        <v>1608</v>
      </c>
      <c r="N9" s="150">
        <v>1042</v>
      </c>
      <c r="O9" s="150">
        <v>2079</v>
      </c>
      <c r="P9" s="150">
        <v>4326</v>
      </c>
      <c r="Q9" s="294"/>
      <c r="R9" s="295"/>
      <c r="S9" s="295"/>
      <c r="T9" s="295"/>
      <c r="U9" s="296"/>
    </row>
    <row r="10" spans="1:43" s="61" customFormat="1" ht="25.95" customHeight="1" ph="1">
      <c r="B10" s="284" ph="1"/>
      <c r="C10" s="198" t="s" ph="1">
        <v>43</v>
      </c>
      <c r="D10" s="62" ph="1">
        <f>((D9*5885)*4.48)*LOOKUP(D11,密度!$A$2:$A$50,密度!$B$2:$B$50)</f>
        <v>17115.488208896</v>
      </c>
      <c r="E10" s="62" ph="1">
        <f>((E9*5885)*4.48)*LOOKUP(E11,密度!$A$2:$A$50,密度!$B$2:$B$50)</f>
        <v>11289.266044672</v>
      </c>
      <c r="F10" s="62" ph="1">
        <f>((F9*5885)*4.48)*LOOKUP(F11,密度!$A$2:$A$50,密度!$B$2:$B$50)</f>
        <v>20269.220538336001</v>
      </c>
      <c r="G10" s="62" ph="1">
        <f>((G9*5885)*4.48)*LOOKUP(G11,密度!$A$2:$A$50,密度!$B$2:$B$50)</f>
        <v>20222.049429120001</v>
      </c>
      <c r="H10" s="62" ph="1">
        <f>IF(H9&lt;=0,0,IF(H9&lt;=745,PI()*(5.3235*(H9/1000)^2-(4/3)*(H9/1000)^3),7.55+15.2053*((H9-745)/1000))*LOOKUP(H11,密度!$A$2:$A$50,密度!$B$2:$B$50)*1000)</f>
        <v>25751.805138149997</v>
      </c>
      <c r="I10" s="62" ph="1">
        <f>IF(I9&lt;=0,0,IF(I9&lt;=745,PI()*(5.3235*(I9/1000)^2-(4/3)*(I9/1000)^3),7.55+15.2053*((I9-745)/1000))*LOOKUP(I11,密度!$A$2:$A$50,密度!$B$2:$B$50)*1000)</f>
        <v>6094.4939439999998</v>
      </c>
      <c r="J10" s="62" ph="1">
        <f>IF(J9&lt;=0,0,IF(J9&lt;=745,PI()*(5.3235*(J9/1000)^2-(4/3)*(J9/1000)^3),7.55+15.2053*((J9-745)/1000))*LOOKUP(J11,密度!$A$2:$A$50,密度!$B$2:$B$50)*1000)</f>
        <v>35940.436695540004</v>
      </c>
      <c r="K10" s="62" ph="1">
        <f>IF(K9&lt;=0,0,IF(K9&lt;=745,PI()*(5.3235*(K9/1000)^2-(4/3)*(K9/1000)^3),7.55+15.2053*((K9-745)/1000))*LOOKUP(K11,密度!$A$2:$A$50,密度!$B$2:$B$50)*1000)</f>
        <v>961.61759756166327</v>
      </c>
      <c r="L10" s="62" ph="1">
        <f>L9*26.42*LOOKUP(L11,密度!$A$2:$A$50,密度!$B$2:$B$50)</f>
        <v>114783.57903000001</v>
      </c>
      <c r="M10" s="62" ph="1">
        <f>M9*26.42*1</f>
        <v>42483.360000000001</v>
      </c>
      <c r="N10" s="62" ph="1">
        <f>N9*18.32*LOOKUP(N11,密度!$A$2:$A$50,密度!$B$2:$B$50)</f>
        <v>14849.675375999999</v>
      </c>
      <c r="O10" s="62" ph="1">
        <f>O9*81.71*LOOKUP(O11,密度!$A$2:$A$50,密度!$B$2:$B$50)</f>
        <v>131857.04485800001</v>
      </c>
      <c r="P10" s="62" ph="1">
        <f>P9*81.71*LOOKUP(P11,密度!$A$2:$A$50,密度!$B$2:$B$50)</f>
        <v>274369.20445199998</v>
      </c>
      <c r="Q10" s="294"/>
      <c r="R10" s="295"/>
      <c r="S10" s="295"/>
      <c r="T10" s="295"/>
      <c r="U10" s="296"/>
    </row>
    <row r="11" spans="1:43" ht="25.95" customHeight="1" ph="1">
      <c r="A11" s="53" t="s" ph="1">
        <v>40</v>
      </c>
      <c r="B11" s="284" ph="1"/>
      <c r="C11" s="198" t="s" ph="1">
        <v>44</v>
      </c>
      <c r="D11" s="149">
        <v>31</v>
      </c>
      <c r="E11" s="149">
        <v>34</v>
      </c>
      <c r="F11" s="149">
        <v>27</v>
      </c>
      <c r="G11" s="149">
        <v>27</v>
      </c>
      <c r="H11" s="149">
        <v>32</v>
      </c>
      <c r="I11" s="149">
        <v>36</v>
      </c>
      <c r="J11" s="149">
        <v>27</v>
      </c>
      <c r="K11" s="149">
        <v>33</v>
      </c>
      <c r="L11" s="149">
        <v>27</v>
      </c>
      <c r="M11" s="149">
        <v>30</v>
      </c>
      <c r="N11" s="149">
        <v>27</v>
      </c>
      <c r="O11" s="149">
        <v>29</v>
      </c>
      <c r="P11" s="149">
        <v>29</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198" t="s" ph="1">
        <v>1</v>
      </c>
      <c r="F14" s="88" t="s" ph="1">
        <v>28</v>
      </c>
      <c r="G14" s="86" t="s" ph="1">
        <v>0</v>
      </c>
      <c r="H14" s="198" t="s" ph="1">
        <v>1</v>
      </c>
      <c r="I14" s="199" t="s" ph="1">
        <v>28</v>
      </c>
      <c r="J14" s="86" t="s" ph="1">
        <v>0</v>
      </c>
      <c r="K14" s="198" t="s" ph="1">
        <v>1</v>
      </c>
      <c r="L14" s="199" t="s" ph="1">
        <v>28</v>
      </c>
      <c r="M14" s="86" t="s" ph="1">
        <v>0</v>
      </c>
      <c r="N14" s="198" t="s" ph="1">
        <v>1</v>
      </c>
      <c r="O14" s="199" t="s" ph="1">
        <v>28</v>
      </c>
      <c r="P14" s="86" t="s" ph="1">
        <v>0</v>
      </c>
      <c r="Q14" s="87" t="s" ph="1">
        <v>1</v>
      </c>
      <c r="R14" s="88" t="s" ph="1">
        <v>28</v>
      </c>
      <c r="S14" s="86" t="s" ph="1">
        <v>0</v>
      </c>
      <c r="T14" s="198" t="s" ph="1">
        <v>1</v>
      </c>
      <c r="U14" s="88" t="s" ph="1">
        <v>28</v>
      </c>
    </row>
    <row r="15" spans="1:43" ph="1">
      <c r="A15" s="53"/>
      <c r="B15" s="300" t="s" ph="1">
        <v>46</v>
      </c>
      <c r="C15" s="301" ph="1"/>
      <c r="D15" s="241" ph="1">
        <f>O10+P10</f>
        <v>406226.24930999998</v>
      </c>
      <c r="E15" s="233" ph="1">
        <f>H10+I10+J10+K10</f>
        <v>68748.353375251667</v>
      </c>
      <c r="F15" s="257" ph="1">
        <f>L10+N10</f>
        <v>129633.25440600001</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200" ph="1"/>
      <c r="P18" s="90" ph="1"/>
      <c r="Q18" s="200" t="s" ph="1">
        <v>50</v>
      </c>
      <c r="R18" s="218" t="s" ph="1">
        <v>176</v>
      </c>
      <c r="S18" s="218" ph="1"/>
    </row>
    <row r="19" spans="1:21" s="200"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246" priority="72">
      <formula>ABS(D$7-D$10)&gt;=1000</formula>
    </cfRule>
  </conditionalFormatting>
  <conditionalFormatting sqref="E4">
    <cfRule type="expression" dxfId="245" priority="71">
      <formula>ABS(E$7-E$10)&gt;=1000</formula>
    </cfRule>
  </conditionalFormatting>
  <conditionalFormatting sqref="F4">
    <cfRule type="expression" dxfId="244" priority="70">
      <formula>ABS(F$7-F$10)&gt;=1000</formula>
    </cfRule>
  </conditionalFormatting>
  <conditionalFormatting sqref="G4">
    <cfRule type="expression" dxfId="243" priority="69">
      <formula>ABS(G$7-G$10)&gt;=1000</formula>
    </cfRule>
  </conditionalFormatting>
  <conditionalFormatting sqref="H4:K4">
    <cfRule type="expression" dxfId="242" priority="68">
      <formula>ABS(H$7-H$10)&gt;=1000</formula>
    </cfRule>
  </conditionalFormatting>
  <conditionalFormatting sqref="I8">
    <cfRule type="expression" dxfId="241" priority="67">
      <formula>ABS(I$7-I$10)&gt;=1000</formula>
    </cfRule>
  </conditionalFormatting>
  <conditionalFormatting sqref="L4:L5 M4:N4">
    <cfRule type="expression" dxfId="240" priority="66">
      <formula>ABS(L$7-L$10)&gt;=1000</formula>
    </cfRule>
  </conditionalFormatting>
  <conditionalFormatting sqref="M5">
    <cfRule type="expression" dxfId="239" priority="65">
      <formula>ABS(M$7-M$10)&gt;=1000</formula>
    </cfRule>
  </conditionalFormatting>
  <conditionalFormatting sqref="N5">
    <cfRule type="expression" dxfId="238" priority="64">
      <formula>ABS(N$7-N$10)&gt;=1000</formula>
    </cfRule>
  </conditionalFormatting>
  <conditionalFormatting sqref="D5">
    <cfRule type="expression" dxfId="237" priority="63">
      <formula>ABS(D$7-D$10)&gt;=1000</formula>
    </cfRule>
  </conditionalFormatting>
  <conditionalFormatting sqref="E5:G5">
    <cfRule type="expression" dxfId="236" priority="62">
      <formula>ABS(E$7-E$10)&gt;=1000</formula>
    </cfRule>
  </conditionalFormatting>
  <conditionalFormatting sqref="H5">
    <cfRule type="expression" dxfId="235" priority="61">
      <formula>ABS(H$7-H$10)&gt;=1000</formula>
    </cfRule>
  </conditionalFormatting>
  <conditionalFormatting sqref="O4:P4">
    <cfRule type="expression" dxfId="234" priority="60">
      <formula>ABS(O$7-O$10)&gt;=1000</formula>
    </cfRule>
  </conditionalFormatting>
  <conditionalFormatting sqref="O5">
    <cfRule type="expression" dxfId="233" priority="59">
      <formula>ABS(O$7-O$10)&gt;=1000</formula>
    </cfRule>
  </conditionalFormatting>
  <conditionalFormatting sqref="I6">
    <cfRule type="expression" dxfId="232" priority="58">
      <formula>ABS(I$7-I$10)&gt;=1000</formula>
    </cfRule>
  </conditionalFormatting>
  <conditionalFormatting sqref="P5">
    <cfRule type="expression" dxfId="231" priority="57">
      <formula>ABS(P$7-P$10)&gt;=1000</formula>
    </cfRule>
  </conditionalFormatting>
  <conditionalFormatting sqref="I5">
    <cfRule type="expression" dxfId="230" priority="56">
      <formula>ABS(I$7-I$10)&gt;=1000</formula>
    </cfRule>
  </conditionalFormatting>
  <conditionalFormatting sqref="D6 D8">
    <cfRule type="expression" dxfId="229" priority="55">
      <formula>ABS(D$7-D$10)&gt;=1000</formula>
    </cfRule>
  </conditionalFormatting>
  <conditionalFormatting sqref="E6 E8">
    <cfRule type="expression" dxfId="228" priority="54">
      <formula>ABS(E$7-E$10)&gt;=1000</formula>
    </cfRule>
  </conditionalFormatting>
  <conditionalFormatting sqref="F6 F8">
    <cfRule type="expression" dxfId="227" priority="53">
      <formula>ABS(F$7-F$10)&gt;=1000</formula>
    </cfRule>
  </conditionalFormatting>
  <conditionalFormatting sqref="G6 G8">
    <cfRule type="expression" dxfId="226" priority="52">
      <formula>ABS(G$7-G$10)&gt;=1000</formula>
    </cfRule>
  </conditionalFormatting>
  <conditionalFormatting sqref="H8">
    <cfRule type="expression" dxfId="225" priority="51">
      <formula>ABS(H$7-H$10)&gt;=1000</formula>
    </cfRule>
  </conditionalFormatting>
  <conditionalFormatting sqref="H6">
    <cfRule type="expression" dxfId="224" priority="50">
      <formula>ABS(H$7-H$10)&gt;=1000</formula>
    </cfRule>
  </conditionalFormatting>
  <conditionalFormatting sqref="J8">
    <cfRule type="expression" dxfId="223" priority="49">
      <formula>ABS(J$7-J$10)&gt;=1000</formula>
    </cfRule>
  </conditionalFormatting>
  <conditionalFormatting sqref="K8">
    <cfRule type="expression" dxfId="222" priority="48">
      <formula>ABS(K$7-K$10)&gt;=1000</formula>
    </cfRule>
  </conditionalFormatting>
  <conditionalFormatting sqref="L8">
    <cfRule type="expression" dxfId="221" priority="47">
      <formula>ABS(L$7-L$10)&gt;=1000</formula>
    </cfRule>
  </conditionalFormatting>
  <conditionalFormatting sqref="M8">
    <cfRule type="expression" dxfId="220" priority="46">
      <formula>ABS(M$7-M$10)&gt;=1000</formula>
    </cfRule>
  </conditionalFormatting>
  <conditionalFormatting sqref="N8">
    <cfRule type="expression" dxfId="219" priority="45">
      <formula>ABS(N$7-N$10)&gt;=1000</formula>
    </cfRule>
  </conditionalFormatting>
  <conditionalFormatting sqref="O8">
    <cfRule type="expression" dxfId="218" priority="44">
      <formula>ABS(O$7-O$10)&gt;=1000</formula>
    </cfRule>
  </conditionalFormatting>
  <conditionalFormatting sqref="P8">
    <cfRule type="expression" dxfId="217" priority="43">
      <formula>ABS(P$7-P$10)&gt;=1000</formula>
    </cfRule>
  </conditionalFormatting>
  <conditionalFormatting sqref="J6">
    <cfRule type="expression" dxfId="216" priority="42">
      <formula>ABS(J$7-J$10)&gt;=1000</formula>
    </cfRule>
  </conditionalFormatting>
  <conditionalFormatting sqref="K6">
    <cfRule type="expression" dxfId="215" priority="41">
      <formula>ABS(K$7-K$10)&gt;=1000</formula>
    </cfRule>
  </conditionalFormatting>
  <conditionalFormatting sqref="L6">
    <cfRule type="expression" dxfId="214" priority="40">
      <formula>ABS(L$7-L$10)&gt;=1000</formula>
    </cfRule>
  </conditionalFormatting>
  <conditionalFormatting sqref="M6">
    <cfRule type="expression" dxfId="213" priority="39">
      <formula>ABS(M$7-M$10)&gt;=1000</formula>
    </cfRule>
  </conditionalFormatting>
  <conditionalFormatting sqref="N6">
    <cfRule type="expression" dxfId="212" priority="38">
      <formula>ABS(N$7-N$10)&gt;=1000</formula>
    </cfRule>
  </conditionalFormatting>
  <conditionalFormatting sqref="O6">
    <cfRule type="expression" dxfId="211" priority="37">
      <formula>ABS(O$7-O$10)&gt;=1000</formula>
    </cfRule>
  </conditionalFormatting>
  <conditionalFormatting sqref="P6">
    <cfRule type="expression" dxfId="210" priority="36">
      <formula>ABS(P$7-P$10)&gt;=1000</formula>
    </cfRule>
  </conditionalFormatting>
  <conditionalFormatting sqref="L7">
    <cfRule type="expression" dxfId="209" priority="35">
      <formula>ABS(L$7-L$10)&gt;=1000</formula>
    </cfRule>
  </conditionalFormatting>
  <conditionalFormatting sqref="M7">
    <cfRule type="expression" dxfId="208" priority="34">
      <formula>ABS(M$7-M$10)&gt;=1000</formula>
    </cfRule>
  </conditionalFormatting>
  <conditionalFormatting sqref="O7:P7">
    <cfRule type="expression" dxfId="207" priority="33">
      <formula>ABS(O$7-O$10)&gt;=1000</formula>
    </cfRule>
  </conditionalFormatting>
  <conditionalFormatting sqref="N7">
    <cfRule type="expression" dxfId="206" priority="32">
      <formula>ABS(N$7-N$10)&gt;=1000</formula>
    </cfRule>
  </conditionalFormatting>
  <conditionalFormatting sqref="H7:K7">
    <cfRule type="expression" dxfId="205" priority="31">
      <formula>ABS(H$7-H$10)&gt;=1000</formula>
    </cfRule>
  </conditionalFormatting>
  <conditionalFormatting sqref="D7:G7">
    <cfRule type="expression" dxfId="204" priority="30">
      <formula>ABS(D$7-D$10)&gt;=1000</formula>
    </cfRule>
  </conditionalFormatting>
  <conditionalFormatting sqref="J5:K5">
    <cfRule type="expression" dxfId="203" priority="29">
      <formula>ABS(J$7-J$10)&gt;=1000</formula>
    </cfRule>
  </conditionalFormatting>
  <conditionalFormatting sqref="D9 D11">
    <cfRule type="expression" dxfId="202" priority="28">
      <formula>ABS(D$7-D$10)&gt;=1000</formula>
    </cfRule>
  </conditionalFormatting>
  <conditionalFormatting sqref="E9 E11">
    <cfRule type="expression" dxfId="201" priority="27">
      <formula>ABS(E$7-E$10)&gt;=1000</formula>
    </cfRule>
  </conditionalFormatting>
  <conditionalFormatting sqref="F9 F11">
    <cfRule type="expression" dxfId="200" priority="26">
      <formula>ABS(F$7-F$10)&gt;=1000</formula>
    </cfRule>
  </conditionalFormatting>
  <conditionalFormatting sqref="G9 G11">
    <cfRule type="expression" dxfId="199" priority="25">
      <formula>ABS(G$7-G$10)&gt;=1000</formula>
    </cfRule>
  </conditionalFormatting>
  <conditionalFormatting sqref="H11">
    <cfRule type="expression" dxfId="198" priority="24">
      <formula>ABS(H$7-H$10)&gt;=1000</formula>
    </cfRule>
  </conditionalFormatting>
  <conditionalFormatting sqref="I11">
    <cfRule type="expression" dxfId="197" priority="23">
      <formula>ABS(I$7-I$10)&gt;=1000</formula>
    </cfRule>
  </conditionalFormatting>
  <conditionalFormatting sqref="J11">
    <cfRule type="expression" dxfId="196" priority="22">
      <formula>ABS(J$7-J$10)&gt;=1000</formula>
    </cfRule>
  </conditionalFormatting>
  <conditionalFormatting sqref="K11">
    <cfRule type="expression" dxfId="195" priority="21">
      <formula>ABS(K$7-K$10)&gt;=1000</formula>
    </cfRule>
  </conditionalFormatting>
  <conditionalFormatting sqref="L11">
    <cfRule type="expression" dxfId="194" priority="20">
      <formula>ABS(L$7-L$10)&gt;=1000</formula>
    </cfRule>
  </conditionalFormatting>
  <conditionalFormatting sqref="M11">
    <cfRule type="expression" dxfId="193" priority="19">
      <formula>ABS(M$7-M$10)&gt;=1000</formula>
    </cfRule>
  </conditionalFormatting>
  <conditionalFormatting sqref="N11">
    <cfRule type="expression" dxfId="192" priority="18">
      <formula>ABS(N$7-N$10)&gt;=1000</formula>
    </cfRule>
  </conditionalFormatting>
  <conditionalFormatting sqref="O11">
    <cfRule type="expression" dxfId="191" priority="17">
      <formula>ABS(O$7-O$10)&gt;=1000</formula>
    </cfRule>
  </conditionalFormatting>
  <conditionalFormatting sqref="P11">
    <cfRule type="expression" dxfId="190" priority="16">
      <formula>ABS(P$7-P$10)&gt;=1000</formula>
    </cfRule>
  </conditionalFormatting>
  <conditionalFormatting sqref="H9">
    <cfRule type="expression" dxfId="189" priority="15">
      <formula>ABS(H$7-H$10)&gt;=1000</formula>
    </cfRule>
  </conditionalFormatting>
  <conditionalFormatting sqref="J9">
    <cfRule type="expression" dxfId="188" priority="14">
      <formula>ABS(J$7-J$10)&gt;=1000</formula>
    </cfRule>
  </conditionalFormatting>
  <conditionalFormatting sqref="K9">
    <cfRule type="expression" dxfId="187" priority="13">
      <formula>ABS(K$7-K$10)&gt;=1000</formula>
    </cfRule>
  </conditionalFormatting>
  <conditionalFormatting sqref="L9">
    <cfRule type="expression" dxfId="186" priority="12">
      <formula>ABS(L$7-L$10)&gt;=1000</formula>
    </cfRule>
  </conditionalFormatting>
  <conditionalFormatting sqref="M9">
    <cfRule type="expression" dxfId="185" priority="11">
      <formula>ABS(M$7-M$10)&gt;=1000</formula>
    </cfRule>
  </conditionalFormatting>
  <conditionalFormatting sqref="N9">
    <cfRule type="expression" dxfId="184" priority="10">
      <formula>ABS(N$7-N$10)&gt;=1000</formula>
    </cfRule>
  </conditionalFormatting>
  <conditionalFormatting sqref="O9">
    <cfRule type="expression" dxfId="183" priority="9">
      <formula>ABS(O$7-O$10)&gt;=1000</formula>
    </cfRule>
  </conditionalFormatting>
  <conditionalFormatting sqref="P9">
    <cfRule type="expression" dxfId="182" priority="8">
      <formula>ABS(P$7-P$10)&gt;=1000</formula>
    </cfRule>
  </conditionalFormatting>
  <conditionalFormatting sqref="I9">
    <cfRule type="expression" dxfId="181" priority="7">
      <formula>ABS(I$7-I$10)&gt;=1000</formula>
    </cfRule>
  </conditionalFormatting>
  <conditionalFormatting sqref="L10">
    <cfRule type="expression" dxfId="180" priority="6">
      <formula>ABS(L$7-L$10)&gt;=1000</formula>
    </cfRule>
  </conditionalFormatting>
  <conditionalFormatting sqref="M10">
    <cfRule type="expression" dxfId="179" priority="5">
      <formula>ABS(M$7-M$10)&gt;=1000</formula>
    </cfRule>
  </conditionalFormatting>
  <conditionalFormatting sqref="O10:P10">
    <cfRule type="expression" dxfId="178" priority="4">
      <formula>ABS(O$7-O$10)&gt;=1000</formula>
    </cfRule>
  </conditionalFormatting>
  <conditionalFormatting sqref="N10">
    <cfRule type="expression" dxfId="177" priority="3">
      <formula>ABS(N$7-N$10)&gt;=1000</formula>
    </cfRule>
  </conditionalFormatting>
  <conditionalFormatting sqref="H10:K10">
    <cfRule type="expression" dxfId="176" priority="2">
      <formula>ABS(H$7-H$10)&gt;=1000</formula>
    </cfRule>
  </conditionalFormatting>
  <conditionalFormatting sqref="D10:G10">
    <cfRule type="expression" dxfId="175" priority="1">
      <formula>ABS(D$7-D$10)&gt;=1000</formula>
    </cfRule>
  </conditionalFormatting>
  <conditionalFormatting sqref="I12">
    <cfRule type="expression" dxfId="174" priority="73">
      <formula>ABS(#REF!-#REF!)&gt;=1000</formula>
    </cfRule>
  </conditionalFormatting>
  <conditionalFormatting sqref="D6">
    <cfRule type="expression" dxfId="173" priority="82" stopIfTrue="1">
      <formula>MOD(ROUND($D$6*100,2),1)=0</formula>
    </cfRule>
  </conditionalFormatting>
  <conditionalFormatting sqref="E6">
    <cfRule type="expression" dxfId="172" priority="83" stopIfTrue="1">
      <formula>MOD(ROUND($E$6*100,2),1)=0</formula>
    </cfRule>
  </conditionalFormatting>
  <conditionalFormatting sqref="F6">
    <cfRule type="expression" dxfId="171" priority="84" stopIfTrue="1">
      <formula>MOD(ROUND($F$6*100,2),1)=0</formula>
    </cfRule>
  </conditionalFormatting>
  <conditionalFormatting sqref="G6">
    <cfRule type="expression" dxfId="170" priority="85" stopIfTrue="1">
      <formula>MOD(ROUND($G$6*100,2),1)=0</formula>
    </cfRule>
  </conditionalFormatting>
  <conditionalFormatting sqref="D9">
    <cfRule type="expression" dxfId="169" priority="86" stopIfTrue="1">
      <formula>MOD(ROUND($D$9*100,2),1)=0</formula>
    </cfRule>
  </conditionalFormatting>
  <conditionalFormatting sqref="E9">
    <cfRule type="expression" dxfId="168" priority="87" stopIfTrue="1">
      <formula>MOD(ROUND($E$9*100,2),1)=0</formula>
    </cfRule>
  </conditionalFormatting>
  <conditionalFormatting sqref="F9">
    <cfRule type="expression" dxfId="167" priority="88" stopIfTrue="1">
      <formula>MOD(ROUND($F$9*100,2),1)=0</formula>
    </cfRule>
  </conditionalFormatting>
  <conditionalFormatting sqref="G9">
    <cfRule type="expression" dxfId="166"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55617"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55617" r:id="rId4" name="CommandButton1"/>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21">
    <pageSetUpPr fitToPage="1"/>
  </sheetPr>
  <dimension ref="A1:AQ205"/>
  <sheetViews>
    <sheetView view="pageBreakPreview" zoomScaleNormal="100" zoomScaleSheetLayoutView="100" workbookViewId="0">
      <selection activeCell="K7" sqref="K7"/>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46262</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203" t="s" ph="1">
        <v>42</v>
      </c>
      <c r="D6" s="151">
        <v>0.91430000000000011</v>
      </c>
      <c r="E6" s="151">
        <v>0.1128</v>
      </c>
      <c r="F6" s="151">
        <v>0.98620000000000008</v>
      </c>
      <c r="G6" s="151">
        <v>0.34490000000000004</v>
      </c>
      <c r="H6" s="150">
        <v>3832</v>
      </c>
      <c r="I6" s="150">
        <v>1756</v>
      </c>
      <c r="J6" s="150">
        <v>3289</v>
      </c>
      <c r="K6" s="150">
        <v>2132</v>
      </c>
      <c r="L6" s="150">
        <v>5257</v>
      </c>
      <c r="M6" s="150">
        <v>1610</v>
      </c>
      <c r="N6" s="150">
        <v>1267</v>
      </c>
      <c r="O6" s="150">
        <v>1732</v>
      </c>
      <c r="P6" s="150">
        <v>4322</v>
      </c>
      <c r="Q6" s="294"/>
      <c r="R6" s="295"/>
      <c r="S6" s="295"/>
      <c r="T6" s="295"/>
      <c r="U6" s="296"/>
    </row>
    <row r="7" spans="1:43" s="61" customFormat="1" ht="25.95" customHeight="1" ph="1">
      <c r="B7" s="284" ph="1"/>
      <c r="C7" s="57" t="s" ph="1">
        <v>43</v>
      </c>
      <c r="D7" s="62" ph="1">
        <f>((D6*5885)*4.48)*LOOKUP(D8,密度!$A$2:$A$50,密度!$B$2:$B$50)</f>
        <v>18626.193621728005</v>
      </c>
      <c r="E7" s="62" ph="1">
        <f>((E6*5885)*4.48)*LOOKUP(E8,密度!$A$2:$A$50,密度!$B$2:$B$50)</f>
        <v>2305.7030008320003</v>
      </c>
      <c r="F7" s="62" ph="1">
        <f>((F6*5885)*4.48)*LOOKUP(F8,密度!$A$2:$A$50,密度!$B$2:$B$50)</f>
        <v>20202.750395520005</v>
      </c>
      <c r="G7" s="62" ph="1">
        <f>((G6*5885)*4.48)*LOOKUP(G8,密度!$A$2:$A$50,密度!$B$2:$B$50)</f>
        <v>7026.3307231040026</v>
      </c>
      <c r="H7" s="62" ph="1">
        <f>IF(H6&lt;=0,0,IF(H6&lt;=745,PI()*(5.3235*(H6/1000)^2-(4/3)*(H6/1000)^3),7.55+15.2053*((H6-745)/1000))*LOOKUP(H8,密度!$A$2:$A$50,密度!$B$2:$B$50)*1000)</f>
        <v>42196.096595839997</v>
      </c>
      <c r="I7" s="62" ph="1">
        <f>IF(I6&lt;=0,0,IF(I6&lt;=745,PI()*(5.3235*(I6/1000)^2-(4/3)*(I6/1000)^3),7.55+15.2053*((I6-745)/1000))*LOOKUP(I8,密度!$A$2:$A$50,密度!$B$2:$B$50)*1000)</f>
        <v>17730.598845049997</v>
      </c>
      <c r="J7" s="62" ph="1">
        <f>IF(J6&lt;=0,0,IF(J6&lt;=745,PI()*(5.3235*(J6/1000)^2-(4/3)*(J6/1000)^3),7.55+15.2053*((J6-745)/1000))*LOOKUP(J8,密度!$A$2:$A$50,密度!$B$2:$B$50)*1000)</f>
        <v>35964.093101279999</v>
      </c>
      <c r="K7" s="62" ph="1">
        <f>IF(K6&lt;=0,0,IF(K6&lt;=745,PI()*(5.3235*(K6/1000)^2-(4/3)*(K6/1000)^3),7.55+15.2053*((K6-745)/1000))*LOOKUP(K8,密度!$A$2:$A$50,密度!$B$2:$B$50)*1000)</f>
        <v>22253.086604700002</v>
      </c>
      <c r="L7" s="62" ph="1">
        <f>L6*26.42*LOOKUP(L8,密度!$A$2:$A$50,密度!$B$2:$B$50)</f>
        <v>108042.48432600001</v>
      </c>
      <c r="M7" s="62" ph="1">
        <f>M6*26.42*1</f>
        <v>42536.200000000004</v>
      </c>
      <c r="N7" s="62" ph="1">
        <f>N6*18.32*LOOKUP(N8,密度!$A$2:$A$50,密度!$B$2:$B$50)</f>
        <v>18035.28888</v>
      </c>
      <c r="O7" s="62" ph="1">
        <f>O6*81.71*LOOKUP(O8,密度!$A$2:$A$50,密度!$B$2:$B$50)</f>
        <v>109849.15906400001</v>
      </c>
      <c r="P7" s="62" ph="1">
        <f>P6*81.71*LOOKUP(P8,密度!$A$2:$A$50,密度!$B$2:$B$50)</f>
        <v>274115.51124399999</v>
      </c>
      <c r="Q7" s="294"/>
      <c r="R7" s="295"/>
      <c r="S7" s="295"/>
      <c r="T7" s="295"/>
      <c r="U7" s="296"/>
    </row>
    <row r="8" spans="1:43" ht="25.95" customHeight="1" ph="1">
      <c r="B8" s="284" ph="1"/>
      <c r="C8" s="57" t="s" ph="1">
        <v>44</v>
      </c>
      <c r="D8" s="149">
        <v>33</v>
      </c>
      <c r="E8" s="149">
        <v>30</v>
      </c>
      <c r="F8" s="149">
        <v>28</v>
      </c>
      <c r="G8" s="149">
        <v>33</v>
      </c>
      <c r="H8" s="149">
        <v>31</v>
      </c>
      <c r="I8" s="149">
        <v>32</v>
      </c>
      <c r="J8" s="149">
        <v>27</v>
      </c>
      <c r="K8" s="149">
        <v>28</v>
      </c>
      <c r="L8" s="149">
        <v>27</v>
      </c>
      <c r="M8" s="149">
        <v>29</v>
      </c>
      <c r="N8" s="149">
        <v>28</v>
      </c>
      <c r="O8" s="149">
        <v>29</v>
      </c>
      <c r="P8" s="149">
        <v>29</v>
      </c>
      <c r="Q8" s="294"/>
      <c r="R8" s="295"/>
      <c r="S8" s="295"/>
      <c r="T8" s="295"/>
      <c r="U8" s="296"/>
    </row>
    <row r="9" spans="1:43" ht="25.95" customHeight="1" ph="1">
      <c r="B9" s="284" ph="1">
        <v>0.66666666666666663</v>
      </c>
      <c r="C9" s="203" t="s" ph="1">
        <v>45</v>
      </c>
      <c r="D9" s="151">
        <v>6.2600000000000003E-2</v>
      </c>
      <c r="E9" s="151">
        <v>0.57750000000000001</v>
      </c>
      <c r="F9" s="151">
        <v>0</v>
      </c>
      <c r="G9" s="151">
        <v>0.6663</v>
      </c>
      <c r="H9" s="150">
        <v>2365</v>
      </c>
      <c r="I9" s="150">
        <v>2826</v>
      </c>
      <c r="J9" s="150">
        <v>3290</v>
      </c>
      <c r="K9" s="150">
        <v>592</v>
      </c>
      <c r="L9" s="150">
        <v>5967</v>
      </c>
      <c r="M9" s="150">
        <v>1609</v>
      </c>
      <c r="N9" s="150">
        <v>1384</v>
      </c>
      <c r="O9" s="150">
        <v>3016</v>
      </c>
      <c r="P9" s="150">
        <v>4326</v>
      </c>
      <c r="Q9" s="294"/>
      <c r="R9" s="295"/>
      <c r="S9" s="295"/>
      <c r="T9" s="295"/>
      <c r="U9" s="296"/>
    </row>
    <row r="10" spans="1:43" s="61" customFormat="1" ht="25.95" customHeight="1" ph="1">
      <c r="B10" s="284" ph="1"/>
      <c r="C10" s="203" t="s" ph="1">
        <v>43</v>
      </c>
      <c r="D10" s="62" ph="1">
        <f>((D9*5885)*4.48)*LOOKUP(D11,密度!$A$2:$A$50,密度!$B$2:$B$50)</f>
        <v>1273.8068752640004</v>
      </c>
      <c r="E10" s="62" ph="1">
        <f>((E9*5885)*4.48)*LOOKUP(E11,密度!$A$2:$A$50,密度!$B$2:$B$50)</f>
        <v>11737.470544800002</v>
      </c>
      <c r="F10" s="62" ph="1">
        <f>((F9*5885)*4.48)*LOOKUP(F11,密度!$A$2:$A$50,密度!$B$2:$B$50)</f>
        <v>0</v>
      </c>
      <c r="G10" s="62" ph="1">
        <f>((G9*5885)*4.48)*LOOKUP(G11,密度!$A$2:$A$50,密度!$B$2:$B$50)</f>
        <v>13558.107364032001</v>
      </c>
      <c r="H10" s="62" ph="1">
        <f>IF(H9&lt;=0,0,IF(H9&lt;=745,PI()*(5.3235*(H9/1000)^2-(4/3)*(H9/1000)^3),7.55+15.2053*((H9-745)/1000))*LOOKUP(H11,密度!$A$2:$A$50,密度!$B$2:$B$50)*1000)</f>
        <v>24867.484202200005</v>
      </c>
      <c r="I10" s="62" ph="1">
        <f>IF(I9&lt;=0,0,IF(I9&lt;=745,PI()*(5.3235*(I9/1000)^2-(4/3)*(I9/1000)^3),7.55+15.2053*((I9-745)/1000))*LOOKUP(I11,密度!$A$2:$A$50,密度!$B$2:$B$50)*1000)</f>
        <v>30248.562573739997</v>
      </c>
      <c r="J10" s="62" ph="1">
        <f>IF(J9&lt;=0,0,IF(J9&lt;=745,PI()*(5.3235*(J9/1000)^2-(4/3)*(J9/1000)^3),7.55+15.2053*((J9-745)/1000))*LOOKUP(J11,密度!$A$2:$A$50,密度!$B$2:$B$50)*1000)</f>
        <v>35934.298564499994</v>
      </c>
      <c r="K10" s="62" ph="1">
        <f>IF(K9&lt;=0,0,IF(K9&lt;=745,PI()*(5.3235*(K9/1000)^2-(4/3)*(K9/1000)^3),7.55+15.2053*((K9-745)/1000))*LOOKUP(K11,密度!$A$2:$A$50,密度!$B$2:$B$50)*1000)</f>
        <v>3857.462193079255</v>
      </c>
      <c r="L10" s="62" ph="1">
        <f>L9*26.42*LOOKUP(L11,密度!$A$2:$A$50,密度!$B$2:$B$50)</f>
        <v>122492.60478000001</v>
      </c>
      <c r="M10" s="62" ph="1">
        <f>M9*26.42*1</f>
        <v>42509.780000000006</v>
      </c>
      <c r="N10" s="62" ph="1">
        <f>N9*18.32*LOOKUP(N11,密度!$A$2:$A$50,密度!$B$2:$B$50)</f>
        <v>19700.741760000001</v>
      </c>
      <c r="O10" s="62" ph="1">
        <f>O9*81.71*LOOKUP(O11,密度!$A$2:$A$50,密度!$B$2:$B$50)</f>
        <v>191284.67883199998</v>
      </c>
      <c r="P10" s="62" ph="1">
        <f>P9*81.71*LOOKUP(P11,密度!$A$2:$A$50,密度!$B$2:$B$50)</f>
        <v>274369.20445199998</v>
      </c>
      <c r="Q10" s="294"/>
      <c r="R10" s="295"/>
      <c r="S10" s="295"/>
      <c r="T10" s="295"/>
      <c r="U10" s="296"/>
    </row>
    <row r="11" spans="1:43" ht="25.95" customHeight="1" ph="1">
      <c r="A11" s="53" t="s" ph="1">
        <v>40</v>
      </c>
      <c r="B11" s="284" ph="1"/>
      <c r="C11" s="203" t="s" ph="1">
        <v>44</v>
      </c>
      <c r="D11" s="149">
        <v>34</v>
      </c>
      <c r="E11" s="149">
        <v>35</v>
      </c>
      <c r="F11" s="149">
        <v>32</v>
      </c>
      <c r="G11" s="149">
        <v>34</v>
      </c>
      <c r="H11" s="149">
        <v>33</v>
      </c>
      <c r="I11" s="149">
        <v>34</v>
      </c>
      <c r="J11" s="149">
        <v>28</v>
      </c>
      <c r="K11" s="149">
        <v>33</v>
      </c>
      <c r="L11" s="149">
        <v>28</v>
      </c>
      <c r="M11" s="149">
        <v>30</v>
      </c>
      <c r="N11" s="149">
        <v>28</v>
      </c>
      <c r="O11" s="149">
        <v>29</v>
      </c>
      <c r="P11" s="149">
        <v>29</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203" t="s" ph="1">
        <v>1</v>
      </c>
      <c r="F14" s="88" t="s" ph="1">
        <v>28</v>
      </c>
      <c r="G14" s="86" t="s" ph="1">
        <v>0</v>
      </c>
      <c r="H14" s="203" t="s" ph="1">
        <v>1</v>
      </c>
      <c r="I14" s="202" t="s" ph="1">
        <v>28</v>
      </c>
      <c r="J14" s="86" t="s" ph="1">
        <v>0</v>
      </c>
      <c r="K14" s="203" t="s" ph="1">
        <v>1</v>
      </c>
      <c r="L14" s="202" t="s" ph="1">
        <v>28</v>
      </c>
      <c r="M14" s="86" t="s" ph="1">
        <v>0</v>
      </c>
      <c r="N14" s="203" t="s" ph="1">
        <v>1</v>
      </c>
      <c r="O14" s="202" t="s" ph="1">
        <v>28</v>
      </c>
      <c r="P14" s="86" t="s" ph="1">
        <v>0</v>
      </c>
      <c r="Q14" s="87" t="s" ph="1">
        <v>1</v>
      </c>
      <c r="R14" s="88" t="s" ph="1">
        <v>28</v>
      </c>
      <c r="S14" s="86" t="s" ph="1">
        <v>0</v>
      </c>
      <c r="T14" s="203" t="s" ph="1">
        <v>1</v>
      </c>
      <c r="U14" s="88" t="s" ph="1">
        <v>28</v>
      </c>
    </row>
    <row r="15" spans="1:43" ph="1">
      <c r="A15" s="53"/>
      <c r="B15" s="300" t="s" ph="1">
        <v>46</v>
      </c>
      <c r="C15" s="301" ph="1"/>
      <c r="D15" s="241" ph="1">
        <f>O10+P10</f>
        <v>465653.88328399998</v>
      </c>
      <c r="E15" s="233" ph="1">
        <f>H10+I10+J10+K10</f>
        <v>94907.807533519241</v>
      </c>
      <c r="F15" s="257" ph="1">
        <f>L10+N10</f>
        <v>142193.34654</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201" ph="1"/>
      <c r="P18" s="90" ph="1"/>
      <c r="Q18" s="201" t="s" ph="1">
        <v>50</v>
      </c>
      <c r="R18" s="218" t="s" ph="1">
        <v>176</v>
      </c>
      <c r="S18" s="218" ph="1"/>
    </row>
    <row r="19" spans="1:21" s="201"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T15:T16"/>
    <mergeCell ref="U15:U16"/>
    <mergeCell ref="S17:U17"/>
    <mergeCell ref="R18:S18"/>
    <mergeCell ref="L15:L16"/>
    <mergeCell ref="M15:M16"/>
    <mergeCell ref="N15:N16"/>
    <mergeCell ref="O15:O16"/>
    <mergeCell ref="P15:P16"/>
    <mergeCell ref="Q15:Q16"/>
    <mergeCell ref="R15:R16"/>
    <mergeCell ref="S15:S16"/>
  </mergeCells>
  <phoneticPr fontId="2" type="noConversion"/>
  <conditionalFormatting sqref="D4">
    <cfRule type="expression" dxfId="165" priority="72">
      <formula>ABS(D$7-D$10)&gt;=1000</formula>
    </cfRule>
  </conditionalFormatting>
  <conditionalFormatting sqref="E4">
    <cfRule type="expression" dxfId="164" priority="71">
      <formula>ABS(E$7-E$10)&gt;=1000</formula>
    </cfRule>
  </conditionalFormatting>
  <conditionalFormatting sqref="F4">
    <cfRule type="expression" dxfId="163" priority="70">
      <formula>ABS(F$7-F$10)&gt;=1000</formula>
    </cfRule>
  </conditionalFormatting>
  <conditionalFormatting sqref="G4">
    <cfRule type="expression" dxfId="162" priority="69">
      <formula>ABS(G$7-G$10)&gt;=1000</formula>
    </cfRule>
  </conditionalFormatting>
  <conditionalFormatting sqref="H4:K4">
    <cfRule type="expression" dxfId="161" priority="68">
      <formula>ABS(H$7-H$10)&gt;=1000</formula>
    </cfRule>
  </conditionalFormatting>
  <conditionalFormatting sqref="I8">
    <cfRule type="expression" dxfId="160" priority="67">
      <formula>ABS(I$7-I$10)&gt;=1000</formula>
    </cfRule>
  </conditionalFormatting>
  <conditionalFormatting sqref="L4:L5 M4:N4">
    <cfRule type="expression" dxfId="159" priority="66">
      <formula>ABS(L$7-L$10)&gt;=1000</formula>
    </cfRule>
  </conditionalFormatting>
  <conditionalFormatting sqref="M5">
    <cfRule type="expression" dxfId="158" priority="65">
      <formula>ABS(M$7-M$10)&gt;=1000</formula>
    </cfRule>
  </conditionalFormatting>
  <conditionalFormatting sqref="N5">
    <cfRule type="expression" dxfId="157" priority="64">
      <formula>ABS(N$7-N$10)&gt;=1000</formula>
    </cfRule>
  </conditionalFormatting>
  <conditionalFormatting sqref="D5">
    <cfRule type="expression" dxfId="156" priority="63">
      <formula>ABS(D$7-D$10)&gt;=1000</formula>
    </cfRule>
  </conditionalFormatting>
  <conditionalFormatting sqref="E5:G5">
    <cfRule type="expression" dxfId="155" priority="62">
      <formula>ABS(E$7-E$10)&gt;=1000</formula>
    </cfRule>
  </conditionalFormatting>
  <conditionalFormatting sqref="H5">
    <cfRule type="expression" dxfId="154" priority="61">
      <formula>ABS(H$7-H$10)&gt;=1000</formula>
    </cfRule>
  </conditionalFormatting>
  <conditionalFormatting sqref="O4:P4">
    <cfRule type="expression" dxfId="153" priority="60">
      <formula>ABS(O$7-O$10)&gt;=1000</formula>
    </cfRule>
  </conditionalFormatting>
  <conditionalFormatting sqref="O5">
    <cfRule type="expression" dxfId="152" priority="59">
      <formula>ABS(O$7-O$10)&gt;=1000</formula>
    </cfRule>
  </conditionalFormatting>
  <conditionalFormatting sqref="I6">
    <cfRule type="expression" dxfId="151" priority="58">
      <formula>ABS(I$7-I$10)&gt;=1000</formula>
    </cfRule>
  </conditionalFormatting>
  <conditionalFormatting sqref="P5">
    <cfRule type="expression" dxfId="150" priority="57">
      <formula>ABS(P$7-P$10)&gt;=1000</formula>
    </cfRule>
  </conditionalFormatting>
  <conditionalFormatting sqref="I5">
    <cfRule type="expression" dxfId="149" priority="56">
      <formula>ABS(I$7-I$10)&gt;=1000</formula>
    </cfRule>
  </conditionalFormatting>
  <conditionalFormatting sqref="D6 D8">
    <cfRule type="expression" dxfId="148" priority="55">
      <formula>ABS(D$7-D$10)&gt;=1000</formula>
    </cfRule>
  </conditionalFormatting>
  <conditionalFormatting sqref="E6 E8">
    <cfRule type="expression" dxfId="147" priority="54">
      <formula>ABS(E$7-E$10)&gt;=1000</formula>
    </cfRule>
  </conditionalFormatting>
  <conditionalFormatting sqref="F6 F8">
    <cfRule type="expression" dxfId="146" priority="53">
      <formula>ABS(F$7-F$10)&gt;=1000</formula>
    </cfRule>
  </conditionalFormatting>
  <conditionalFormatting sqref="G6 G8">
    <cfRule type="expression" dxfId="145" priority="52">
      <formula>ABS(G$7-G$10)&gt;=1000</formula>
    </cfRule>
  </conditionalFormatting>
  <conditionalFormatting sqref="H8">
    <cfRule type="expression" dxfId="144" priority="51">
      <formula>ABS(H$7-H$10)&gt;=1000</formula>
    </cfRule>
  </conditionalFormatting>
  <conditionalFormatting sqref="H6">
    <cfRule type="expression" dxfId="143" priority="50">
      <formula>ABS(H$7-H$10)&gt;=1000</formula>
    </cfRule>
  </conditionalFormatting>
  <conditionalFormatting sqref="J8">
    <cfRule type="expression" dxfId="142" priority="49">
      <formula>ABS(J$7-J$10)&gt;=1000</formula>
    </cfRule>
  </conditionalFormatting>
  <conditionalFormatting sqref="K8">
    <cfRule type="expression" dxfId="141" priority="48">
      <formula>ABS(K$7-K$10)&gt;=1000</formula>
    </cfRule>
  </conditionalFormatting>
  <conditionalFormatting sqref="L8">
    <cfRule type="expression" dxfId="140" priority="47">
      <formula>ABS(L$7-L$10)&gt;=1000</formula>
    </cfRule>
  </conditionalFormatting>
  <conditionalFormatting sqref="M8">
    <cfRule type="expression" dxfId="139" priority="46">
      <formula>ABS(M$7-M$10)&gt;=1000</formula>
    </cfRule>
  </conditionalFormatting>
  <conditionalFormatting sqref="N8">
    <cfRule type="expression" dxfId="138" priority="45">
      <formula>ABS(N$7-N$10)&gt;=1000</formula>
    </cfRule>
  </conditionalFormatting>
  <conditionalFormatting sqref="O8">
    <cfRule type="expression" dxfId="137" priority="44">
      <formula>ABS(O$7-O$10)&gt;=1000</formula>
    </cfRule>
  </conditionalFormatting>
  <conditionalFormatting sqref="P8">
    <cfRule type="expression" dxfId="136" priority="43">
      <formula>ABS(P$7-P$10)&gt;=1000</formula>
    </cfRule>
  </conditionalFormatting>
  <conditionalFormatting sqref="J6">
    <cfRule type="expression" dxfId="135" priority="42">
      <formula>ABS(J$7-J$10)&gt;=1000</formula>
    </cfRule>
  </conditionalFormatting>
  <conditionalFormatting sqref="K6">
    <cfRule type="expression" dxfId="134" priority="41">
      <formula>ABS(K$7-K$10)&gt;=1000</formula>
    </cfRule>
  </conditionalFormatting>
  <conditionalFormatting sqref="L6">
    <cfRule type="expression" dxfId="133" priority="40">
      <formula>ABS(L$7-L$10)&gt;=1000</formula>
    </cfRule>
  </conditionalFormatting>
  <conditionalFormatting sqref="M6">
    <cfRule type="expression" dxfId="132" priority="39">
      <formula>ABS(M$7-M$10)&gt;=1000</formula>
    </cfRule>
  </conditionalFormatting>
  <conditionalFormatting sqref="N6">
    <cfRule type="expression" dxfId="131" priority="38">
      <formula>ABS(N$7-N$10)&gt;=1000</formula>
    </cfRule>
  </conditionalFormatting>
  <conditionalFormatting sqref="O6">
    <cfRule type="expression" dxfId="130" priority="37">
      <formula>ABS(O$7-O$10)&gt;=1000</formula>
    </cfRule>
  </conditionalFormatting>
  <conditionalFormatting sqref="P6">
    <cfRule type="expression" dxfId="129" priority="36">
      <formula>ABS(P$7-P$10)&gt;=1000</formula>
    </cfRule>
  </conditionalFormatting>
  <conditionalFormatting sqref="L7">
    <cfRule type="expression" dxfId="128" priority="35">
      <formula>ABS(L$7-L$10)&gt;=1000</formula>
    </cfRule>
  </conditionalFormatting>
  <conditionalFormatting sqref="M7">
    <cfRule type="expression" dxfId="127" priority="34">
      <formula>ABS(M$7-M$10)&gt;=1000</formula>
    </cfRule>
  </conditionalFormatting>
  <conditionalFormatting sqref="O7:P7">
    <cfRule type="expression" dxfId="126" priority="33">
      <formula>ABS(O$7-O$10)&gt;=1000</formula>
    </cfRule>
  </conditionalFormatting>
  <conditionalFormatting sqref="N7">
    <cfRule type="expression" dxfId="125" priority="32">
      <formula>ABS(N$7-N$10)&gt;=1000</formula>
    </cfRule>
  </conditionalFormatting>
  <conditionalFormatting sqref="H7:K7">
    <cfRule type="expression" dxfId="124" priority="31">
      <formula>ABS(H$7-H$10)&gt;=1000</formula>
    </cfRule>
  </conditionalFormatting>
  <conditionalFormatting sqref="D7:G7">
    <cfRule type="expression" dxfId="123" priority="30">
      <formula>ABS(D$7-D$10)&gt;=1000</formula>
    </cfRule>
  </conditionalFormatting>
  <conditionalFormatting sqref="J5:K5">
    <cfRule type="expression" dxfId="122" priority="29">
      <formula>ABS(J$7-J$10)&gt;=1000</formula>
    </cfRule>
  </conditionalFormatting>
  <conditionalFormatting sqref="D9 D11">
    <cfRule type="expression" dxfId="121" priority="28">
      <formula>ABS(D$7-D$10)&gt;=1000</formula>
    </cfRule>
  </conditionalFormatting>
  <conditionalFormatting sqref="E9 E11">
    <cfRule type="expression" dxfId="120" priority="27">
      <formula>ABS(E$7-E$10)&gt;=1000</formula>
    </cfRule>
  </conditionalFormatting>
  <conditionalFormatting sqref="F9 F11">
    <cfRule type="expression" dxfId="119" priority="26">
      <formula>ABS(F$7-F$10)&gt;=1000</formula>
    </cfRule>
  </conditionalFormatting>
  <conditionalFormatting sqref="G9 G11">
    <cfRule type="expression" dxfId="118" priority="25">
      <formula>ABS(G$7-G$10)&gt;=1000</formula>
    </cfRule>
  </conditionalFormatting>
  <conditionalFormatting sqref="H11">
    <cfRule type="expression" dxfId="117" priority="24">
      <formula>ABS(H$7-H$10)&gt;=1000</formula>
    </cfRule>
  </conditionalFormatting>
  <conditionalFormatting sqref="I11">
    <cfRule type="expression" dxfId="116" priority="23">
      <formula>ABS(I$7-I$10)&gt;=1000</formula>
    </cfRule>
  </conditionalFormatting>
  <conditionalFormatting sqref="J11">
    <cfRule type="expression" dxfId="115" priority="22">
      <formula>ABS(J$7-J$10)&gt;=1000</formula>
    </cfRule>
  </conditionalFormatting>
  <conditionalFormatting sqref="K11">
    <cfRule type="expression" dxfId="114" priority="21">
      <formula>ABS(K$7-K$10)&gt;=1000</formula>
    </cfRule>
  </conditionalFormatting>
  <conditionalFormatting sqref="L11">
    <cfRule type="expression" dxfId="113" priority="20">
      <formula>ABS(L$7-L$10)&gt;=1000</formula>
    </cfRule>
  </conditionalFormatting>
  <conditionalFormatting sqref="M11">
    <cfRule type="expression" dxfId="112" priority="19">
      <formula>ABS(M$7-M$10)&gt;=1000</formula>
    </cfRule>
  </conditionalFormatting>
  <conditionalFormatting sqref="N11">
    <cfRule type="expression" dxfId="111" priority="18">
      <formula>ABS(N$7-N$10)&gt;=1000</formula>
    </cfRule>
  </conditionalFormatting>
  <conditionalFormatting sqref="O11">
    <cfRule type="expression" dxfId="110" priority="17">
      <formula>ABS(O$7-O$10)&gt;=1000</formula>
    </cfRule>
  </conditionalFormatting>
  <conditionalFormatting sqref="P11">
    <cfRule type="expression" dxfId="109" priority="16">
      <formula>ABS(P$7-P$10)&gt;=1000</formula>
    </cfRule>
  </conditionalFormatting>
  <conditionalFormatting sqref="H9">
    <cfRule type="expression" dxfId="108" priority="15">
      <formula>ABS(H$7-H$10)&gt;=1000</formula>
    </cfRule>
  </conditionalFormatting>
  <conditionalFormatting sqref="J9">
    <cfRule type="expression" dxfId="107" priority="14">
      <formula>ABS(J$7-J$10)&gt;=1000</formula>
    </cfRule>
  </conditionalFormatting>
  <conditionalFormatting sqref="K9">
    <cfRule type="expression" dxfId="106" priority="13">
      <formula>ABS(K$7-K$10)&gt;=1000</formula>
    </cfRule>
  </conditionalFormatting>
  <conditionalFormatting sqref="L9">
    <cfRule type="expression" dxfId="105" priority="12">
      <formula>ABS(L$7-L$10)&gt;=1000</formula>
    </cfRule>
  </conditionalFormatting>
  <conditionalFormatting sqref="M9">
    <cfRule type="expression" dxfId="104" priority="11">
      <formula>ABS(M$7-M$10)&gt;=1000</formula>
    </cfRule>
  </conditionalFormatting>
  <conditionalFormatting sqref="N9">
    <cfRule type="expression" dxfId="103" priority="10">
      <formula>ABS(N$7-N$10)&gt;=1000</formula>
    </cfRule>
  </conditionalFormatting>
  <conditionalFormatting sqref="O9">
    <cfRule type="expression" dxfId="102" priority="9">
      <formula>ABS(O$7-O$10)&gt;=1000</formula>
    </cfRule>
  </conditionalFormatting>
  <conditionalFormatting sqref="P9">
    <cfRule type="expression" dxfId="101" priority="8">
      <formula>ABS(P$7-P$10)&gt;=1000</formula>
    </cfRule>
  </conditionalFormatting>
  <conditionalFormatting sqref="I9">
    <cfRule type="expression" dxfId="100" priority="7">
      <formula>ABS(I$7-I$10)&gt;=1000</formula>
    </cfRule>
  </conditionalFormatting>
  <conditionalFormatting sqref="L10">
    <cfRule type="expression" dxfId="99" priority="6">
      <formula>ABS(L$7-L$10)&gt;=1000</formula>
    </cfRule>
  </conditionalFormatting>
  <conditionalFormatting sqref="M10">
    <cfRule type="expression" dxfId="98" priority="5">
      <formula>ABS(M$7-M$10)&gt;=1000</formula>
    </cfRule>
  </conditionalFormatting>
  <conditionalFormatting sqref="O10:P10">
    <cfRule type="expression" dxfId="97" priority="4">
      <formula>ABS(O$7-O$10)&gt;=1000</formula>
    </cfRule>
  </conditionalFormatting>
  <conditionalFormatting sqref="N10">
    <cfRule type="expression" dxfId="96" priority="3">
      <formula>ABS(N$7-N$10)&gt;=1000</formula>
    </cfRule>
  </conditionalFormatting>
  <conditionalFormatting sqref="H10:K10">
    <cfRule type="expression" dxfId="95" priority="2">
      <formula>ABS(H$7-H$10)&gt;=1000</formula>
    </cfRule>
  </conditionalFormatting>
  <conditionalFormatting sqref="D10:G10">
    <cfRule type="expression" dxfId="94" priority="1">
      <formula>ABS(D$7-D$10)&gt;=1000</formula>
    </cfRule>
  </conditionalFormatting>
  <conditionalFormatting sqref="I12">
    <cfRule type="expression" dxfId="93" priority="73">
      <formula>ABS(#REF!-#REF!)&gt;=1000</formula>
    </cfRule>
  </conditionalFormatting>
  <conditionalFormatting sqref="D6">
    <cfRule type="expression" dxfId="92" priority="82" stopIfTrue="1">
      <formula>MOD(ROUND($D$6*100,2),1)=0</formula>
    </cfRule>
  </conditionalFormatting>
  <conditionalFormatting sqref="E6">
    <cfRule type="expression" dxfId="91" priority="83" stopIfTrue="1">
      <formula>MOD(ROUND($E$6*100,2),1)=0</formula>
    </cfRule>
  </conditionalFormatting>
  <conditionalFormatting sqref="F6">
    <cfRule type="expression" dxfId="90" priority="84" stopIfTrue="1">
      <formula>MOD(ROUND($F$6*100,2),1)=0</formula>
    </cfRule>
  </conditionalFormatting>
  <conditionalFormatting sqref="G6">
    <cfRule type="expression" dxfId="89" priority="85" stopIfTrue="1">
      <formula>MOD(ROUND($G$6*100,2),1)=0</formula>
    </cfRule>
  </conditionalFormatting>
  <conditionalFormatting sqref="D9">
    <cfRule type="expression" dxfId="88" priority="86" stopIfTrue="1">
      <formula>MOD(ROUND($D$9*100,2),1)=0</formula>
    </cfRule>
  </conditionalFormatting>
  <conditionalFormatting sqref="E9">
    <cfRule type="expression" dxfId="87" priority="87" stopIfTrue="1">
      <formula>MOD(ROUND($E$9*100,2),1)=0</formula>
    </cfRule>
  </conditionalFormatting>
  <conditionalFormatting sqref="F9">
    <cfRule type="expression" dxfId="86" priority="88" stopIfTrue="1">
      <formula>MOD(ROUND($F$9*100,2),1)=0</formula>
    </cfRule>
  </conditionalFormatting>
  <conditionalFormatting sqref="G9">
    <cfRule type="expression" dxfId="85"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59713" r:id="rId4" name="CommandButton1">
          <controlPr defaultSize="0" autoLine="0" r:id="rId5">
            <anchor moveWithCells="1">
              <from>
                <xdr:col>21</xdr:col>
                <xdr:colOff>106680</xdr:colOff>
                <xdr:row>0</xdr:row>
                <xdr:rowOff>99060</xdr:rowOff>
              </from>
              <to>
                <xdr:col>23</xdr:col>
                <xdr:colOff>22860</xdr:colOff>
                <xdr:row>2</xdr:row>
                <xdr:rowOff>152400</xdr:rowOff>
              </to>
            </anchor>
          </controlPr>
        </control>
      </mc:Choice>
      <mc:Fallback>
        <control shapeId="3059713" r:id="rId4" name="CommandButton1"/>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22">
    <pageSetUpPr fitToPage="1"/>
  </sheetPr>
  <dimension ref="A1:AQ205"/>
  <sheetViews>
    <sheetView tabSelected="1" view="pageBreakPreview" topLeftCell="A4" zoomScaleNormal="100" zoomScaleSheetLayoutView="100" workbookViewId="0">
      <selection activeCell="K7" sqref="K7"/>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85" t="s" ph="1">
        <v>39</v>
      </c>
      <c r="C1" s="285" ph="1"/>
      <c r="D1" s="285" ph="1"/>
      <c r="E1" s="285" ph="1"/>
      <c r="F1" s="285" ph="1"/>
      <c r="G1" s="285" ph="1"/>
      <c r="H1" s="285" ph="1"/>
      <c r="I1" s="285" ph="1"/>
      <c r="J1" s="285" ph="1"/>
      <c r="K1" s="285" ph="1"/>
      <c r="L1" s="285" ph="1"/>
      <c r="M1" s="285" ph="1"/>
      <c r="N1" s="285" ph="1"/>
      <c r="O1" s="285" ph="1"/>
      <c r="P1" s="285" ph="1"/>
      <c r="Q1" s="285" ph="1"/>
      <c r="R1" s="285" ph="1"/>
      <c r="S1" s="285" ph="1"/>
      <c r="T1" s="285" ph="1"/>
      <c r="U1" s="285" ph="1"/>
    </row>
    <row r="2" spans="1:43" s="55" customFormat="1" ht="24" customHeight="1" ph="1">
      <c r="B2" s="286" t="s" ph="1">
        <v>173</v>
      </c>
      <c r="C2" s="286" ph="1"/>
      <c r="D2" s="286" ph="1"/>
      <c r="E2" s="286" ph="1"/>
      <c r="F2" s="286" ph="1"/>
      <c r="G2" s="286" ph="1"/>
      <c r="H2" s="286" ph="1"/>
      <c r="I2" s="286" ph="1"/>
      <c r="J2" s="286" ph="1"/>
      <c r="K2" s="286" ph="1"/>
      <c r="L2" s="286" ph="1"/>
      <c r="M2" s="286" ph="1"/>
      <c r="N2" s="286" ph="1"/>
      <c r="O2" s="286" ph="1"/>
      <c r="P2" s="286" ph="1"/>
      <c r="Q2" s="286" ph="1"/>
      <c r="R2" s="286" ph="1"/>
      <c r="S2" s="286" ph="1"/>
      <c r="T2" s="286" ph="1"/>
      <c r="U2" s="286" ph="1"/>
    </row>
    <row r="3" spans="1:43" ht="21" customHeight="1" ph="1">
      <c r="B3" s="287" ph="1">
        <v>46265</v>
      </c>
      <c r="C3" s="287"/>
      <c r="D3" s="287"/>
      <c r="E3" s="287"/>
      <c r="F3" s="287"/>
      <c r="G3" s="287"/>
      <c r="H3" s="287"/>
      <c r="I3" s="287"/>
      <c r="J3" s="287"/>
      <c r="K3" s="287"/>
      <c r="L3" s="287"/>
      <c r="M3" s="287"/>
      <c r="N3" s="287"/>
      <c r="O3" s="287"/>
      <c r="P3" s="287"/>
      <c r="Q3" s="287"/>
      <c r="R3" s="287"/>
      <c r="S3" s="287"/>
      <c r="T3" s="287"/>
      <c r="U3" s="287"/>
    </row>
    <row r="4" spans="1:43" s="58" customFormat="1" ht="25.95" customHeight="1" ph="1">
      <c r="A4" s="54" ph="1"/>
      <c r="B4" s="26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88" t="s" ph="1">
        <v>31</v>
      </c>
      <c r="R4" s="289"/>
      <c r="S4" s="289"/>
      <c r="T4" s="289"/>
      <c r="U4" s="29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6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91" t="s" ph="1">
        <v>174</v>
      </c>
      <c r="R5" s="292"/>
      <c r="S5" s="292"/>
      <c r="T5" s="292"/>
      <c r="U5" s="29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84" ph="1">
        <v>0.33333333333333331</v>
      </c>
      <c r="C6" s="206" t="s" ph="1">
        <v>42</v>
      </c>
      <c r="D6" s="151">
        <v>0.82590000000000008</v>
      </c>
      <c r="E6" s="151">
        <v>9.01E-2</v>
      </c>
      <c r="F6" s="151">
        <v>0.35520000000000002</v>
      </c>
      <c r="G6" s="151">
        <v>0.98659999999999992</v>
      </c>
      <c r="H6" s="150">
        <v>2348</v>
      </c>
      <c r="I6" s="150">
        <v>3003</v>
      </c>
      <c r="J6" s="150">
        <v>3291</v>
      </c>
      <c r="K6" s="150">
        <v>3914</v>
      </c>
      <c r="L6" s="150">
        <v>3529</v>
      </c>
      <c r="M6" s="150">
        <v>1611</v>
      </c>
      <c r="N6" s="150">
        <v>2343</v>
      </c>
      <c r="O6" s="150">
        <v>1839</v>
      </c>
      <c r="P6" s="150">
        <v>4321</v>
      </c>
      <c r="Q6" s="294"/>
      <c r="R6" s="295"/>
      <c r="S6" s="295"/>
      <c r="T6" s="295"/>
      <c r="U6" s="296"/>
    </row>
    <row r="7" spans="1:43" s="61" customFormat="1" ht="25.95" customHeight="1" ph="1">
      <c r="B7" s="284" ph="1"/>
      <c r="C7" s="57" t="s" ph="1">
        <v>43</v>
      </c>
      <c r="D7" s="62" ph="1">
        <f>((D6*5885)*4.48)*LOOKUP(D8,密度!$A$2:$A$50,密度!$B$2:$B$50)</f>
        <v>16842.721415520002</v>
      </c>
      <c r="E7" s="62" ph="1">
        <f>((E6*5885)*4.48)*LOOKUP(E8,密度!$A$2:$A$50,密度!$B$2:$B$50)</f>
        <v>1843.8386341760004</v>
      </c>
      <c r="F7" s="62" ph="1">
        <f>((F6*5885)*4.48)*LOOKUP(F8,密度!$A$2:$A$50,密度!$B$2:$B$50)</f>
        <v>7243.6549785600018</v>
      </c>
      <c r="G7" s="62" ph="1">
        <f>((G6*5885)*4.48)*LOOKUP(G8,密度!$A$2:$A$50,密度!$B$2:$B$50)</f>
        <v>20166.725005503999</v>
      </c>
      <c r="H7" s="62" ph="1">
        <f>IF(H6&lt;=0,0,IF(H6&lt;=745,PI()*(5.3235*(H6/1000)^2-(4/3)*(H6/1000)^3),7.55+15.2053*((H6-745)/1000))*LOOKUP(H8,密度!$A$2:$A$50,密度!$B$2:$B$50)*1000)</f>
        <v>24750.751551270001</v>
      </c>
      <c r="I7" s="62" ph="1">
        <f>IF(I6&lt;=0,0,IF(I6&lt;=745,PI()*(5.3235*(I6/1000)^2-(4/3)*(I6/1000)^3),7.55+15.2053*((I6-745)/1000))*LOOKUP(I8,密度!$A$2:$A$50,密度!$B$2:$B$50)*1000)</f>
        <v>32434.634594559993</v>
      </c>
      <c r="J7" s="62" ph="1">
        <f>IF(J6&lt;=0,0,IF(J6&lt;=745,PI()*(5.3235*(J6/1000)^2-(4/3)*(J6/1000)^3),7.55+15.2053*((J6-745)/1000))*LOOKUP(J8,密度!$A$2:$A$50,密度!$B$2:$B$50)*1000)</f>
        <v>35946.113082599994</v>
      </c>
      <c r="K7" s="62" ph="1">
        <f>IF(K6&lt;=0,0,IF(K6&lt;=745,PI()*(5.3235*(K6/1000)^2-(4/3)*(K6/1000)^3),7.55+15.2053*((K6-745)/1000))*LOOKUP(K8,密度!$A$2:$A$50,密度!$B$2:$B$50)*1000)</f>
        <v>43211.807346209993</v>
      </c>
      <c r="L7" s="62" ph="1">
        <f>L6*26.42*LOOKUP(L8,密度!$A$2:$A$50,密度!$B$2:$B$50)</f>
        <v>72369.92291600001</v>
      </c>
      <c r="M7" s="62" ph="1">
        <f>M6*26.42*1</f>
        <v>42562.62</v>
      </c>
      <c r="N7" s="62" ph="1">
        <f>N6*18.32*LOOKUP(N8,密度!$A$2:$A$50,密度!$B$2:$B$50)</f>
        <v>33390.392904</v>
      </c>
      <c r="O7" s="62" ph="1">
        <f>O6*81.71*LOOKUP(O8,密度!$A$2:$A$50,密度!$B$2:$B$50)</f>
        <v>116500.21415699999</v>
      </c>
      <c r="P7" s="62" ph="1">
        <f>P6*81.71*LOOKUP(P8,密度!$A$2:$A$50,密度!$B$2:$B$50)</f>
        <v>274052.08794199995</v>
      </c>
      <c r="Q7" s="294"/>
      <c r="R7" s="295"/>
      <c r="S7" s="295"/>
      <c r="T7" s="295"/>
      <c r="U7" s="296"/>
    </row>
    <row r="8" spans="1:43" ht="25.95" customHeight="1" ph="1">
      <c r="B8" s="284" ph="1"/>
      <c r="C8" s="57" t="s" ph="1">
        <v>44</v>
      </c>
      <c r="D8" s="149">
        <v>32</v>
      </c>
      <c r="E8" s="149">
        <v>29</v>
      </c>
      <c r="F8" s="149">
        <v>32</v>
      </c>
      <c r="G8" s="149">
        <v>30</v>
      </c>
      <c r="H8" s="149">
        <v>30</v>
      </c>
      <c r="I8" s="149">
        <v>31</v>
      </c>
      <c r="J8" s="149">
        <v>28</v>
      </c>
      <c r="K8" s="149">
        <v>30</v>
      </c>
      <c r="L8" s="149">
        <v>29</v>
      </c>
      <c r="M8" s="149">
        <v>29</v>
      </c>
      <c r="N8" s="149">
        <v>27</v>
      </c>
      <c r="O8" s="149">
        <v>30</v>
      </c>
      <c r="P8" s="149">
        <v>29</v>
      </c>
      <c r="Q8" s="294"/>
      <c r="R8" s="295"/>
      <c r="S8" s="295"/>
      <c r="T8" s="295"/>
      <c r="U8" s="296"/>
    </row>
    <row r="9" spans="1:43" ht="25.95" customHeight="1" ph="1">
      <c r="B9" s="284" ph="1">
        <v>0.66666666666666663</v>
      </c>
      <c r="C9" s="206" t="s" ph="1">
        <v>45</v>
      </c>
      <c r="D9" s="151">
        <v>0.82489999999999997</v>
      </c>
      <c r="E9" s="151">
        <v>0.54039999999999999</v>
      </c>
      <c r="F9" s="151">
        <v>0.67120000000000002</v>
      </c>
      <c r="G9" s="151">
        <v>0.6663</v>
      </c>
      <c r="H9" s="150">
        <v>1449</v>
      </c>
      <c r="I9" s="150">
        <v>1214</v>
      </c>
      <c r="J9" s="150">
        <v>3234</v>
      </c>
      <c r="K9" s="150">
        <v>5560</v>
      </c>
      <c r="L9" s="150">
        <v>3291</v>
      </c>
      <c r="M9" s="150">
        <v>1611</v>
      </c>
      <c r="N9" s="150">
        <v>2457</v>
      </c>
      <c r="O9" s="150">
        <v>3031</v>
      </c>
      <c r="P9" s="150">
        <v>4323</v>
      </c>
      <c r="Q9" s="294"/>
      <c r="R9" s="295"/>
      <c r="S9" s="295"/>
      <c r="T9" s="295"/>
      <c r="U9" s="296"/>
    </row>
    <row r="10" spans="1:43" s="61" customFormat="1" ht="25.95" customHeight="1" ph="1">
      <c r="B10" s="284" ph="1"/>
      <c r="C10" s="206" t="s" ph="1">
        <v>43</v>
      </c>
      <c r="D10" s="62" ph="1">
        <f>((D9*5885)*4.48)*LOOKUP(D11,密度!$A$2:$A$50,密度!$B$2:$B$50)</f>
        <v>16841.901733888</v>
      </c>
      <c r="E10" s="62" ph="1">
        <f>((E9*5885)*4.48)*LOOKUP(E11,密度!$A$2:$A$50,密度!$B$2:$B$50)</f>
        <v>11009.072550784002</v>
      </c>
      <c r="F10" s="62" ph="1">
        <f>((F9*5885)*4.48)*LOOKUP(F11,密度!$A$2:$A$50,密度!$B$2:$B$50)</f>
        <v>13687.897583360002</v>
      </c>
      <c r="G10" s="62" ph="1">
        <f>((G9*5885)*4.48)*LOOKUP(G11,密度!$A$2:$A$50,密度!$B$2:$B$50)</f>
        <v>13679.318741087998</v>
      </c>
      <c r="H10" s="62" ph="1">
        <f>IF(H9&lt;=0,0,IF(H9&lt;=745,PI()*(5.3235*(H9/1000)^2-(4/3)*(H9/1000)^3),7.55+15.2053*((H9-745)/1000))*LOOKUP(H11,密度!$A$2:$A$50,密度!$B$2:$B$50)*1000)</f>
        <v>14119.879883199997</v>
      </c>
      <c r="I10" s="62" ph="1">
        <f>IF(I9&lt;=0,0,IF(I9&lt;=745,PI()*(5.3235*(I9/1000)^2-(4/3)*(I9/1000)^3),7.55+15.2053*((I9-745)/1000))*LOOKUP(I11,密度!$A$2:$A$50,密度!$B$2:$B$50)*1000)</f>
        <v>11369.187646079999</v>
      </c>
      <c r="J10" s="62" ph="1">
        <f>IF(J9&lt;=0,0,IF(J9&lt;=745,PI()*(5.3235*(J9/1000)^2-(4/3)*(J9/1000)^3),7.55+15.2053*((J9-745)/1000))*LOOKUP(J11,密度!$A$2:$A$50,密度!$B$2:$B$50)*1000)</f>
        <v>35272.685550900002</v>
      </c>
      <c r="K10" s="62" ph="1">
        <f>IF(K9&lt;=0,0,IF(K9&lt;=745,PI()*(5.3235*(K9/1000)^2-(4/3)*(K9/1000)^3),7.55+15.2053*((K9-745)/1000))*LOOKUP(K11,密度!$A$2:$A$50,密度!$B$2:$B$50)*1000)</f>
        <v>62615.956668350002</v>
      </c>
      <c r="L10" s="62" ph="1">
        <f>L9*26.42*LOOKUP(L11,密度!$A$2:$A$50,密度!$B$2:$B$50)</f>
        <v>67558.766940000001</v>
      </c>
      <c r="M10" s="62" ph="1">
        <f>M9*26.42*1</f>
        <v>42562.62</v>
      </c>
      <c r="N10" s="62" ph="1">
        <f>N9*18.32*LOOKUP(N11,密度!$A$2:$A$50,密度!$B$2:$B$50)</f>
        <v>34974.510479999997</v>
      </c>
      <c r="O10" s="62" ph="1">
        <f>O9*81.71*LOOKUP(O11,密度!$A$2:$A$50,密度!$B$2:$B$50)</f>
        <v>192236.02836199998</v>
      </c>
      <c r="P10" s="62" ph="1">
        <f>P9*81.71*LOOKUP(P11,密度!$A$2:$A$50,密度!$B$2:$B$50)</f>
        <v>274178.93454599997</v>
      </c>
      <c r="Q10" s="294"/>
      <c r="R10" s="295"/>
      <c r="S10" s="295"/>
      <c r="T10" s="295"/>
      <c r="U10" s="296"/>
    </row>
    <row r="11" spans="1:43" ht="25.95" customHeight="1" ph="1">
      <c r="A11" s="53" t="s" ph="1">
        <v>40</v>
      </c>
      <c r="B11" s="284" ph="1"/>
      <c r="C11" s="206" t="s" ph="1">
        <v>44</v>
      </c>
      <c r="D11" s="149">
        <v>31</v>
      </c>
      <c r="E11" s="149">
        <v>33</v>
      </c>
      <c r="F11" s="149">
        <v>32</v>
      </c>
      <c r="G11" s="149">
        <v>26</v>
      </c>
      <c r="H11" s="149">
        <v>32</v>
      </c>
      <c r="I11" s="149">
        <v>31</v>
      </c>
      <c r="J11" s="149">
        <v>28</v>
      </c>
      <c r="K11" s="149">
        <v>30</v>
      </c>
      <c r="L11" s="149">
        <v>28</v>
      </c>
      <c r="M11" s="149">
        <v>30</v>
      </c>
      <c r="N11" s="149">
        <v>28</v>
      </c>
      <c r="O11" s="149">
        <v>29</v>
      </c>
      <c r="P11" s="149">
        <v>29</v>
      </c>
      <c r="Q11" s="297"/>
      <c r="R11" s="298"/>
      <c r="S11" s="298"/>
      <c r="T11" s="298"/>
      <c r="U11" s="299"/>
    </row>
    <row r="12" spans="1:43" ht="25.95" customHeight="1" ph="1">
      <c r="H12" s="157" ph="1"/>
      <c r="I12" s="158" ph="1"/>
      <c r="J12" s="157" ph="1"/>
      <c r="U12" s="119" ph="1"/>
    </row>
    <row r="13" spans="1:43" ht="28.2" ph="1">
      <c r="A13" s="53"/>
      <c r="B13" s="267" t="s" ph="1">
        <v>23</v>
      </c>
      <c r="C13" s="304" ph="1"/>
      <c r="D13" s="245" t="s" ph="1">
        <v>3</v>
      </c>
      <c r="E13" s="246" ph="1"/>
      <c r="F13" s="247" ph="1"/>
      <c r="G13" s="271" ph="1"/>
      <c r="H13" s="246" ph="1"/>
      <c r="I13" s="247" ph="1"/>
      <c r="J13" s="245" ph="1"/>
      <c r="K13" s="246" ph="1"/>
      <c r="L13" s="247" ph="1"/>
      <c r="M13" s="245" ph="1"/>
      <c r="N13" s="246" ph="1"/>
      <c r="O13" s="247" ph="1"/>
      <c r="P13" s="245" ph="1"/>
      <c r="Q13" s="246"/>
      <c r="R13" s="247"/>
      <c r="S13" s="245" ph="1"/>
      <c r="T13" s="246"/>
      <c r="U13" s="247"/>
    </row>
    <row r="14" spans="1:43" ph="1">
      <c r="A14" s="53"/>
      <c r="B14" s="269" ph="1"/>
      <c r="C14" s="305" ph="1"/>
      <c r="D14" s="86" t="s" ph="1">
        <v>0</v>
      </c>
      <c r="E14" s="206" t="s" ph="1">
        <v>1</v>
      </c>
      <c r="F14" s="88" t="s" ph="1">
        <v>28</v>
      </c>
      <c r="G14" s="86" t="s" ph="1">
        <v>0</v>
      </c>
      <c r="H14" s="206" t="s" ph="1">
        <v>1</v>
      </c>
      <c r="I14" s="205" t="s" ph="1">
        <v>28</v>
      </c>
      <c r="J14" s="86" t="s" ph="1">
        <v>0</v>
      </c>
      <c r="K14" s="206" t="s" ph="1">
        <v>1</v>
      </c>
      <c r="L14" s="205" t="s" ph="1">
        <v>28</v>
      </c>
      <c r="M14" s="86" t="s" ph="1">
        <v>0</v>
      </c>
      <c r="N14" s="206" t="s" ph="1">
        <v>1</v>
      </c>
      <c r="O14" s="205" t="s" ph="1">
        <v>28</v>
      </c>
      <c r="P14" s="86" t="s" ph="1">
        <v>0</v>
      </c>
      <c r="Q14" s="87" t="s" ph="1">
        <v>1</v>
      </c>
      <c r="R14" s="88" t="s" ph="1">
        <v>28</v>
      </c>
      <c r="S14" s="86" t="s" ph="1">
        <v>0</v>
      </c>
      <c r="T14" s="206" t="s" ph="1">
        <v>1</v>
      </c>
      <c r="U14" s="88" t="s" ph="1">
        <v>28</v>
      </c>
    </row>
    <row r="15" spans="1:43" ph="1">
      <c r="A15" s="53"/>
      <c r="B15" s="300" t="s" ph="1">
        <v>46</v>
      </c>
      <c r="C15" s="301" ph="1"/>
      <c r="D15" s="241" ph="1">
        <f>O10+P10</f>
        <v>466414.96290799999</v>
      </c>
      <c r="E15" s="233" ph="1">
        <f>H10+I10+J10+K10</f>
        <v>123377.70974853</v>
      </c>
      <c r="F15" s="257" ph="1">
        <f>L10+N10</f>
        <v>102533.27742</v>
      </c>
      <c r="G15" s="259" ph="1">
        <v>0</v>
      </c>
      <c r="H15" s="233" ph="1">
        <v>0</v>
      </c>
      <c r="I15" s="237" ph="1">
        <v>0</v>
      </c>
      <c r="J15" s="241" ph="1">
        <v>0</v>
      </c>
      <c r="K15" s="233" ph="1">
        <v>0</v>
      </c>
      <c r="L15" s="243" ph="1">
        <v>0</v>
      </c>
      <c r="M15" s="241" ph="1">
        <v>0</v>
      </c>
      <c r="N15" s="233" ph="1">
        <v>0</v>
      </c>
      <c r="O15" s="243" ph="1">
        <v>0</v>
      </c>
      <c r="P15" s="241" ph="1">
        <v>0</v>
      </c>
      <c r="Q15" s="233" ph="1">
        <v>0</v>
      </c>
      <c r="R15" s="237" ph="1">
        <v>0</v>
      </c>
      <c r="S15" s="241" ph="1">
        <v>0</v>
      </c>
      <c r="T15" s="233" ph="1">
        <v>0</v>
      </c>
      <c r="U15" s="222" ph="1">
        <v>0</v>
      </c>
    </row>
    <row r="16" spans="1:43" ph="1">
      <c r="A16" s="53"/>
      <c r="B16" s="302" ph="1"/>
      <c r="C16" s="303" ph="1"/>
      <c r="D16" s="242" ph="1"/>
      <c r="E16" s="234" ph="1"/>
      <c r="F16" s="258" ph="1"/>
      <c r="G16" s="260" ph="1"/>
      <c r="H16" s="234" ph="1"/>
      <c r="I16" s="238" ph="1"/>
      <c r="J16" s="242" ph="1"/>
      <c r="K16" s="234" ph="1"/>
      <c r="L16" s="244" ph="1"/>
      <c r="M16" s="242" ph="1"/>
      <c r="N16" s="234" ph="1"/>
      <c r="O16" s="244" ph="1"/>
      <c r="P16" s="242" ph="1"/>
      <c r="Q16" s="234" ph="1"/>
      <c r="R16" s="238" ph="1"/>
      <c r="S16" s="242" ph="1"/>
      <c r="T16" s="234"/>
      <c r="U16" s="223"/>
    </row>
    <row r="17" spans="1:21" ph="1">
      <c r="A17" s="53"/>
      <c r="S17" s="232" t="s" ph="1">
        <v>52</v>
      </c>
      <c r="T17" s="232"/>
      <c r="U17" s="232"/>
    </row>
    <row r="18" spans="1:21" ph="1">
      <c r="A18" s="53"/>
      <c r="B18" s="92" t="s" ph="1">
        <v>47</v>
      </c>
      <c r="G18" s="170" t="s" ph="1">
        <v>172</v>
      </c>
      <c r="H18" s="170" ph="1"/>
      <c r="I18" s="170" ph="1"/>
      <c r="J18" s="170" ph="1"/>
      <c r="K18" s="90" ph="1"/>
      <c r="L18" s="170" t="s" ph="1">
        <v>49</v>
      </c>
      <c r="M18" s="170" ph="1"/>
      <c r="O18" s="204" ph="1"/>
      <c r="P18" s="90" ph="1"/>
      <c r="Q18" s="204" t="s" ph="1">
        <v>50</v>
      </c>
      <c r="R18" s="218" t="s" ph="1">
        <v>176</v>
      </c>
      <c r="S18" s="218" ph="1"/>
    </row>
    <row r="19" spans="1:21" s="204"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B1:U1"/>
    <mergeCell ref="B2:U2"/>
    <mergeCell ref="B3:U3"/>
    <mergeCell ref="B4:B5"/>
    <mergeCell ref="Q4:U4"/>
    <mergeCell ref="Q5:U11"/>
    <mergeCell ref="B6:B8"/>
    <mergeCell ref="B9:B11"/>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R18:S18"/>
    <mergeCell ref="L15:L16"/>
    <mergeCell ref="M15:M16"/>
    <mergeCell ref="N15:N16"/>
    <mergeCell ref="O15:O16"/>
    <mergeCell ref="P15:P16"/>
    <mergeCell ref="Q15:Q16"/>
    <mergeCell ref="R15:R16"/>
    <mergeCell ref="S15:S16"/>
    <mergeCell ref="T15:T16"/>
    <mergeCell ref="U15:U16"/>
    <mergeCell ref="S17:U17"/>
  </mergeCells>
  <phoneticPr fontId="2" type="noConversion"/>
  <conditionalFormatting sqref="D4">
    <cfRule type="expression" dxfId="84" priority="72">
      <formula>ABS(D$7-D$10)&gt;=1000</formula>
    </cfRule>
  </conditionalFormatting>
  <conditionalFormatting sqref="E4">
    <cfRule type="expression" dxfId="83" priority="71">
      <formula>ABS(E$7-E$10)&gt;=1000</formula>
    </cfRule>
  </conditionalFormatting>
  <conditionalFormatting sqref="F4">
    <cfRule type="expression" dxfId="82" priority="70">
      <formula>ABS(F$7-F$10)&gt;=1000</formula>
    </cfRule>
  </conditionalFormatting>
  <conditionalFormatting sqref="G4">
    <cfRule type="expression" dxfId="81" priority="69">
      <formula>ABS(G$7-G$10)&gt;=1000</formula>
    </cfRule>
  </conditionalFormatting>
  <conditionalFormatting sqref="H4:K4">
    <cfRule type="expression" dxfId="80" priority="68">
      <formula>ABS(H$7-H$10)&gt;=1000</formula>
    </cfRule>
  </conditionalFormatting>
  <conditionalFormatting sqref="I8">
    <cfRule type="expression" dxfId="79" priority="67">
      <formula>ABS(I$7-I$10)&gt;=1000</formula>
    </cfRule>
  </conditionalFormatting>
  <conditionalFormatting sqref="L4:L5 M4:N4">
    <cfRule type="expression" dxfId="78" priority="66">
      <formula>ABS(L$7-L$10)&gt;=1000</formula>
    </cfRule>
  </conditionalFormatting>
  <conditionalFormatting sqref="M5">
    <cfRule type="expression" dxfId="77" priority="65">
      <formula>ABS(M$7-M$10)&gt;=1000</formula>
    </cfRule>
  </conditionalFormatting>
  <conditionalFormatting sqref="N5">
    <cfRule type="expression" dxfId="76" priority="64">
      <formula>ABS(N$7-N$10)&gt;=1000</formula>
    </cfRule>
  </conditionalFormatting>
  <conditionalFormatting sqref="D5">
    <cfRule type="expression" dxfId="75" priority="63">
      <formula>ABS(D$7-D$10)&gt;=1000</formula>
    </cfRule>
  </conditionalFormatting>
  <conditionalFormatting sqref="E5:G5">
    <cfRule type="expression" dxfId="74" priority="62">
      <formula>ABS(E$7-E$10)&gt;=1000</formula>
    </cfRule>
  </conditionalFormatting>
  <conditionalFormatting sqref="H5">
    <cfRule type="expression" dxfId="73" priority="61">
      <formula>ABS(H$7-H$10)&gt;=1000</formula>
    </cfRule>
  </conditionalFormatting>
  <conditionalFormatting sqref="O4:P4">
    <cfRule type="expression" dxfId="72" priority="60">
      <formula>ABS(O$7-O$10)&gt;=1000</formula>
    </cfRule>
  </conditionalFormatting>
  <conditionalFormatting sqref="O5">
    <cfRule type="expression" dxfId="71" priority="59">
      <formula>ABS(O$7-O$10)&gt;=1000</formula>
    </cfRule>
  </conditionalFormatting>
  <conditionalFormatting sqref="I6">
    <cfRule type="expression" dxfId="70" priority="58">
      <formula>ABS(I$7-I$10)&gt;=1000</formula>
    </cfRule>
  </conditionalFormatting>
  <conditionalFormatting sqref="P5">
    <cfRule type="expression" dxfId="69" priority="57">
      <formula>ABS(P$7-P$10)&gt;=1000</formula>
    </cfRule>
  </conditionalFormatting>
  <conditionalFormatting sqref="I5">
    <cfRule type="expression" dxfId="68" priority="56">
      <formula>ABS(I$7-I$10)&gt;=1000</formula>
    </cfRule>
  </conditionalFormatting>
  <conditionalFormatting sqref="D6 D8">
    <cfRule type="expression" dxfId="67" priority="55">
      <formula>ABS(D$7-D$10)&gt;=1000</formula>
    </cfRule>
  </conditionalFormatting>
  <conditionalFormatting sqref="E6 E8">
    <cfRule type="expression" dxfId="66" priority="54">
      <formula>ABS(E$7-E$10)&gt;=1000</formula>
    </cfRule>
  </conditionalFormatting>
  <conditionalFormatting sqref="F6 F8">
    <cfRule type="expression" dxfId="65" priority="53">
      <formula>ABS(F$7-F$10)&gt;=1000</formula>
    </cfRule>
  </conditionalFormatting>
  <conditionalFormatting sqref="G6 G8">
    <cfRule type="expression" dxfId="64" priority="52">
      <formula>ABS(G$7-G$10)&gt;=1000</formula>
    </cfRule>
  </conditionalFormatting>
  <conditionalFormatting sqref="H8">
    <cfRule type="expression" dxfId="63" priority="51">
      <formula>ABS(H$7-H$10)&gt;=1000</formula>
    </cfRule>
  </conditionalFormatting>
  <conditionalFormatting sqref="H6">
    <cfRule type="expression" dxfId="62" priority="50">
      <formula>ABS(H$7-H$10)&gt;=1000</formula>
    </cfRule>
  </conditionalFormatting>
  <conditionalFormatting sqref="J8">
    <cfRule type="expression" dxfId="61" priority="49">
      <formula>ABS(J$7-J$10)&gt;=1000</formula>
    </cfRule>
  </conditionalFormatting>
  <conditionalFormatting sqref="K8">
    <cfRule type="expression" dxfId="60" priority="48">
      <formula>ABS(K$7-K$10)&gt;=1000</formula>
    </cfRule>
  </conditionalFormatting>
  <conditionalFormatting sqref="L8">
    <cfRule type="expression" dxfId="59" priority="47">
      <formula>ABS(L$7-L$10)&gt;=1000</formula>
    </cfRule>
  </conditionalFormatting>
  <conditionalFormatting sqref="M8">
    <cfRule type="expression" dxfId="58" priority="46">
      <formula>ABS(M$7-M$10)&gt;=1000</formula>
    </cfRule>
  </conditionalFormatting>
  <conditionalFormatting sqref="N8">
    <cfRule type="expression" dxfId="57" priority="45">
      <formula>ABS(N$7-N$10)&gt;=1000</formula>
    </cfRule>
  </conditionalFormatting>
  <conditionalFormatting sqref="O8">
    <cfRule type="expression" dxfId="56" priority="44">
      <formula>ABS(O$7-O$10)&gt;=1000</formula>
    </cfRule>
  </conditionalFormatting>
  <conditionalFormatting sqref="P8">
    <cfRule type="expression" dxfId="55" priority="43">
      <formula>ABS(P$7-P$10)&gt;=1000</formula>
    </cfRule>
  </conditionalFormatting>
  <conditionalFormatting sqref="J6">
    <cfRule type="expression" dxfId="54" priority="42">
      <formula>ABS(J$7-J$10)&gt;=1000</formula>
    </cfRule>
  </conditionalFormatting>
  <conditionalFormatting sqref="K6">
    <cfRule type="expression" dxfId="53" priority="41">
      <formula>ABS(K$7-K$10)&gt;=1000</formula>
    </cfRule>
  </conditionalFormatting>
  <conditionalFormatting sqref="L6">
    <cfRule type="expression" dxfId="52" priority="40">
      <formula>ABS(L$7-L$10)&gt;=1000</formula>
    </cfRule>
  </conditionalFormatting>
  <conditionalFormatting sqref="M6">
    <cfRule type="expression" dxfId="51" priority="39">
      <formula>ABS(M$7-M$10)&gt;=1000</formula>
    </cfRule>
  </conditionalFormatting>
  <conditionalFormatting sqref="N6">
    <cfRule type="expression" dxfId="50" priority="38">
      <formula>ABS(N$7-N$10)&gt;=1000</formula>
    </cfRule>
  </conditionalFormatting>
  <conditionalFormatting sqref="O6">
    <cfRule type="expression" dxfId="49" priority="37">
      <formula>ABS(O$7-O$10)&gt;=1000</formula>
    </cfRule>
  </conditionalFormatting>
  <conditionalFormatting sqref="P6">
    <cfRule type="expression" dxfId="48" priority="36">
      <formula>ABS(P$7-P$10)&gt;=1000</formula>
    </cfRule>
  </conditionalFormatting>
  <conditionalFormatting sqref="L7">
    <cfRule type="expression" dxfId="47" priority="35">
      <formula>ABS(L$7-L$10)&gt;=1000</formula>
    </cfRule>
  </conditionalFormatting>
  <conditionalFormatting sqref="M7">
    <cfRule type="expression" dxfId="46" priority="34">
      <formula>ABS(M$7-M$10)&gt;=1000</formula>
    </cfRule>
  </conditionalFormatting>
  <conditionalFormatting sqref="O7:P7">
    <cfRule type="expression" dxfId="45" priority="33">
      <formula>ABS(O$7-O$10)&gt;=1000</formula>
    </cfRule>
  </conditionalFormatting>
  <conditionalFormatting sqref="N7">
    <cfRule type="expression" dxfId="44" priority="32">
      <formula>ABS(N$7-N$10)&gt;=1000</formula>
    </cfRule>
  </conditionalFormatting>
  <conditionalFormatting sqref="H7:K7">
    <cfRule type="expression" dxfId="43" priority="31">
      <formula>ABS(H$7-H$10)&gt;=1000</formula>
    </cfRule>
  </conditionalFormatting>
  <conditionalFormatting sqref="D7:G7">
    <cfRule type="expression" dxfId="42" priority="30">
      <formula>ABS(D$7-D$10)&gt;=1000</formula>
    </cfRule>
  </conditionalFormatting>
  <conditionalFormatting sqref="J5:K5">
    <cfRule type="expression" dxfId="41" priority="29">
      <formula>ABS(J$7-J$10)&gt;=1000</formula>
    </cfRule>
  </conditionalFormatting>
  <conditionalFormatting sqref="D9 D11">
    <cfRule type="expression" dxfId="40" priority="28">
      <formula>ABS(D$7-D$10)&gt;=1000</formula>
    </cfRule>
  </conditionalFormatting>
  <conditionalFormatting sqref="E9 E11">
    <cfRule type="expression" dxfId="39" priority="27">
      <formula>ABS(E$7-E$10)&gt;=1000</formula>
    </cfRule>
  </conditionalFormatting>
  <conditionalFormatting sqref="F9 F11">
    <cfRule type="expression" dxfId="38" priority="26">
      <formula>ABS(F$7-F$10)&gt;=1000</formula>
    </cfRule>
  </conditionalFormatting>
  <conditionalFormatting sqref="G9 G11">
    <cfRule type="expression" dxfId="37" priority="25">
      <formula>ABS(G$7-G$10)&gt;=1000</formula>
    </cfRule>
  </conditionalFormatting>
  <conditionalFormatting sqref="H11">
    <cfRule type="expression" dxfId="36" priority="24">
      <formula>ABS(H$7-H$10)&gt;=1000</formula>
    </cfRule>
  </conditionalFormatting>
  <conditionalFormatting sqref="I11">
    <cfRule type="expression" dxfId="35" priority="23">
      <formula>ABS(I$7-I$10)&gt;=1000</formula>
    </cfRule>
  </conditionalFormatting>
  <conditionalFormatting sqref="J11">
    <cfRule type="expression" dxfId="34" priority="22">
      <formula>ABS(J$7-J$10)&gt;=1000</formula>
    </cfRule>
  </conditionalFormatting>
  <conditionalFormatting sqref="K11">
    <cfRule type="expression" dxfId="33" priority="21">
      <formula>ABS(K$7-K$10)&gt;=1000</formula>
    </cfRule>
  </conditionalFormatting>
  <conditionalFormatting sqref="L11">
    <cfRule type="expression" dxfId="32" priority="20">
      <formula>ABS(L$7-L$10)&gt;=1000</formula>
    </cfRule>
  </conditionalFormatting>
  <conditionalFormatting sqref="M11">
    <cfRule type="expression" dxfId="31" priority="19">
      <formula>ABS(M$7-M$10)&gt;=1000</formula>
    </cfRule>
  </conditionalFormatting>
  <conditionalFormatting sqref="N11">
    <cfRule type="expression" dxfId="30" priority="18">
      <formula>ABS(N$7-N$10)&gt;=1000</formula>
    </cfRule>
  </conditionalFormatting>
  <conditionalFormatting sqref="O11">
    <cfRule type="expression" dxfId="29" priority="17">
      <formula>ABS(O$7-O$10)&gt;=1000</formula>
    </cfRule>
  </conditionalFormatting>
  <conditionalFormatting sqref="P11">
    <cfRule type="expression" dxfId="28" priority="16">
      <formula>ABS(P$7-P$10)&gt;=1000</formula>
    </cfRule>
  </conditionalFormatting>
  <conditionalFormatting sqref="H9">
    <cfRule type="expression" dxfId="27" priority="15">
      <formula>ABS(H$7-H$10)&gt;=1000</formula>
    </cfRule>
  </conditionalFormatting>
  <conditionalFormatting sqref="J9">
    <cfRule type="expression" dxfId="26" priority="14">
      <formula>ABS(J$7-J$10)&gt;=1000</formula>
    </cfRule>
  </conditionalFormatting>
  <conditionalFormatting sqref="K9">
    <cfRule type="expression" dxfId="25" priority="13">
      <formula>ABS(K$7-K$10)&gt;=1000</formula>
    </cfRule>
  </conditionalFormatting>
  <conditionalFormatting sqref="L9">
    <cfRule type="expression" dxfId="24" priority="12">
      <formula>ABS(L$7-L$10)&gt;=1000</formula>
    </cfRule>
  </conditionalFormatting>
  <conditionalFormatting sqref="M9">
    <cfRule type="expression" dxfId="23" priority="11">
      <formula>ABS(M$7-M$10)&gt;=1000</formula>
    </cfRule>
  </conditionalFormatting>
  <conditionalFormatting sqref="N9">
    <cfRule type="expression" dxfId="22" priority="10">
      <formula>ABS(N$7-N$10)&gt;=1000</formula>
    </cfRule>
  </conditionalFormatting>
  <conditionalFormatting sqref="O9">
    <cfRule type="expression" dxfId="21" priority="9">
      <formula>ABS(O$7-O$10)&gt;=1000</formula>
    </cfRule>
  </conditionalFormatting>
  <conditionalFormatting sqref="P9">
    <cfRule type="expression" dxfId="20" priority="8">
      <formula>ABS(P$7-P$10)&gt;=1000</formula>
    </cfRule>
  </conditionalFormatting>
  <conditionalFormatting sqref="I9">
    <cfRule type="expression" dxfId="19" priority="7">
      <formula>ABS(I$7-I$10)&gt;=1000</formula>
    </cfRule>
  </conditionalFormatting>
  <conditionalFormatting sqref="L10">
    <cfRule type="expression" dxfId="18" priority="6">
      <formula>ABS(L$7-L$10)&gt;=1000</formula>
    </cfRule>
  </conditionalFormatting>
  <conditionalFormatting sqref="M10">
    <cfRule type="expression" dxfId="17" priority="5">
      <formula>ABS(M$7-M$10)&gt;=1000</formula>
    </cfRule>
  </conditionalFormatting>
  <conditionalFormatting sqref="O10:P10">
    <cfRule type="expression" dxfId="16" priority="4">
      <formula>ABS(O$7-O$10)&gt;=1000</formula>
    </cfRule>
  </conditionalFormatting>
  <conditionalFormatting sqref="N10">
    <cfRule type="expression" dxfId="15" priority="3">
      <formula>ABS(N$7-N$10)&gt;=1000</formula>
    </cfRule>
  </conditionalFormatting>
  <conditionalFormatting sqref="H10:K10">
    <cfRule type="expression" dxfId="14" priority="2">
      <formula>ABS(H$7-H$10)&gt;=1000</formula>
    </cfRule>
  </conditionalFormatting>
  <conditionalFormatting sqref="D10:G10">
    <cfRule type="expression" dxfId="13" priority="1">
      <formula>ABS(D$7-D$10)&gt;=1000</formula>
    </cfRule>
  </conditionalFormatting>
  <conditionalFormatting sqref="I12">
    <cfRule type="expression" dxfId="12" priority="73">
      <formula>ABS(#REF!-#REF!)&gt;=1000</formula>
    </cfRule>
  </conditionalFormatting>
  <conditionalFormatting sqref="D6">
    <cfRule type="expression" dxfId="7" priority="82" stopIfTrue="1">
      <formula>MOD(ROUND($D$6*100,2),1)=0</formula>
    </cfRule>
  </conditionalFormatting>
  <conditionalFormatting sqref="E6">
    <cfRule type="expression" dxfId="6" priority="83" stopIfTrue="1">
      <formula>MOD(ROUND($E$6*100,2),1)=0</formula>
    </cfRule>
  </conditionalFormatting>
  <conditionalFormatting sqref="F6">
    <cfRule type="expression" dxfId="5" priority="84" stopIfTrue="1">
      <formula>MOD(ROUND($F$6*100,2),1)=0</formula>
    </cfRule>
  </conditionalFormatting>
  <conditionalFormatting sqref="G6">
    <cfRule type="expression" dxfId="4" priority="85" stopIfTrue="1">
      <formula>MOD(ROUND($G$6*100,2),1)=0</formula>
    </cfRule>
  </conditionalFormatting>
  <conditionalFormatting sqref="D9">
    <cfRule type="expression" dxfId="3" priority="86" stopIfTrue="1">
      <formula>MOD(ROUND($D$9*100,2),1)=0</formula>
    </cfRule>
  </conditionalFormatting>
  <conditionalFormatting sqref="E9">
    <cfRule type="expression" dxfId="2" priority="87" stopIfTrue="1">
      <formula>MOD(ROUND($E$9*100,2),1)=0</formula>
    </cfRule>
  </conditionalFormatting>
  <conditionalFormatting sqref="F9">
    <cfRule type="expression" dxfId="1" priority="88" stopIfTrue="1">
      <formula>MOD(ROUND($F$9*100,2),1)=0</formula>
    </cfRule>
  </conditionalFormatting>
  <conditionalFormatting sqref="G9">
    <cfRule type="expression" dxfId="0"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60737" r:id="rId4" name="CommandButton1">
          <controlPr defaultSize="0" autoLine="0" autoPict="0" r:id="rId5">
            <anchor moveWithCells="1">
              <from>
                <xdr:col>21</xdr:col>
                <xdr:colOff>106680</xdr:colOff>
                <xdr:row>0</xdr:row>
                <xdr:rowOff>99060</xdr:rowOff>
              </from>
              <to>
                <xdr:col>22</xdr:col>
                <xdr:colOff>495300</xdr:colOff>
                <xdr:row>2</xdr:row>
                <xdr:rowOff>152400</xdr:rowOff>
              </to>
            </anchor>
          </controlPr>
        </control>
      </mc:Choice>
      <mc:Fallback>
        <control shapeId="3060737"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30</vt:i4>
      </vt:variant>
      <vt:variant>
        <vt:lpstr>已命名的範圍</vt:lpstr>
      </vt:variant>
      <vt:variant>
        <vt:i4>29</vt:i4>
      </vt:variant>
    </vt:vector>
  </HeadingPairs>
  <TitlesOfParts>
    <vt:vector size="59" baseType="lpstr">
      <vt:lpstr>新增</vt:lpstr>
      <vt:lpstr>液位空白表單</vt:lpstr>
      <vt:lpstr>工作表1</vt:lpstr>
      <vt:lpstr>密度</vt:lpstr>
      <vt:lpstr>mm計算</vt:lpstr>
      <vt:lpstr>1.30 %計算</vt:lpstr>
      <vt:lpstr>5.29 </vt:lpstr>
      <vt:lpstr>7.31</vt:lpstr>
      <vt:lpstr>8.1</vt:lpstr>
      <vt:lpstr>8.3</vt:lpstr>
      <vt:lpstr>8.4</vt:lpstr>
      <vt:lpstr>8.5</vt:lpstr>
      <vt:lpstr>8.6</vt:lpstr>
      <vt:lpstr>8.7</vt:lpstr>
      <vt:lpstr>8.10</vt:lpstr>
      <vt:lpstr>8.11</vt:lpstr>
      <vt:lpstr>8.12</vt:lpstr>
      <vt:lpstr>8.13</vt:lpstr>
      <vt:lpstr>8.14</vt:lpstr>
      <vt:lpstr>8.17</vt:lpstr>
      <vt:lpstr>8.18</vt:lpstr>
      <vt:lpstr>8.19</vt:lpstr>
      <vt:lpstr>8.20</vt:lpstr>
      <vt:lpstr>8.21</vt:lpstr>
      <vt:lpstr>8.24</vt:lpstr>
      <vt:lpstr>8.25</vt:lpstr>
      <vt:lpstr>8.26</vt:lpstr>
      <vt:lpstr>8.27</vt:lpstr>
      <vt:lpstr>8.28</vt:lpstr>
      <vt:lpstr>8.31</vt:lpstr>
      <vt:lpstr>'1.30 %計算'!Print_Area</vt:lpstr>
      <vt:lpstr>'5.29 '!Print_Area</vt:lpstr>
      <vt:lpstr>'7.31'!Print_Area</vt:lpstr>
      <vt:lpstr>'8.1'!Print_Area</vt:lpstr>
      <vt:lpstr>'8.10'!Print_Area</vt:lpstr>
      <vt:lpstr>'8.11'!Print_Area</vt:lpstr>
      <vt:lpstr>'8.12'!Print_Area</vt:lpstr>
      <vt:lpstr>'8.13'!Print_Area</vt:lpstr>
      <vt:lpstr>'8.14'!Print_Area</vt:lpstr>
      <vt:lpstr>'8.17'!Print_Area</vt:lpstr>
      <vt:lpstr>'8.18'!Print_Area</vt:lpstr>
      <vt:lpstr>'8.19'!Print_Area</vt:lpstr>
      <vt:lpstr>'8.20'!Print_Area</vt:lpstr>
      <vt:lpstr>'8.21'!Print_Area</vt:lpstr>
      <vt:lpstr>'8.24'!Print_Area</vt:lpstr>
      <vt:lpstr>'8.25'!Print_Area</vt:lpstr>
      <vt:lpstr>'8.26'!Print_Area</vt:lpstr>
      <vt:lpstr>'8.27'!Print_Area</vt:lpstr>
      <vt:lpstr>'8.28'!Print_Area</vt:lpstr>
      <vt:lpstr>'8.3'!Print_Area</vt:lpstr>
      <vt:lpstr>'8.31'!Print_Area</vt:lpstr>
      <vt:lpstr>'8.4'!Print_Area</vt:lpstr>
      <vt:lpstr>'8.5'!Print_Area</vt:lpstr>
      <vt:lpstr>'8.6'!Print_Area</vt:lpstr>
      <vt:lpstr>'8.7'!Print_Area</vt:lpstr>
      <vt:lpstr>mm計算!Print_Area</vt:lpstr>
      <vt:lpstr>密度!Print_Area</vt:lpstr>
      <vt:lpstr>液位空白表單!Print_Area</vt:lpstr>
      <vt:lpstr>新增!Print_Area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C663</dc:creator>
  <cp:lastModifiedBy>50110-NB</cp:lastModifiedBy>
  <cp:lastPrinted>2026-08-27T08:15:18Z</cp:lastPrinted>
  <dcterms:created xsi:type="dcterms:W3CDTF">2006-09-16T00:00:00Z</dcterms:created>
  <dcterms:modified xsi:type="dcterms:W3CDTF">2026-08-31T08:16:00Z</dcterms:modified>
</cp:coreProperties>
</file>