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ctrlProps/ctrlProp17.xml" ContentType="application/vnd.ms-excel.controlproperties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trlProps/ctrlProp19.xml" ContentType="application/vnd.ms-excel.controlproperties+xml"/>
  <Override PartName="/xl/drawings/drawing21.xml" ContentType="application/vnd.openxmlformats-officedocument.drawing+xml"/>
  <Override PartName="/xl/ctrlProps/ctrlProp20.xml" ContentType="application/vnd.ms-excel.controlproperties+xml"/>
  <Override PartName="/xl/drawings/drawing22.xml" ContentType="application/vnd.openxmlformats-officedocument.drawing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"/>
    </mc:Choice>
  </mc:AlternateContent>
  <bookViews>
    <workbookView xWindow="0" yWindow="0" windowWidth="21600" windowHeight="8256" firstSheet="9" activeTab="25"/>
  </bookViews>
  <sheets>
    <sheet name="新增" sheetId="1727" r:id="rId1"/>
    <sheet name="工作表1" sheetId="2098" r:id="rId2"/>
    <sheet name="密度" sheetId="13" r:id="rId3"/>
    <sheet name="mm計算" sheetId="2111" r:id="rId4"/>
    <sheet name="1.30 %計算" sheetId="2080" r:id="rId5"/>
    <sheet name="4.30" sheetId="2107" r:id="rId6"/>
    <sheet name="5.4" sheetId="2108" r:id="rId7"/>
    <sheet name="5.5" sheetId="2109" r:id="rId8"/>
    <sheet name="5.6" sheetId="2110" r:id="rId9"/>
    <sheet name="5.7" sheetId="2113" r:id="rId10"/>
    <sheet name="5.8" sheetId="2114" r:id="rId11"/>
    <sheet name="5.11" sheetId="2115" r:id="rId12"/>
    <sheet name="5.12" sheetId="2116" r:id="rId13"/>
    <sheet name="5.13" sheetId="2117" r:id="rId14"/>
    <sheet name="5.14" sheetId="2118" r:id="rId15"/>
    <sheet name="5.15" sheetId="2119" r:id="rId16"/>
    <sheet name="5.18" sheetId="2120" r:id="rId17"/>
    <sheet name="5.19" sheetId="2121" r:id="rId18"/>
    <sheet name="5.20" sheetId="2122" r:id="rId19"/>
    <sheet name="5.21" sheetId="2123" r:id="rId20"/>
    <sheet name="5.22" sheetId="2124" r:id="rId21"/>
    <sheet name="5.25" sheetId="2125" r:id="rId22"/>
    <sheet name="5.26" sheetId="2128" r:id="rId23"/>
    <sheet name="5.27" sheetId="2126" r:id="rId24"/>
    <sheet name="5.28" sheetId="2127" r:id="rId25"/>
    <sheet name="5.29 " sheetId="2130" r:id="rId26"/>
  </sheets>
  <externalReferences>
    <externalReference r:id="rId27"/>
  </externalReferences>
  <definedNames>
    <definedName name="_xlnm.Print_Area" localSheetId="4">'1.30 %計算'!$B$1:$AE$36</definedName>
    <definedName name="_xlnm.Print_Area" localSheetId="5">'4.30'!$B$1:$AE$36</definedName>
    <definedName name="_xlnm.Print_Area" localSheetId="11">'5.11'!$B$1:$AE$36</definedName>
    <definedName name="_xlnm.Print_Area" localSheetId="12">'5.12'!$B$1:$AE$36</definedName>
    <definedName name="_xlnm.Print_Area" localSheetId="13">'5.13'!$B$1:$AE$36</definedName>
    <definedName name="_xlnm.Print_Area" localSheetId="14">'5.14'!$B$1:$AE$36</definedName>
    <definedName name="_xlnm.Print_Area" localSheetId="15">'5.15'!$B$1:$AE$36</definedName>
    <definedName name="_xlnm.Print_Area" localSheetId="16">'5.18'!$B$1:$AE$36</definedName>
    <definedName name="_xlnm.Print_Area" localSheetId="17">'5.19'!$B$1:$AE$36</definedName>
    <definedName name="_xlnm.Print_Area" localSheetId="18">'5.20'!$B$1:$AE$36</definedName>
    <definedName name="_xlnm.Print_Area" localSheetId="19">'5.21'!$B$1:$AE$36</definedName>
    <definedName name="_xlnm.Print_Area" localSheetId="20">'5.22'!$B$1:$AE$36</definedName>
    <definedName name="_xlnm.Print_Area" localSheetId="21">'5.25'!$B$1:$AE$36</definedName>
    <definedName name="_xlnm.Print_Area" localSheetId="22">'5.26'!$B$1:$AE$36</definedName>
    <definedName name="_xlnm.Print_Area" localSheetId="23">'5.27'!$B$1:$AE$36</definedName>
    <definedName name="_xlnm.Print_Area" localSheetId="24">'5.28'!$B$1:$AE$36</definedName>
    <definedName name="_xlnm.Print_Area" localSheetId="25">'5.29 '!$B$1:$AE$36</definedName>
    <definedName name="_xlnm.Print_Area" localSheetId="6">'5.4'!$B$1:$AE$36</definedName>
    <definedName name="_xlnm.Print_Area" localSheetId="7">'5.5'!$B$1:$AE$36</definedName>
    <definedName name="_xlnm.Print_Area" localSheetId="8">'5.6'!$B$1:$AE$36</definedName>
    <definedName name="_xlnm.Print_Area" localSheetId="9">'5.7'!$B$1:$AE$36</definedName>
    <definedName name="_xlnm.Print_Area" localSheetId="10">'5.8'!$B$1:$AE$36</definedName>
    <definedName name="_xlnm.Print_Area" localSheetId="3">mm計算!$B$1:$AE$36</definedName>
    <definedName name="_xlnm.Print_Area" localSheetId="2">密度!$A$1:$W$61</definedName>
    <definedName name="_xlnm.Print_Area" localSheetId="0">新增!$A$1:$M$45</definedName>
    <definedName name="Z_512059F6_F0DC_4056_8FD0_37088AB81F9E_.wvu.PrintArea" localSheetId="4" hidden="1">'1.30 %計算'!$B$3:$AE$36</definedName>
    <definedName name="Z_512059F6_F0DC_4056_8FD0_37088AB81F9E_.wvu.PrintArea" localSheetId="5" hidden="1">'4.30'!$B$3:$AE$36</definedName>
    <definedName name="Z_512059F6_F0DC_4056_8FD0_37088AB81F9E_.wvu.PrintArea" localSheetId="11" hidden="1">'5.11'!$B$3:$AE$36</definedName>
    <definedName name="Z_512059F6_F0DC_4056_8FD0_37088AB81F9E_.wvu.PrintArea" localSheetId="12" hidden="1">'5.12'!$B$3:$AE$36</definedName>
    <definedName name="Z_512059F6_F0DC_4056_8FD0_37088AB81F9E_.wvu.PrintArea" localSheetId="13" hidden="1">'5.13'!$B$3:$AE$36</definedName>
    <definedName name="Z_512059F6_F0DC_4056_8FD0_37088AB81F9E_.wvu.PrintArea" localSheetId="14" hidden="1">'5.14'!$B$3:$AE$36</definedName>
    <definedName name="Z_512059F6_F0DC_4056_8FD0_37088AB81F9E_.wvu.PrintArea" localSheetId="15" hidden="1">'5.15'!$B$3:$AE$36</definedName>
    <definedName name="Z_512059F6_F0DC_4056_8FD0_37088AB81F9E_.wvu.PrintArea" localSheetId="16" hidden="1">'5.18'!$B$3:$AE$36</definedName>
    <definedName name="Z_512059F6_F0DC_4056_8FD0_37088AB81F9E_.wvu.PrintArea" localSheetId="17" hidden="1">'5.19'!$B$3:$AE$36</definedName>
    <definedName name="Z_512059F6_F0DC_4056_8FD0_37088AB81F9E_.wvu.PrintArea" localSheetId="18" hidden="1">'5.20'!$B$3:$AE$36</definedName>
    <definedName name="Z_512059F6_F0DC_4056_8FD0_37088AB81F9E_.wvu.PrintArea" localSheetId="19" hidden="1">'5.21'!$B$3:$AE$36</definedName>
    <definedName name="Z_512059F6_F0DC_4056_8FD0_37088AB81F9E_.wvu.PrintArea" localSheetId="20" hidden="1">'5.22'!$B$3:$AE$36</definedName>
    <definedName name="Z_512059F6_F0DC_4056_8FD0_37088AB81F9E_.wvu.PrintArea" localSheetId="21" hidden="1">'5.25'!$B$3:$AE$36</definedName>
    <definedName name="Z_512059F6_F0DC_4056_8FD0_37088AB81F9E_.wvu.PrintArea" localSheetId="22" hidden="1">'5.26'!$B$3:$AE$36</definedName>
    <definedName name="Z_512059F6_F0DC_4056_8FD0_37088AB81F9E_.wvu.PrintArea" localSheetId="23" hidden="1">'5.27'!$B$3:$AE$36</definedName>
    <definedName name="Z_512059F6_F0DC_4056_8FD0_37088AB81F9E_.wvu.PrintArea" localSheetId="24" hidden="1">'5.28'!$B$3:$AE$36</definedName>
    <definedName name="Z_512059F6_F0DC_4056_8FD0_37088AB81F9E_.wvu.PrintArea" localSheetId="25" hidden="1">'5.29 '!$B$3:$AE$36</definedName>
    <definedName name="Z_512059F6_F0DC_4056_8FD0_37088AB81F9E_.wvu.PrintArea" localSheetId="6" hidden="1">'5.4'!$B$3:$AE$36</definedName>
    <definedName name="Z_512059F6_F0DC_4056_8FD0_37088AB81F9E_.wvu.PrintArea" localSheetId="7" hidden="1">'5.5'!$B$3:$AE$36</definedName>
    <definedName name="Z_512059F6_F0DC_4056_8FD0_37088AB81F9E_.wvu.PrintArea" localSheetId="8" hidden="1">'5.6'!$B$3:$AE$36</definedName>
    <definedName name="Z_512059F6_F0DC_4056_8FD0_37088AB81F9E_.wvu.PrintArea" localSheetId="9" hidden="1">'5.7'!$B$3:$AE$36</definedName>
    <definedName name="Z_512059F6_F0DC_4056_8FD0_37088AB81F9E_.wvu.PrintArea" localSheetId="10" hidden="1">'5.8'!$B$3:$AE$36</definedName>
    <definedName name="Z_512059F6_F0DC_4056_8FD0_37088AB81F9E_.wvu.PrintArea" localSheetId="3" hidden="1">mm計算!$B$3:$AE$36</definedName>
    <definedName name="Z_68643476_8805_447E_8170_A582EA1D0343_.wvu.PrintArea" localSheetId="4" hidden="1">'1.30 %計算'!$B$3:$AE$36</definedName>
    <definedName name="Z_68643476_8805_447E_8170_A582EA1D0343_.wvu.PrintArea" localSheetId="5" hidden="1">'4.30'!$B$3:$AE$36</definedName>
    <definedName name="Z_68643476_8805_447E_8170_A582EA1D0343_.wvu.PrintArea" localSheetId="11" hidden="1">'5.11'!$B$3:$AE$36</definedName>
    <definedName name="Z_68643476_8805_447E_8170_A582EA1D0343_.wvu.PrintArea" localSheetId="12" hidden="1">'5.12'!$B$3:$AE$36</definedName>
    <definedName name="Z_68643476_8805_447E_8170_A582EA1D0343_.wvu.PrintArea" localSheetId="13" hidden="1">'5.13'!$B$3:$AE$36</definedName>
    <definedName name="Z_68643476_8805_447E_8170_A582EA1D0343_.wvu.PrintArea" localSheetId="14" hidden="1">'5.14'!$B$3:$AE$36</definedName>
    <definedName name="Z_68643476_8805_447E_8170_A582EA1D0343_.wvu.PrintArea" localSheetId="15" hidden="1">'5.15'!$B$3:$AE$36</definedName>
    <definedName name="Z_68643476_8805_447E_8170_A582EA1D0343_.wvu.PrintArea" localSheetId="16" hidden="1">'5.18'!$B$3:$AE$36</definedName>
    <definedName name="Z_68643476_8805_447E_8170_A582EA1D0343_.wvu.PrintArea" localSheetId="17" hidden="1">'5.19'!$B$3:$AE$36</definedName>
    <definedName name="Z_68643476_8805_447E_8170_A582EA1D0343_.wvu.PrintArea" localSheetId="18" hidden="1">'5.20'!$B$3:$AE$36</definedName>
    <definedName name="Z_68643476_8805_447E_8170_A582EA1D0343_.wvu.PrintArea" localSheetId="19" hidden="1">'5.21'!$B$3:$AE$36</definedName>
    <definedName name="Z_68643476_8805_447E_8170_A582EA1D0343_.wvu.PrintArea" localSheetId="20" hidden="1">'5.22'!$B$3:$AE$36</definedName>
    <definedName name="Z_68643476_8805_447E_8170_A582EA1D0343_.wvu.PrintArea" localSheetId="21" hidden="1">'5.25'!$B$3:$AE$36</definedName>
    <definedName name="Z_68643476_8805_447E_8170_A582EA1D0343_.wvu.PrintArea" localSheetId="22" hidden="1">'5.26'!$B$3:$AE$36</definedName>
    <definedName name="Z_68643476_8805_447E_8170_A582EA1D0343_.wvu.PrintArea" localSheetId="23" hidden="1">'5.27'!$B$3:$AE$36</definedName>
    <definedName name="Z_68643476_8805_447E_8170_A582EA1D0343_.wvu.PrintArea" localSheetId="24" hidden="1">'5.28'!$B$3:$AE$36</definedName>
    <definedName name="Z_68643476_8805_447E_8170_A582EA1D0343_.wvu.PrintArea" localSheetId="25" hidden="1">'5.29 '!$B$3:$AE$36</definedName>
    <definedName name="Z_68643476_8805_447E_8170_A582EA1D0343_.wvu.PrintArea" localSheetId="6" hidden="1">'5.4'!$B$3:$AE$36</definedName>
    <definedName name="Z_68643476_8805_447E_8170_A582EA1D0343_.wvu.PrintArea" localSheetId="7" hidden="1">'5.5'!$B$3:$AE$36</definedName>
    <definedName name="Z_68643476_8805_447E_8170_A582EA1D0343_.wvu.PrintArea" localSheetId="8" hidden="1">'5.6'!$B$3:$AE$36</definedName>
    <definedName name="Z_68643476_8805_447E_8170_A582EA1D0343_.wvu.PrintArea" localSheetId="9" hidden="1">'5.7'!$B$3:$AE$36</definedName>
    <definedName name="Z_68643476_8805_447E_8170_A582EA1D0343_.wvu.PrintArea" localSheetId="10" hidden="1">'5.8'!$B$3:$AE$36</definedName>
    <definedName name="Z_68643476_8805_447E_8170_A582EA1D0343_.wvu.PrintArea" localSheetId="3" hidden="1">mm計算!$B$3:$AE$36</definedName>
    <definedName name="Z_8E5926ED_4EBD_4129_B8FF_799CC47580D7_.wvu.PrintArea" localSheetId="4" hidden="1">'1.30 %計算'!$B$3:$AE$36</definedName>
    <definedName name="Z_8E5926ED_4EBD_4129_B8FF_799CC47580D7_.wvu.PrintArea" localSheetId="5" hidden="1">'4.30'!$B$3:$AE$36</definedName>
    <definedName name="Z_8E5926ED_4EBD_4129_B8FF_799CC47580D7_.wvu.PrintArea" localSheetId="11" hidden="1">'5.11'!$B$3:$AE$36</definedName>
    <definedName name="Z_8E5926ED_4EBD_4129_B8FF_799CC47580D7_.wvu.PrintArea" localSheetId="12" hidden="1">'5.12'!$B$3:$AE$36</definedName>
    <definedName name="Z_8E5926ED_4EBD_4129_B8FF_799CC47580D7_.wvu.PrintArea" localSheetId="13" hidden="1">'5.13'!$B$3:$AE$36</definedName>
    <definedName name="Z_8E5926ED_4EBD_4129_B8FF_799CC47580D7_.wvu.PrintArea" localSheetId="14" hidden="1">'5.14'!$B$3:$AE$36</definedName>
    <definedName name="Z_8E5926ED_4EBD_4129_B8FF_799CC47580D7_.wvu.PrintArea" localSheetId="15" hidden="1">'5.15'!$B$3:$AE$36</definedName>
    <definedName name="Z_8E5926ED_4EBD_4129_B8FF_799CC47580D7_.wvu.PrintArea" localSheetId="16" hidden="1">'5.18'!$B$3:$AE$36</definedName>
    <definedName name="Z_8E5926ED_4EBD_4129_B8FF_799CC47580D7_.wvu.PrintArea" localSheetId="17" hidden="1">'5.19'!$B$3:$AE$36</definedName>
    <definedName name="Z_8E5926ED_4EBD_4129_B8FF_799CC47580D7_.wvu.PrintArea" localSheetId="18" hidden="1">'5.20'!$B$3:$AE$36</definedName>
    <definedName name="Z_8E5926ED_4EBD_4129_B8FF_799CC47580D7_.wvu.PrintArea" localSheetId="19" hidden="1">'5.21'!$B$3:$AE$36</definedName>
    <definedName name="Z_8E5926ED_4EBD_4129_B8FF_799CC47580D7_.wvu.PrintArea" localSheetId="20" hidden="1">'5.22'!$B$3:$AE$36</definedName>
    <definedName name="Z_8E5926ED_4EBD_4129_B8FF_799CC47580D7_.wvu.PrintArea" localSheetId="21" hidden="1">'5.25'!$B$3:$AE$36</definedName>
    <definedName name="Z_8E5926ED_4EBD_4129_B8FF_799CC47580D7_.wvu.PrintArea" localSheetId="22" hidden="1">'5.26'!$B$3:$AE$36</definedName>
    <definedName name="Z_8E5926ED_4EBD_4129_B8FF_799CC47580D7_.wvu.PrintArea" localSheetId="23" hidden="1">'5.27'!$B$3:$AE$36</definedName>
    <definedName name="Z_8E5926ED_4EBD_4129_B8FF_799CC47580D7_.wvu.PrintArea" localSheetId="24" hidden="1">'5.28'!$B$3:$AE$36</definedName>
    <definedName name="Z_8E5926ED_4EBD_4129_B8FF_799CC47580D7_.wvu.PrintArea" localSheetId="25" hidden="1">'5.29 '!$B$3:$AE$36</definedName>
    <definedName name="Z_8E5926ED_4EBD_4129_B8FF_799CC47580D7_.wvu.PrintArea" localSheetId="6" hidden="1">'5.4'!$B$3:$AE$36</definedName>
    <definedName name="Z_8E5926ED_4EBD_4129_B8FF_799CC47580D7_.wvu.PrintArea" localSheetId="7" hidden="1">'5.5'!$B$3:$AE$36</definedName>
    <definedName name="Z_8E5926ED_4EBD_4129_B8FF_799CC47580D7_.wvu.PrintArea" localSheetId="8" hidden="1">'5.6'!$B$3:$AE$36</definedName>
    <definedName name="Z_8E5926ED_4EBD_4129_B8FF_799CC47580D7_.wvu.PrintArea" localSheetId="9" hidden="1">'5.7'!$B$3:$AE$36</definedName>
    <definedName name="Z_8E5926ED_4EBD_4129_B8FF_799CC47580D7_.wvu.PrintArea" localSheetId="10" hidden="1">'5.8'!$B$3:$AE$36</definedName>
    <definedName name="Z_8E5926ED_4EBD_4129_B8FF_799CC47580D7_.wvu.PrintArea" localSheetId="3" hidden="1">mm計算!$B$3:$AE$36</definedName>
    <definedName name="Z_8FA8B620_C56C_11DB_A857_00055D5FD5FF_.wvu.PrintArea" localSheetId="4" hidden="1">'1.30 %計算'!$B$3:$AE$36</definedName>
    <definedName name="Z_8FA8B620_C56C_11DB_A857_00055D5FD5FF_.wvu.PrintArea" localSheetId="5" hidden="1">'4.30'!$B$3:$AE$36</definedName>
    <definedName name="Z_8FA8B620_C56C_11DB_A857_00055D5FD5FF_.wvu.PrintArea" localSheetId="11" hidden="1">'5.11'!$B$3:$AE$36</definedName>
    <definedName name="Z_8FA8B620_C56C_11DB_A857_00055D5FD5FF_.wvu.PrintArea" localSheetId="12" hidden="1">'5.12'!$B$3:$AE$36</definedName>
    <definedName name="Z_8FA8B620_C56C_11DB_A857_00055D5FD5FF_.wvu.PrintArea" localSheetId="13" hidden="1">'5.13'!$B$3:$AE$36</definedName>
    <definedName name="Z_8FA8B620_C56C_11DB_A857_00055D5FD5FF_.wvu.PrintArea" localSheetId="14" hidden="1">'5.14'!$B$3:$AE$36</definedName>
    <definedName name="Z_8FA8B620_C56C_11DB_A857_00055D5FD5FF_.wvu.PrintArea" localSheetId="15" hidden="1">'5.15'!$B$3:$AE$36</definedName>
    <definedName name="Z_8FA8B620_C56C_11DB_A857_00055D5FD5FF_.wvu.PrintArea" localSheetId="16" hidden="1">'5.18'!$B$3:$AE$36</definedName>
    <definedName name="Z_8FA8B620_C56C_11DB_A857_00055D5FD5FF_.wvu.PrintArea" localSheetId="17" hidden="1">'5.19'!$B$3:$AE$36</definedName>
    <definedName name="Z_8FA8B620_C56C_11DB_A857_00055D5FD5FF_.wvu.PrintArea" localSheetId="18" hidden="1">'5.20'!$B$3:$AE$36</definedName>
    <definedName name="Z_8FA8B620_C56C_11DB_A857_00055D5FD5FF_.wvu.PrintArea" localSheetId="19" hidden="1">'5.21'!$B$3:$AE$36</definedName>
    <definedName name="Z_8FA8B620_C56C_11DB_A857_00055D5FD5FF_.wvu.PrintArea" localSheetId="20" hidden="1">'5.22'!$B$3:$AE$36</definedName>
    <definedName name="Z_8FA8B620_C56C_11DB_A857_00055D5FD5FF_.wvu.PrintArea" localSheetId="21" hidden="1">'5.25'!$B$3:$AE$36</definedName>
    <definedName name="Z_8FA8B620_C56C_11DB_A857_00055D5FD5FF_.wvu.PrintArea" localSheetId="22" hidden="1">'5.26'!$B$3:$AE$36</definedName>
    <definedName name="Z_8FA8B620_C56C_11DB_A857_00055D5FD5FF_.wvu.PrintArea" localSheetId="23" hidden="1">'5.27'!$B$3:$AE$36</definedName>
    <definedName name="Z_8FA8B620_C56C_11DB_A857_00055D5FD5FF_.wvu.PrintArea" localSheetId="24" hidden="1">'5.28'!$B$3:$AE$36</definedName>
    <definedName name="Z_8FA8B620_C56C_11DB_A857_00055D5FD5FF_.wvu.PrintArea" localSheetId="25" hidden="1">'5.29 '!$B$3:$AE$36</definedName>
    <definedName name="Z_8FA8B620_C56C_11DB_A857_00055D5FD5FF_.wvu.PrintArea" localSheetId="6" hidden="1">'5.4'!$B$3:$AE$36</definedName>
    <definedName name="Z_8FA8B620_C56C_11DB_A857_00055D5FD5FF_.wvu.PrintArea" localSheetId="7" hidden="1">'5.5'!$B$3:$AE$36</definedName>
    <definedName name="Z_8FA8B620_C56C_11DB_A857_00055D5FD5FF_.wvu.PrintArea" localSheetId="8" hidden="1">'5.6'!$B$3:$AE$36</definedName>
    <definedName name="Z_8FA8B620_C56C_11DB_A857_00055D5FD5FF_.wvu.PrintArea" localSheetId="9" hidden="1">'5.7'!$B$3:$AE$36</definedName>
    <definedName name="Z_8FA8B620_C56C_11DB_A857_00055D5FD5FF_.wvu.PrintArea" localSheetId="10" hidden="1">'5.8'!$B$3:$AE$36</definedName>
    <definedName name="Z_8FA8B620_C56C_11DB_A857_00055D5FD5FF_.wvu.PrintArea" localSheetId="3" hidden="1">mm計算!$B$3:$AE$36</definedName>
    <definedName name="Z_A3DB5619_047E_4CE2_8C39_700CFD25F2CB_.wvu.PrintArea" localSheetId="4" hidden="1">'1.30 %計算'!$B$3:$AE$36</definedName>
    <definedName name="Z_A3DB5619_047E_4CE2_8C39_700CFD25F2CB_.wvu.PrintArea" localSheetId="5" hidden="1">'4.30'!$B$3:$AE$36</definedName>
    <definedName name="Z_A3DB5619_047E_4CE2_8C39_700CFD25F2CB_.wvu.PrintArea" localSheetId="11" hidden="1">'5.11'!$B$3:$AE$36</definedName>
    <definedName name="Z_A3DB5619_047E_4CE2_8C39_700CFD25F2CB_.wvu.PrintArea" localSheetId="12" hidden="1">'5.12'!$B$3:$AE$36</definedName>
    <definedName name="Z_A3DB5619_047E_4CE2_8C39_700CFD25F2CB_.wvu.PrintArea" localSheetId="13" hidden="1">'5.13'!$B$3:$AE$36</definedName>
    <definedName name="Z_A3DB5619_047E_4CE2_8C39_700CFD25F2CB_.wvu.PrintArea" localSheetId="14" hidden="1">'5.14'!$B$3:$AE$36</definedName>
    <definedName name="Z_A3DB5619_047E_4CE2_8C39_700CFD25F2CB_.wvu.PrintArea" localSheetId="15" hidden="1">'5.15'!$B$3:$AE$36</definedName>
    <definedName name="Z_A3DB5619_047E_4CE2_8C39_700CFD25F2CB_.wvu.PrintArea" localSheetId="16" hidden="1">'5.18'!$B$3:$AE$36</definedName>
    <definedName name="Z_A3DB5619_047E_4CE2_8C39_700CFD25F2CB_.wvu.PrintArea" localSheetId="17" hidden="1">'5.19'!$B$3:$AE$36</definedName>
    <definedName name="Z_A3DB5619_047E_4CE2_8C39_700CFD25F2CB_.wvu.PrintArea" localSheetId="18" hidden="1">'5.20'!$B$3:$AE$36</definedName>
    <definedName name="Z_A3DB5619_047E_4CE2_8C39_700CFD25F2CB_.wvu.PrintArea" localSheetId="19" hidden="1">'5.21'!$B$3:$AE$36</definedName>
    <definedName name="Z_A3DB5619_047E_4CE2_8C39_700CFD25F2CB_.wvu.PrintArea" localSheetId="20" hidden="1">'5.22'!$B$3:$AE$36</definedName>
    <definedName name="Z_A3DB5619_047E_4CE2_8C39_700CFD25F2CB_.wvu.PrintArea" localSheetId="21" hidden="1">'5.25'!$B$3:$AE$36</definedName>
    <definedName name="Z_A3DB5619_047E_4CE2_8C39_700CFD25F2CB_.wvu.PrintArea" localSheetId="22" hidden="1">'5.26'!$B$3:$AE$36</definedName>
    <definedName name="Z_A3DB5619_047E_4CE2_8C39_700CFD25F2CB_.wvu.PrintArea" localSheetId="23" hidden="1">'5.27'!$B$3:$AE$36</definedName>
    <definedName name="Z_A3DB5619_047E_4CE2_8C39_700CFD25F2CB_.wvu.PrintArea" localSheetId="24" hidden="1">'5.28'!$B$3:$AE$36</definedName>
    <definedName name="Z_A3DB5619_047E_4CE2_8C39_700CFD25F2CB_.wvu.PrintArea" localSheetId="25" hidden="1">'5.29 '!$B$3:$AE$36</definedName>
    <definedName name="Z_A3DB5619_047E_4CE2_8C39_700CFD25F2CB_.wvu.PrintArea" localSheetId="6" hidden="1">'5.4'!$B$3:$AE$36</definedName>
    <definedName name="Z_A3DB5619_047E_4CE2_8C39_700CFD25F2CB_.wvu.PrintArea" localSheetId="7" hidden="1">'5.5'!$B$3:$AE$36</definedName>
    <definedName name="Z_A3DB5619_047E_4CE2_8C39_700CFD25F2CB_.wvu.PrintArea" localSheetId="8" hidden="1">'5.6'!$B$3:$AE$36</definedName>
    <definedName name="Z_A3DB5619_047E_4CE2_8C39_700CFD25F2CB_.wvu.PrintArea" localSheetId="9" hidden="1">'5.7'!$B$3:$AE$36</definedName>
    <definedName name="Z_A3DB5619_047E_4CE2_8C39_700CFD25F2CB_.wvu.PrintArea" localSheetId="10" hidden="1">'5.8'!$B$3:$AE$36</definedName>
    <definedName name="Z_A3DB5619_047E_4CE2_8C39_700CFD25F2CB_.wvu.PrintArea" localSheetId="3" hidden="1">mm計算!$B$3:$AE$36</definedName>
    <definedName name="Z_D903F940_B812_11DB_B168_0010B575B8B2_.wvu.PrintArea" localSheetId="4" hidden="1">'1.30 %計算'!$B$3:$AE$36</definedName>
    <definedName name="Z_D903F940_B812_11DB_B168_0010B575B8B2_.wvu.PrintArea" localSheetId="5" hidden="1">'4.30'!$B$3:$AE$36</definedName>
    <definedName name="Z_D903F940_B812_11DB_B168_0010B575B8B2_.wvu.PrintArea" localSheetId="11" hidden="1">'5.11'!$B$3:$AE$36</definedName>
    <definedName name="Z_D903F940_B812_11DB_B168_0010B575B8B2_.wvu.PrintArea" localSheetId="12" hidden="1">'5.12'!$B$3:$AE$36</definedName>
    <definedName name="Z_D903F940_B812_11DB_B168_0010B575B8B2_.wvu.PrintArea" localSheetId="13" hidden="1">'5.13'!$B$3:$AE$36</definedName>
    <definedName name="Z_D903F940_B812_11DB_B168_0010B575B8B2_.wvu.PrintArea" localSheetId="14" hidden="1">'5.14'!$B$3:$AE$36</definedName>
    <definedName name="Z_D903F940_B812_11DB_B168_0010B575B8B2_.wvu.PrintArea" localSheetId="15" hidden="1">'5.15'!$B$3:$AE$36</definedName>
    <definedName name="Z_D903F940_B812_11DB_B168_0010B575B8B2_.wvu.PrintArea" localSheetId="16" hidden="1">'5.18'!$B$3:$AE$36</definedName>
    <definedName name="Z_D903F940_B812_11DB_B168_0010B575B8B2_.wvu.PrintArea" localSheetId="17" hidden="1">'5.19'!$B$3:$AE$36</definedName>
    <definedName name="Z_D903F940_B812_11DB_B168_0010B575B8B2_.wvu.PrintArea" localSheetId="18" hidden="1">'5.20'!$B$3:$AE$36</definedName>
    <definedName name="Z_D903F940_B812_11DB_B168_0010B575B8B2_.wvu.PrintArea" localSheetId="19" hidden="1">'5.21'!$B$3:$AE$36</definedName>
    <definedName name="Z_D903F940_B812_11DB_B168_0010B575B8B2_.wvu.PrintArea" localSheetId="20" hidden="1">'5.22'!$B$3:$AE$36</definedName>
    <definedName name="Z_D903F940_B812_11DB_B168_0010B575B8B2_.wvu.PrintArea" localSheetId="21" hidden="1">'5.25'!$B$3:$AE$36</definedName>
    <definedName name="Z_D903F940_B812_11DB_B168_0010B575B8B2_.wvu.PrintArea" localSheetId="22" hidden="1">'5.26'!$B$3:$AE$36</definedName>
    <definedName name="Z_D903F940_B812_11DB_B168_0010B575B8B2_.wvu.PrintArea" localSheetId="23" hidden="1">'5.27'!$B$3:$AE$36</definedName>
    <definedName name="Z_D903F940_B812_11DB_B168_0010B575B8B2_.wvu.PrintArea" localSheetId="24" hidden="1">'5.28'!$B$3:$AE$36</definedName>
    <definedName name="Z_D903F940_B812_11DB_B168_0010B575B8B2_.wvu.PrintArea" localSheetId="25" hidden="1">'5.29 '!$B$3:$AE$36</definedName>
    <definedName name="Z_D903F940_B812_11DB_B168_0010B575B8B2_.wvu.PrintArea" localSheetId="6" hidden="1">'5.4'!$B$3:$AE$36</definedName>
    <definedName name="Z_D903F940_B812_11DB_B168_0010B575B8B2_.wvu.PrintArea" localSheetId="7" hidden="1">'5.5'!$B$3:$AE$36</definedName>
    <definedName name="Z_D903F940_B812_11DB_B168_0010B575B8B2_.wvu.PrintArea" localSheetId="8" hidden="1">'5.6'!$B$3:$AE$36</definedName>
    <definedName name="Z_D903F940_B812_11DB_B168_0010B575B8B2_.wvu.PrintArea" localSheetId="9" hidden="1">'5.7'!$B$3:$AE$36</definedName>
    <definedName name="Z_D903F940_B812_11DB_B168_0010B575B8B2_.wvu.PrintArea" localSheetId="10" hidden="1">'5.8'!$B$3:$AE$36</definedName>
    <definedName name="Z_D903F940_B812_11DB_B168_0010B575B8B2_.wvu.PrintArea" localSheetId="3" hidden="1">mm計算!$B$3:$AE$36</definedName>
    <definedName name="取樣回收每月庫存表" localSheetId="4" hidden="1">'1.30 %計算'!#REF!</definedName>
    <definedName name="取樣回收每月庫存表" localSheetId="5" hidden="1">'4.30'!#REF!</definedName>
    <definedName name="取樣回收每月庫存表" localSheetId="11" hidden="1">'5.11'!#REF!</definedName>
    <definedName name="取樣回收每月庫存表" localSheetId="12" hidden="1">'5.12'!#REF!</definedName>
    <definedName name="取樣回收每月庫存表" localSheetId="13" hidden="1">'5.13'!#REF!</definedName>
    <definedName name="取樣回收每月庫存表" localSheetId="14" hidden="1">'5.14'!#REF!</definedName>
    <definedName name="取樣回收每月庫存表" localSheetId="15" hidden="1">'5.15'!#REF!</definedName>
    <definedName name="取樣回收每月庫存表" localSheetId="16" hidden="1">'5.18'!#REF!</definedName>
    <definedName name="取樣回收每月庫存表" localSheetId="17" hidden="1">'5.19'!#REF!</definedName>
    <definedName name="取樣回收每月庫存表" localSheetId="18" hidden="1">'5.20'!#REF!</definedName>
    <definedName name="取樣回收每月庫存表" localSheetId="19" hidden="1">'5.21'!#REF!</definedName>
    <definedName name="取樣回收每月庫存表" localSheetId="20" hidden="1">'5.22'!#REF!</definedName>
    <definedName name="取樣回收每月庫存表" localSheetId="21" hidden="1">'5.25'!#REF!</definedName>
    <definedName name="取樣回收每月庫存表" localSheetId="22" hidden="1">'5.26'!#REF!</definedName>
    <definedName name="取樣回收每月庫存表" localSheetId="23" hidden="1">'5.27'!#REF!</definedName>
    <definedName name="取樣回收每月庫存表" localSheetId="24" hidden="1">'5.28'!#REF!</definedName>
    <definedName name="取樣回收每月庫存表" localSheetId="25" hidden="1">'5.29 '!#REF!</definedName>
    <definedName name="取樣回收每月庫存表" localSheetId="6" hidden="1">'5.4'!#REF!</definedName>
    <definedName name="取樣回收每月庫存表" localSheetId="7" hidden="1">'5.5'!#REF!</definedName>
    <definedName name="取樣回收每月庫存表" localSheetId="8" hidden="1">'5.6'!#REF!</definedName>
    <definedName name="取樣回收每月庫存表" localSheetId="9" hidden="1">'5.7'!#REF!</definedName>
    <definedName name="取樣回收每月庫存表" localSheetId="10" hidden="1">'5.8'!#REF!</definedName>
    <definedName name="取樣回收每月庫存表" localSheetId="3" hidden="1">mm計算!#REF!</definedName>
    <definedName name="取樣回收每月庫存表_0620更新" localSheetId="4" hidden="1">'1.30 %計算'!#REF!</definedName>
    <definedName name="取樣回收每月庫存表_0620更新" localSheetId="5" hidden="1">'4.30'!#REF!</definedName>
    <definedName name="取樣回收每月庫存表_0620更新" localSheetId="11" hidden="1">'5.11'!#REF!</definedName>
    <definedName name="取樣回收每月庫存表_0620更新" localSheetId="12" hidden="1">'5.12'!#REF!</definedName>
    <definedName name="取樣回收每月庫存表_0620更新" localSheetId="13" hidden="1">'5.13'!#REF!</definedName>
    <definedName name="取樣回收每月庫存表_0620更新" localSheetId="14" hidden="1">'5.14'!#REF!</definedName>
    <definedName name="取樣回收每月庫存表_0620更新" localSheetId="15" hidden="1">'5.15'!#REF!</definedName>
    <definedName name="取樣回收每月庫存表_0620更新" localSheetId="16" hidden="1">'5.18'!#REF!</definedName>
    <definedName name="取樣回收每月庫存表_0620更新" localSheetId="17" hidden="1">'5.19'!#REF!</definedName>
    <definedName name="取樣回收每月庫存表_0620更新" localSheetId="18" hidden="1">'5.20'!#REF!</definedName>
    <definedName name="取樣回收每月庫存表_0620更新" localSheetId="19" hidden="1">'5.21'!#REF!</definedName>
    <definedName name="取樣回收每月庫存表_0620更新" localSheetId="20" hidden="1">'5.22'!#REF!</definedName>
    <definedName name="取樣回收每月庫存表_0620更新" localSheetId="21" hidden="1">'5.25'!#REF!</definedName>
    <definedName name="取樣回收每月庫存表_0620更新" localSheetId="22" hidden="1">'5.26'!#REF!</definedName>
    <definedName name="取樣回收每月庫存表_0620更新" localSheetId="23" hidden="1">'5.27'!#REF!</definedName>
    <definedName name="取樣回收每月庫存表_0620更新" localSheetId="24" hidden="1">'5.28'!#REF!</definedName>
    <definedName name="取樣回收每月庫存表_0620更新" localSheetId="25" hidden="1">'5.29 '!#REF!</definedName>
    <definedName name="取樣回收每月庫存表_0620更新" localSheetId="6" hidden="1">'5.4'!#REF!</definedName>
    <definedName name="取樣回收每月庫存表_0620更新" localSheetId="7" hidden="1">'5.5'!#REF!</definedName>
    <definedName name="取樣回收每月庫存表_0620更新" localSheetId="8" hidden="1">'5.6'!#REF!</definedName>
    <definedName name="取樣回收每月庫存表_0620更新" localSheetId="9" hidden="1">'5.7'!#REF!</definedName>
    <definedName name="取樣回收每月庫存表_0620更新" localSheetId="10" hidden="1">'5.8'!#REF!</definedName>
    <definedName name="取樣回收每月庫存表_0620更新" localSheetId="3" hidden="1">mm計算!#REF!</definedName>
    <definedName name="複本_14_取樣回收每月庫存表" localSheetId="4" hidden="1">'1.30 %計算'!#REF!</definedName>
    <definedName name="複本_14_取樣回收每月庫存表" localSheetId="5" hidden="1">'4.30'!#REF!</definedName>
    <definedName name="複本_14_取樣回收每月庫存表" localSheetId="11" hidden="1">'5.11'!#REF!</definedName>
    <definedName name="複本_14_取樣回收每月庫存表" localSheetId="12" hidden="1">'5.12'!#REF!</definedName>
    <definedName name="複本_14_取樣回收每月庫存表" localSheetId="13" hidden="1">'5.13'!#REF!</definedName>
    <definedName name="複本_14_取樣回收每月庫存表" localSheetId="14" hidden="1">'5.14'!#REF!</definedName>
    <definedName name="複本_14_取樣回收每月庫存表" localSheetId="15" hidden="1">'5.15'!#REF!</definedName>
    <definedName name="複本_14_取樣回收每月庫存表" localSheetId="16" hidden="1">'5.18'!#REF!</definedName>
    <definedName name="複本_14_取樣回收每月庫存表" localSheetId="17" hidden="1">'5.19'!#REF!</definedName>
    <definedName name="複本_14_取樣回收每月庫存表" localSheetId="18" hidden="1">'5.20'!#REF!</definedName>
    <definedName name="複本_14_取樣回收每月庫存表" localSheetId="19" hidden="1">'5.21'!#REF!</definedName>
    <definedName name="複本_14_取樣回收每月庫存表" localSheetId="20" hidden="1">'5.22'!#REF!</definedName>
    <definedName name="複本_14_取樣回收每月庫存表" localSheetId="21" hidden="1">'5.25'!#REF!</definedName>
    <definedName name="複本_14_取樣回收每月庫存表" localSheetId="22" hidden="1">'5.26'!#REF!</definedName>
    <definedName name="複本_14_取樣回收每月庫存表" localSheetId="23" hidden="1">'5.27'!#REF!</definedName>
    <definedName name="複本_14_取樣回收每月庫存表" localSheetId="24" hidden="1">'5.28'!#REF!</definedName>
    <definedName name="複本_14_取樣回收每月庫存表" localSheetId="25" hidden="1">'5.29 '!#REF!</definedName>
    <definedName name="複本_14_取樣回收每月庫存表" localSheetId="6" hidden="1">'5.4'!#REF!</definedName>
    <definedName name="複本_14_取樣回收每月庫存表" localSheetId="7" hidden="1">'5.5'!#REF!</definedName>
    <definedName name="複本_14_取樣回收每月庫存表" localSheetId="8" hidden="1">'5.6'!#REF!</definedName>
    <definedName name="複本_14_取樣回收每月庫存表" localSheetId="9" hidden="1">'5.7'!#REF!</definedName>
    <definedName name="複本_14_取樣回收每月庫存表" localSheetId="10" hidden="1">'5.8'!#REF!</definedName>
    <definedName name="複本_14_取樣回收每月庫存表" localSheetId="3" hidden="1">mm計算!#REF!</definedName>
  </definedNames>
  <calcPr calcId="162913"/>
</workbook>
</file>

<file path=xl/calcChain.xml><?xml version="1.0" encoding="utf-8"?>
<calcChain xmlns="http://schemas.openxmlformats.org/spreadsheetml/2006/main">
  <c r="P10" i="2122" l="1"/>
  <c r="O10" i="2122"/>
  <c r="N10" i="2122"/>
  <c r="M10" i="2122"/>
  <c r="L10" i="2122"/>
  <c r="K10" i="2122"/>
  <c r="J10" i="2122"/>
  <c r="I10" i="2122"/>
  <c r="H10" i="2122"/>
  <c r="G10" i="2122"/>
  <c r="F10" i="2122"/>
  <c r="E10" i="2122"/>
  <c r="D10" i="2122"/>
  <c r="P10" i="2121"/>
  <c r="O10" i="2121"/>
  <c r="N10" i="2121"/>
  <c r="M10" i="2121"/>
  <c r="L10" i="2121"/>
  <c r="K10" i="2121"/>
  <c r="J10" i="2121"/>
  <c r="I10" i="2121"/>
  <c r="H10" i="2121"/>
  <c r="G10" i="2121"/>
  <c r="F10" i="2121"/>
  <c r="E10" i="2121"/>
  <c r="D10" i="2121"/>
  <c r="P7" i="2121"/>
  <c r="O7" i="2121"/>
  <c r="N7" i="2121"/>
  <c r="M7" i="2121"/>
  <c r="L7" i="2121"/>
  <c r="K7" i="2121"/>
  <c r="J7" i="2121"/>
  <c r="I7" i="2121"/>
  <c r="H7" i="2121"/>
  <c r="G7" i="2121"/>
  <c r="F7" i="2121"/>
  <c r="E7" i="2121"/>
  <c r="D7" i="2121"/>
  <c r="P10" i="2120"/>
  <c r="O10" i="2120"/>
  <c r="N10" i="2120"/>
  <c r="M10" i="2120"/>
  <c r="L10" i="2120"/>
  <c r="K10" i="2120"/>
  <c r="J10" i="2120"/>
  <c r="I10" i="2120"/>
  <c r="H10" i="2120"/>
  <c r="G10" i="2120"/>
  <c r="F10" i="2120"/>
  <c r="E10" i="2120"/>
  <c r="D10" i="2120"/>
  <c r="P7" i="2120"/>
  <c r="O7" i="2120"/>
  <c r="N7" i="2120"/>
  <c r="M7" i="2120"/>
  <c r="L7" i="2120"/>
  <c r="K7" i="2120"/>
  <c r="J7" i="2120"/>
  <c r="I7" i="2120"/>
  <c r="H7" i="2120"/>
  <c r="G7" i="2120"/>
  <c r="F7" i="2120"/>
  <c r="E7" i="2120"/>
  <c r="D7" i="2120"/>
  <c r="P10" i="2119"/>
  <c r="O10" i="2119"/>
  <c r="N10" i="2119"/>
  <c r="M10" i="2119"/>
  <c r="L10" i="2119"/>
  <c r="K10" i="2119"/>
  <c r="J10" i="2119"/>
  <c r="I10" i="2119"/>
  <c r="H10" i="2119"/>
  <c r="G10" i="2119"/>
  <c r="F10" i="2119"/>
  <c r="E10" i="2119"/>
  <c r="D10" i="2119"/>
  <c r="P7" i="2119"/>
  <c r="O7" i="2119"/>
  <c r="N7" i="2119"/>
  <c r="M7" i="2119"/>
  <c r="L7" i="2119"/>
  <c r="K7" i="2119"/>
  <c r="J7" i="2119"/>
  <c r="I7" i="2119"/>
  <c r="H7" i="2119"/>
  <c r="G7" i="2119"/>
  <c r="F7" i="2119"/>
  <c r="E7" i="2119"/>
  <c r="D7" i="2119"/>
  <c r="P10" i="2118"/>
  <c r="O10" i="2118"/>
  <c r="N10" i="2118"/>
  <c r="M10" i="2118"/>
  <c r="L10" i="2118"/>
  <c r="K10" i="2118"/>
  <c r="J10" i="2118"/>
  <c r="I10" i="2118"/>
  <c r="H10" i="2118"/>
  <c r="G10" i="2118"/>
  <c r="F10" i="2118"/>
  <c r="E10" i="2118"/>
  <c r="D10" i="2118"/>
  <c r="P7" i="2118"/>
  <c r="O7" i="2118"/>
  <c r="N7" i="2118"/>
  <c r="M7" i="2118"/>
  <c r="L7" i="2118"/>
  <c r="K7" i="2118"/>
  <c r="J7" i="2118"/>
  <c r="I7" i="2118"/>
  <c r="H7" i="2118"/>
  <c r="G7" i="2118"/>
  <c r="F7" i="2118"/>
  <c r="E7" i="2118"/>
  <c r="D7" i="2118"/>
  <c r="P10" i="2117"/>
  <c r="O10" i="2117"/>
  <c r="N10" i="2117"/>
  <c r="M10" i="2117"/>
  <c r="L10" i="2117"/>
  <c r="K10" i="2117"/>
  <c r="J10" i="2117"/>
  <c r="I10" i="2117"/>
  <c r="H10" i="2117"/>
  <c r="G10" i="2117"/>
  <c r="F10" i="2117"/>
  <c r="E10" i="2117"/>
  <c r="D10" i="2117"/>
  <c r="P7" i="2117"/>
  <c r="O7" i="2117"/>
  <c r="N7" i="2117"/>
  <c r="M7" i="2117"/>
  <c r="L7" i="2117"/>
  <c r="K7" i="2117"/>
  <c r="J7" i="2117"/>
  <c r="I7" i="2117"/>
  <c r="H7" i="2117"/>
  <c r="G7" i="2117"/>
  <c r="F7" i="2117"/>
  <c r="E7" i="2117"/>
  <c r="D7" i="2117"/>
  <c r="P10" i="2116"/>
  <c r="O10" i="2116"/>
  <c r="N10" i="2116"/>
  <c r="M10" i="2116"/>
  <c r="L10" i="2116"/>
  <c r="K10" i="2116"/>
  <c r="J10" i="2116"/>
  <c r="I10" i="2116"/>
  <c r="H10" i="2116"/>
  <c r="G10" i="2116"/>
  <c r="F10" i="2116"/>
  <c r="E10" i="2116"/>
  <c r="D10" i="2116"/>
  <c r="P7" i="2116"/>
  <c r="O7" i="2116"/>
  <c r="N7" i="2116"/>
  <c r="M7" i="2116"/>
  <c r="L7" i="2116"/>
  <c r="K7" i="2116"/>
  <c r="J7" i="2116"/>
  <c r="I7" i="2116"/>
  <c r="H7" i="2116"/>
  <c r="G7" i="2116"/>
  <c r="F7" i="2116"/>
  <c r="E7" i="2116"/>
  <c r="D7" i="2116"/>
  <c r="P10" i="2115"/>
  <c r="O10" i="2115"/>
  <c r="N10" i="2115"/>
  <c r="M10" i="2115"/>
  <c r="L10" i="2115"/>
  <c r="K10" i="2115"/>
  <c r="J10" i="2115"/>
  <c r="I10" i="2115"/>
  <c r="H10" i="2115"/>
  <c r="G10" i="2115"/>
  <c r="F10" i="2115"/>
  <c r="E10" i="2115"/>
  <c r="D10" i="2115"/>
  <c r="P7" i="2115"/>
  <c r="O7" i="2115"/>
  <c r="N7" i="2115"/>
  <c r="M7" i="2115"/>
  <c r="L7" i="2115"/>
  <c r="K7" i="2115"/>
  <c r="J7" i="2115"/>
  <c r="I7" i="2115"/>
  <c r="H7" i="2115"/>
  <c r="G7" i="2115"/>
  <c r="F7" i="2115"/>
  <c r="E7" i="2115"/>
  <c r="D7" i="2115"/>
  <c r="P7" i="2114"/>
  <c r="O7" i="2114"/>
  <c r="N7" i="2114"/>
  <c r="M7" i="2114"/>
  <c r="L7" i="2114"/>
  <c r="K7" i="2114"/>
  <c r="J7" i="2114"/>
  <c r="I7" i="2114"/>
  <c r="H7" i="2114"/>
  <c r="G7" i="2114"/>
  <c r="F7" i="2114"/>
  <c r="E7" i="2114"/>
  <c r="D7" i="2114"/>
  <c r="P10" i="2114"/>
  <c r="O10" i="2114"/>
  <c r="N10" i="2114"/>
  <c r="M10" i="2114"/>
  <c r="L10" i="2114"/>
  <c r="K10" i="2114"/>
  <c r="J10" i="2114"/>
  <c r="I10" i="2114"/>
  <c r="H10" i="2114"/>
  <c r="G10" i="2114"/>
  <c r="F10" i="2114"/>
  <c r="E10" i="2114"/>
  <c r="D10" i="2114"/>
  <c r="P10" i="2113"/>
  <c r="O10" i="2113"/>
  <c r="N10" i="2113"/>
  <c r="M10" i="2113"/>
  <c r="L10" i="2113"/>
  <c r="K10" i="2113"/>
  <c r="J10" i="2113"/>
  <c r="I10" i="2113"/>
  <c r="H10" i="2113"/>
  <c r="G10" i="2113"/>
  <c r="F10" i="2113"/>
  <c r="E10" i="2113"/>
  <c r="D10" i="2113"/>
  <c r="P7" i="2113"/>
  <c r="O7" i="2113"/>
  <c r="N7" i="2113"/>
  <c r="M7" i="2113"/>
  <c r="L7" i="2113"/>
  <c r="K7" i="2113"/>
  <c r="J7" i="2113"/>
  <c r="I7" i="2113"/>
  <c r="H7" i="2113"/>
  <c r="G7" i="2113"/>
  <c r="F7" i="2113"/>
  <c r="E7" i="2113"/>
  <c r="D7" i="2113"/>
  <c r="P7" i="2122"/>
  <c r="O7" i="2122"/>
  <c r="N7" i="2122"/>
  <c r="M7" i="2122"/>
  <c r="L7" i="2122"/>
  <c r="K7" i="2122"/>
  <c r="J7" i="2122"/>
  <c r="I7" i="2122"/>
  <c r="H7" i="2122"/>
  <c r="G7" i="2122"/>
  <c r="F7" i="2122"/>
  <c r="E7" i="2122"/>
  <c r="D7" i="2122"/>
  <c r="P7" i="2123"/>
  <c r="O7" i="2123"/>
  <c r="N7" i="2123"/>
  <c r="M7" i="2123"/>
  <c r="L7" i="2123"/>
  <c r="K7" i="2123"/>
  <c r="J7" i="2123"/>
  <c r="I7" i="2123"/>
  <c r="H7" i="2123"/>
  <c r="G7" i="2123"/>
  <c r="F7" i="2123"/>
  <c r="E7" i="2123"/>
  <c r="D7" i="2123"/>
  <c r="P10" i="2123"/>
  <c r="O10" i="2123"/>
  <c r="N10" i="2123"/>
  <c r="M10" i="2123"/>
  <c r="L10" i="2123"/>
  <c r="K10" i="2123"/>
  <c r="J10" i="2123"/>
  <c r="I10" i="2123"/>
  <c r="H10" i="2123"/>
  <c r="G10" i="2123"/>
  <c r="F10" i="2123"/>
  <c r="E10" i="2123"/>
  <c r="D10" i="2123"/>
  <c r="P7" i="2124"/>
  <c r="O7" i="2124"/>
  <c r="N7" i="2124"/>
  <c r="M7" i="2124"/>
  <c r="L7" i="2124"/>
  <c r="K7" i="2124"/>
  <c r="J7" i="2124"/>
  <c r="I7" i="2124"/>
  <c r="H7" i="2124"/>
  <c r="G7" i="2124"/>
  <c r="F7" i="2124"/>
  <c r="E7" i="2124"/>
  <c r="D7" i="2124"/>
  <c r="P10" i="2124"/>
  <c r="O10" i="2124"/>
  <c r="N10" i="2124"/>
  <c r="M10" i="2124"/>
  <c r="L10" i="2124"/>
  <c r="K10" i="2124"/>
  <c r="J10" i="2124"/>
  <c r="I10" i="2124"/>
  <c r="H10" i="2124"/>
  <c r="G10" i="2124"/>
  <c r="F10" i="2124"/>
  <c r="E10" i="2124"/>
  <c r="D10" i="2124"/>
  <c r="P10" i="2125"/>
  <c r="O10" i="2125"/>
  <c r="N10" i="2125"/>
  <c r="M10" i="2125"/>
  <c r="L10" i="2125"/>
  <c r="K10" i="2125"/>
  <c r="J10" i="2125"/>
  <c r="I10" i="2125"/>
  <c r="H10" i="2125"/>
  <c r="G10" i="2125"/>
  <c r="F10" i="2125"/>
  <c r="E10" i="2125"/>
  <c r="D10" i="2125"/>
  <c r="P7" i="2125"/>
  <c r="O7" i="2125"/>
  <c r="N7" i="2125"/>
  <c r="M7" i="2125"/>
  <c r="L7" i="2125"/>
  <c r="K7" i="2125"/>
  <c r="J7" i="2125"/>
  <c r="I7" i="2125"/>
  <c r="H7" i="2125"/>
  <c r="G7" i="2125"/>
  <c r="F7" i="2125"/>
  <c r="E7" i="2125"/>
  <c r="D7" i="2125"/>
  <c r="P7" i="2128"/>
  <c r="O7" i="2128"/>
  <c r="N7" i="2128"/>
  <c r="M7" i="2128"/>
  <c r="L7" i="2128"/>
  <c r="K7" i="2128"/>
  <c r="J7" i="2128"/>
  <c r="I7" i="2128"/>
  <c r="H7" i="2128"/>
  <c r="G7" i="2128"/>
  <c r="F7" i="2128"/>
  <c r="E7" i="2128"/>
  <c r="D7" i="2128"/>
  <c r="P10" i="2128"/>
  <c r="O10" i="2128"/>
  <c r="N10" i="2128"/>
  <c r="M10" i="2128"/>
  <c r="L10" i="2128"/>
  <c r="K10" i="2128"/>
  <c r="J10" i="2128"/>
  <c r="I10" i="2128"/>
  <c r="H10" i="2128"/>
  <c r="G10" i="2128"/>
  <c r="F10" i="2128"/>
  <c r="E10" i="2128"/>
  <c r="D10" i="2128"/>
  <c r="P10" i="2126"/>
  <c r="O10" i="2126"/>
  <c r="N10" i="2126"/>
  <c r="M10" i="2126"/>
  <c r="L10" i="2126"/>
  <c r="K10" i="2126"/>
  <c r="J10" i="2126"/>
  <c r="I10" i="2126"/>
  <c r="H10" i="2126"/>
  <c r="G10" i="2126"/>
  <c r="F10" i="2126"/>
  <c r="E10" i="2126"/>
  <c r="D10" i="2126"/>
  <c r="P7" i="2126"/>
  <c r="O7" i="2126"/>
  <c r="N7" i="2126"/>
  <c r="M7" i="2126"/>
  <c r="L7" i="2126"/>
  <c r="K7" i="2126"/>
  <c r="J7" i="2126"/>
  <c r="I7" i="2126"/>
  <c r="H7" i="2126"/>
  <c r="G7" i="2126"/>
  <c r="F7" i="2126"/>
  <c r="E7" i="2126"/>
  <c r="D7" i="2126"/>
  <c r="P10" i="2127"/>
  <c r="O10" i="2127"/>
  <c r="N10" i="2127"/>
  <c r="M10" i="2127"/>
  <c r="L10" i="2127"/>
  <c r="K10" i="2127"/>
  <c r="J10" i="2127"/>
  <c r="I10" i="2127"/>
  <c r="H10" i="2127"/>
  <c r="G10" i="2127"/>
  <c r="F10" i="2127"/>
  <c r="E10" i="2127"/>
  <c r="D10" i="2127"/>
  <c r="P7" i="2127"/>
  <c r="O7" i="2127"/>
  <c r="N7" i="2127"/>
  <c r="M7" i="2127"/>
  <c r="L7" i="2127"/>
  <c r="K7" i="2127"/>
  <c r="J7" i="2127"/>
  <c r="I7" i="2127"/>
  <c r="H7" i="2127"/>
  <c r="G7" i="2127"/>
  <c r="F7" i="2127"/>
  <c r="E7" i="2127"/>
  <c r="D7" i="2127"/>
  <c r="P10" i="2130"/>
  <c r="O10" i="2130"/>
  <c r="D33" i="2130" s="1"/>
  <c r="N10" i="2130"/>
  <c r="M10" i="2130"/>
  <c r="L10" i="2130"/>
  <c r="K10" i="2130"/>
  <c r="J10" i="2130"/>
  <c r="I10" i="2130"/>
  <c r="H10" i="2130"/>
  <c r="G10" i="2130"/>
  <c r="F10" i="2130"/>
  <c r="E10" i="2130"/>
  <c r="D10" i="2130"/>
  <c r="P7" i="2130"/>
  <c r="O7" i="2130"/>
  <c r="N7" i="2130"/>
  <c r="L7" i="2130"/>
  <c r="I7" i="2130"/>
  <c r="J7" i="2130"/>
  <c r="K7" i="2130"/>
  <c r="H7" i="2130"/>
  <c r="E7" i="2130"/>
  <c r="F7" i="2130"/>
  <c r="G7" i="2130"/>
  <c r="D7" i="2130"/>
  <c r="O33" i="2130"/>
  <c r="F33" i="2130"/>
  <c r="E33" i="2130"/>
  <c r="M7" i="2130"/>
  <c r="D7" i="2108" l="1"/>
  <c r="O33" i="2128" l="1"/>
  <c r="D33" i="2128"/>
  <c r="F33" i="2128"/>
  <c r="E33" i="2128"/>
  <c r="O33" i="2127"/>
  <c r="D33" i="2127"/>
  <c r="F33" i="2127"/>
  <c r="E33" i="2127" l="1"/>
  <c r="O33" i="2126"/>
  <c r="D33" i="2126" l="1"/>
  <c r="F33" i="2126"/>
  <c r="E33" i="2126"/>
  <c r="O33" i="2125"/>
  <c r="F33" i="2125"/>
  <c r="E33" i="2125" l="1"/>
  <c r="D33" i="2125"/>
  <c r="O33" i="2124"/>
  <c r="F33" i="2124"/>
  <c r="D33" i="2124"/>
  <c r="E33" i="2124"/>
  <c r="O33" i="2123"/>
  <c r="F33" i="2123"/>
  <c r="D33" i="2123"/>
  <c r="E33" i="2123"/>
  <c r="O33" i="2122" l="1"/>
  <c r="F33" i="2122"/>
  <c r="E33" i="2122"/>
  <c r="D33" i="2122" l="1"/>
  <c r="O33" i="2121" l="1"/>
  <c r="D33" i="2121"/>
  <c r="E33" i="2121"/>
  <c r="F33" i="2121" l="1"/>
  <c r="O33" i="2120"/>
  <c r="F33" i="2120" l="1"/>
  <c r="D33" i="2120"/>
  <c r="E33" i="2120"/>
  <c r="O33" i="2119"/>
  <c r="F33" i="2119"/>
  <c r="D33" i="2119" l="1"/>
  <c r="E33" i="2119"/>
  <c r="O33" i="2118"/>
  <c r="F33" i="2118"/>
  <c r="D33" i="2118" l="1"/>
  <c r="E33" i="2118"/>
  <c r="O33" i="2117"/>
  <c r="D33" i="2117"/>
  <c r="F33" i="2117"/>
  <c r="E33" i="2117"/>
  <c r="O33" i="2116" l="1"/>
  <c r="D33" i="2116"/>
  <c r="F33" i="2116"/>
  <c r="E33" i="2116" l="1"/>
  <c r="O33" i="2115"/>
  <c r="D33" i="2115"/>
  <c r="F33" i="2115"/>
  <c r="E33" i="2115"/>
  <c r="O33" i="2114" l="1"/>
  <c r="D33" i="2114"/>
  <c r="E33" i="2114"/>
  <c r="F33" i="2114" l="1"/>
  <c r="O33" i="2113"/>
  <c r="H7" i="2080"/>
  <c r="F33" i="2113" l="1"/>
  <c r="D33" i="2113"/>
  <c r="E33" i="2113"/>
  <c r="O7" i="2110"/>
  <c r="P7" i="2110"/>
  <c r="P10" i="2111"/>
  <c r="O10" i="2111"/>
  <c r="P7" i="2111"/>
  <c r="O7" i="2111"/>
  <c r="N10" i="2111"/>
  <c r="N7" i="2111"/>
  <c r="L10" i="2111"/>
  <c r="L7" i="2111"/>
  <c r="K7" i="2110"/>
  <c r="J7" i="2110"/>
  <c r="I7" i="2110"/>
  <c r="H7" i="2110"/>
  <c r="K10" i="2111" l="1"/>
  <c r="J10" i="2111"/>
  <c r="I10" i="2111"/>
  <c r="H10" i="2111"/>
  <c r="I7" i="2111"/>
  <c r="J7" i="2111"/>
  <c r="K7" i="2111"/>
  <c r="H7" i="2111"/>
  <c r="O33" i="2111"/>
  <c r="M10" i="2111"/>
  <c r="G10" i="2111"/>
  <c r="F10" i="2111"/>
  <c r="E10" i="2111"/>
  <c r="D10" i="2111"/>
  <c r="M7" i="2111"/>
  <c r="G7" i="2111"/>
  <c r="F7" i="2111"/>
  <c r="E7" i="2111"/>
  <c r="D7" i="2111"/>
  <c r="D33" i="2111" l="1"/>
  <c r="F33" i="2111"/>
  <c r="E33" i="2111"/>
  <c r="K10" i="2110" l="1"/>
  <c r="J10" i="2110"/>
  <c r="I10" i="2110"/>
  <c r="H10" i="2110"/>
  <c r="K10" i="2109"/>
  <c r="J10" i="2109"/>
  <c r="I10" i="2109"/>
  <c r="H10" i="2109"/>
  <c r="K7" i="2109"/>
  <c r="J7" i="2109"/>
  <c r="I7" i="2109"/>
  <c r="H7" i="2109"/>
  <c r="K10" i="2108"/>
  <c r="J10" i="2108"/>
  <c r="I10" i="2108"/>
  <c r="H10" i="2108"/>
  <c r="K7" i="2108"/>
  <c r="J7" i="2108"/>
  <c r="I7" i="2108"/>
  <c r="H7" i="2108"/>
  <c r="K10" i="2107"/>
  <c r="J10" i="2107"/>
  <c r="I10" i="2107"/>
  <c r="H10" i="2107"/>
  <c r="K7" i="2107"/>
  <c r="J7" i="2107"/>
  <c r="I7" i="2107"/>
  <c r="H7" i="2107"/>
  <c r="G7" i="2080" l="1"/>
  <c r="F7" i="2080"/>
  <c r="E7" i="2080"/>
  <c r="D7" i="2080"/>
  <c r="D10" i="2080"/>
  <c r="G10" i="2080"/>
  <c r="F10" i="2080"/>
  <c r="E10" i="2080"/>
  <c r="G10" i="2107"/>
  <c r="F10" i="2107"/>
  <c r="E10" i="2107"/>
  <c r="D10" i="2107"/>
  <c r="G7" i="2107"/>
  <c r="F7" i="2107"/>
  <c r="E7" i="2107"/>
  <c r="D7" i="2107"/>
  <c r="G10" i="2108"/>
  <c r="F10" i="2108"/>
  <c r="E10" i="2108"/>
  <c r="D10" i="2108"/>
  <c r="G7" i="2108"/>
  <c r="F7" i="2108"/>
  <c r="E7" i="2108"/>
  <c r="G7" i="2109"/>
  <c r="F7" i="2109"/>
  <c r="E7" i="2109"/>
  <c r="D7" i="2109"/>
  <c r="G10" i="2109"/>
  <c r="F10" i="2109"/>
  <c r="E10" i="2109"/>
  <c r="D10" i="2109"/>
  <c r="G10" i="2110"/>
  <c r="F10" i="2110"/>
  <c r="E10" i="2110"/>
  <c r="D10" i="2110"/>
  <c r="G7" i="2110"/>
  <c r="F7" i="2110"/>
  <c r="E7" i="2110"/>
  <c r="D7" i="2110"/>
  <c r="I10" i="2080"/>
  <c r="J10" i="2080"/>
  <c r="K10" i="2080"/>
  <c r="I7" i="2080"/>
  <c r="J7" i="2080"/>
  <c r="K7" i="2080"/>
  <c r="H10" i="2080"/>
  <c r="O33" i="2110" l="1"/>
  <c r="P10" i="2110"/>
  <c r="O10" i="2110"/>
  <c r="N10" i="2110"/>
  <c r="M10" i="2110"/>
  <c r="L10" i="2110"/>
  <c r="N7" i="2110"/>
  <c r="M7" i="2110"/>
  <c r="L7" i="2110"/>
  <c r="F33" i="2110" l="1"/>
  <c r="E33" i="2110"/>
  <c r="D33" i="2110"/>
  <c r="O33" i="2109"/>
  <c r="P10" i="2109"/>
  <c r="O10" i="2109"/>
  <c r="N10" i="2109"/>
  <c r="M10" i="2109"/>
  <c r="L10" i="2109"/>
  <c r="P7" i="2109"/>
  <c r="O7" i="2109"/>
  <c r="N7" i="2109"/>
  <c r="M7" i="2109"/>
  <c r="L7" i="2109"/>
  <c r="F33" i="2109" l="1"/>
  <c r="D33" i="2109"/>
  <c r="O33" i="2108"/>
  <c r="P10" i="2108"/>
  <c r="O10" i="2108"/>
  <c r="N10" i="2108"/>
  <c r="M10" i="2108"/>
  <c r="L10" i="2108"/>
  <c r="P7" i="2108"/>
  <c r="O7" i="2108"/>
  <c r="N7" i="2108"/>
  <c r="M7" i="2108"/>
  <c r="L7" i="2108"/>
  <c r="D33" i="2108" l="1"/>
  <c r="F33" i="2108"/>
  <c r="E33" i="2108"/>
  <c r="O33" i="2107"/>
  <c r="P10" i="2107"/>
  <c r="O10" i="2107"/>
  <c r="N10" i="2107"/>
  <c r="M10" i="2107"/>
  <c r="L10" i="2107"/>
  <c r="P7" i="2107"/>
  <c r="O7" i="2107"/>
  <c r="N7" i="2107"/>
  <c r="M7" i="2107"/>
  <c r="L7" i="2107"/>
  <c r="F33" i="2107" l="1"/>
  <c r="D33" i="2107"/>
  <c r="E33" i="2107"/>
  <c r="P7" i="2080" l="1"/>
  <c r="P10" i="2080"/>
  <c r="O10" i="2080"/>
  <c r="O7" i="2080"/>
  <c r="M10" i="2080" l="1"/>
  <c r="M7" i="2080"/>
  <c r="N7" i="2080"/>
  <c r="L10" i="2080"/>
  <c r="L7" i="2080"/>
  <c r="N10" i="2080" l="1"/>
  <c r="F33" i="2080" l="1"/>
  <c r="D33" i="2080"/>
  <c r="E33" i="2080"/>
  <c r="O33" i="2080" l="1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E33" i="2109" l="1"/>
</calcChain>
</file>

<file path=xl/sharedStrings.xml><?xml version="1.0" encoding="utf-8"?>
<sst xmlns="http://schemas.openxmlformats.org/spreadsheetml/2006/main" count="2331" uniqueCount="269">
  <si>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</si>
  <si>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</si>
  <si>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</si>
  <si>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</si>
  <si>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</si>
  <si>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</si>
  <si>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</si>
  <si>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</si>
  <si>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</si>
  <si>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</si>
  <si>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</si>
  <si>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</si>
  <si>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</si>
  <si>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</si>
  <si>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</si>
  <si>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</si>
  <si>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</si>
  <si>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</si>
  <si>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</si>
  <si>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</si>
  <si>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</si>
  <si>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</si>
  <si>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</si>
  <si>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</si>
  <si>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</si>
  <si>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</si>
  <si>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</si>
  <si>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</si>
  <si>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</si>
  <si>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</si>
  <si>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</si>
  <si>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</si>
  <si>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</si>
  <si>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</si>
  <si>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</si>
  <si>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</si>
  <si>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</si>
  <si>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MIBC</t>
    <phoneticPr fontId="3" type="noConversion"/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</si>
  <si>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</si>
  <si>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</si>
  <si>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</si>
  <si>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</si>
  <si>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底面積</t>
    <phoneticPr fontId="2" type="noConversion"/>
  </si>
  <si>
    <t>最高液位</t>
    <phoneticPr fontId="2" type="noConversion"/>
  </si>
  <si>
    <t>1mm</t>
    <phoneticPr fontId="2" type="noConversion"/>
  </si>
  <si>
    <t>18.322L</t>
    <phoneticPr fontId="2" type="noConversion"/>
  </si>
  <si>
    <t>液位</t>
    <phoneticPr fontId="2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</si>
  <si>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</si>
  <si>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</si>
  <si>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</si>
  <si>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</si>
  <si>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</si>
  <si>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</si>
  <si>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</si>
  <si>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</si>
  <si>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</si>
  <si>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</si>
  <si>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</si>
  <si>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</si>
  <si>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</si>
  <si>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</si>
  <si>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</si>
  <si>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</si>
  <si>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 xml:space="preserve"> </t>
    <phoneticPr fontId="3" type="noConversion"/>
  </si>
  <si>
    <t>IPAHW</t>
    <phoneticPr fontId="3" type="noConversion"/>
  </si>
  <si>
    <t>C50110-INV-01(01)</t>
    <phoneticPr fontId="3" type="noConversion"/>
  </si>
  <si>
    <t xml:space="preserve"> 液位</t>
  </si>
  <si>
    <t>陳志修</t>
    <phoneticPr fontId="2" type="noConversion"/>
  </si>
  <si>
    <t>TK-604</t>
    <phoneticPr fontId="4" type="noConversion"/>
  </si>
  <si>
    <t>TK-605</t>
    <phoneticPr fontId="4" type="noConversion"/>
  </si>
  <si>
    <t>TK-606</t>
  </si>
  <si>
    <t>TK-607</t>
  </si>
  <si>
    <t>TK-608</t>
  </si>
  <si>
    <t>TK611</t>
    <phoneticPr fontId="4" type="noConversion"/>
  </si>
  <si>
    <t>TK612</t>
  </si>
  <si>
    <t>TK613</t>
  </si>
  <si>
    <t>TK617</t>
  </si>
  <si>
    <t>TK618</t>
  </si>
  <si>
    <t>601-604</t>
    <phoneticPr fontId="2" type="noConversion"/>
  </si>
  <si>
    <t>4.48L</t>
    <phoneticPr fontId="2" type="noConversion"/>
  </si>
  <si>
    <t>605-608</t>
    <phoneticPr fontId="2" type="noConversion"/>
  </si>
  <si>
    <t>611-612</t>
    <phoneticPr fontId="2" type="noConversion"/>
  </si>
  <si>
    <t>613-616</t>
    <phoneticPr fontId="2" type="noConversion"/>
  </si>
  <si>
    <t>617-618</t>
    <phoneticPr fontId="2" type="noConversion"/>
  </si>
  <si>
    <t>81.71L</t>
    <phoneticPr fontId="2" type="noConversion"/>
  </si>
  <si>
    <t>18.32L</t>
    <phoneticPr fontId="2" type="noConversion"/>
  </si>
  <si>
    <t>26.42L</t>
    <phoneticPr fontId="2" type="noConversion"/>
  </si>
  <si>
    <t>IPA-HQ</t>
    <phoneticPr fontId="3" type="noConversion"/>
  </si>
  <si>
    <t>廢水</t>
    <phoneticPr fontId="3" type="noConversion"/>
  </si>
  <si>
    <t>IPA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</si>
  <si>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</si>
  <si>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9.97KL</t>
    <phoneticPr fontId="2" type="noConversion"/>
  </si>
  <si>
    <t>87L</t>
    <phoneticPr fontId="2" type="noConversion"/>
  </si>
  <si>
    <t>桶底</t>
    <phoneticPr fontId="2" type="noConversion"/>
  </si>
  <si>
    <t>1.79KL</t>
    <phoneticPr fontId="2" type="noConversion"/>
  </si>
  <si>
    <t>8.64KL</t>
    <phoneticPr fontId="2" type="noConversion"/>
  </si>
  <si>
    <t>1,756.93L</t>
    <phoneticPr fontId="2" type="noConversion"/>
  </si>
  <si>
    <t>943.48L</t>
    <phoneticPr fontId="2" type="noConversion"/>
  </si>
  <si>
    <t>952.744L</t>
    <phoneticPr fontId="2" type="noConversion"/>
  </si>
  <si>
    <t>232.96 L</t>
    <phoneticPr fontId="2" type="noConversion"/>
  </si>
  <si>
    <t>儲槽編號</t>
  </si>
  <si>
    <t>最高液位 (mm)</t>
  </si>
  <si>
    <t>1mm 容積 (L/mm)</t>
  </si>
  <si>
    <t>桶底容量 (L)</t>
  </si>
  <si>
    <t>1% 高度 (mm)</t>
  </si>
  <si>
    <t>1% 容積 (L)</t>
  </si>
  <si>
    <t>百分比 (%) 計算公式 (公斤 KG)</t>
  </si>
  <si>
    <t>TK-601 ~ 604</t>
  </si>
  <si>
    <t>TK-605 ~ 608</t>
  </si>
  <si>
    <t>TK-611 ~ 612</t>
  </si>
  <si>
    <t>TK-613 ~ 616</t>
  </si>
  <si>
    <t>TK-617 ~ 618</t>
  </si>
  <si>
    <t>=((D6*5200)*4.48+1790)*LOOKUP(D8,密度!A:A,密度!B:B)</t>
    <phoneticPr fontId="2" type="noConversion"/>
  </si>
  <si>
    <t>=((D6*5200)*18.322+8640)*LOOKUP(D8,密度!A:A,密度!B:B)</t>
    <phoneticPr fontId="2" type="noConversion"/>
  </si>
  <si>
    <t>=(D6*6650)*26.42*LOOKUP(D8,密度!A:A,密度!B:B)</t>
    <phoneticPr fontId="2" type="noConversion"/>
  </si>
  <si>
    <t>=(D6*5150)*18.32*LOOKUP(D8,密度!A:A,密度!B:B)</t>
    <phoneticPr fontId="2" type="noConversion"/>
  </si>
  <si>
    <t>=(D6*12200)*81.71*LOOKUP(D8,密度!A:A,密度!B:B)</t>
    <phoneticPr fontId="2" type="noConversion"/>
  </si>
  <si>
    <t>IPA-HQ</t>
    <phoneticPr fontId="3" type="noConversion"/>
  </si>
  <si>
    <t>溫度( ℃)</t>
    <phoneticPr fontId="3" type="noConversion"/>
  </si>
  <si>
    <t>原料</t>
    <phoneticPr fontId="3" type="noConversion"/>
  </si>
  <si>
    <t>組(副)長:</t>
    <phoneticPr fontId="4" type="noConversion"/>
  </si>
  <si>
    <t>空</t>
    <phoneticPr fontId="3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</si>
  <si>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</si>
  <si>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</si>
  <si>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</si>
  <si>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</si>
  <si>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</t>
    <phoneticPr fontId="4" type="noConversion"/>
  </si>
  <si>
    <t>TK-602</t>
    <phoneticPr fontId="4" type="noConversion"/>
  </si>
  <si>
    <t>TK-603</t>
    <phoneticPr fontId="4" type="noConversion"/>
  </si>
  <si>
    <t>TK-604</t>
    <phoneticPr fontId="4" type="noConversion"/>
  </si>
  <si>
    <t>TK-605</t>
    <phoneticPr fontId="4" type="noConversion"/>
  </si>
  <si>
    <t>TK611</t>
    <phoneticPr fontId="4" type="noConversion"/>
  </si>
  <si>
    <t>品名</t>
    <phoneticPr fontId="3" type="noConversion"/>
  </si>
  <si>
    <t>IPA-HQ</t>
    <phoneticPr fontId="3" type="noConversion"/>
  </si>
  <si>
    <t>空</t>
    <phoneticPr fontId="3" type="noConversion"/>
  </si>
  <si>
    <t>IPAHW</t>
    <phoneticPr fontId="3" type="noConversion"/>
  </si>
  <si>
    <t>廢水</t>
    <phoneticPr fontId="3" type="noConversion"/>
  </si>
  <si>
    <t>IPA</t>
    <phoneticPr fontId="2" type="noConversion"/>
  </si>
  <si>
    <t>空</t>
    <phoneticPr fontId="3" type="noConversion"/>
  </si>
  <si>
    <t>液位(mm/%)</t>
    <phoneticPr fontId="3" type="noConversion"/>
  </si>
  <si>
    <t>數量(kg)</t>
    <phoneticPr fontId="4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</si>
  <si>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</si>
  <si>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                                 </t>
    <phoneticPr fontId="2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</si>
  <si>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</si>
  <si>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</si>
  <si>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</si>
  <si>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</si>
  <si>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</si>
  <si>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</si>
  <si>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數量(kg)</t>
    <phoneticPr fontId="4" type="noConversion"/>
  </si>
  <si>
    <t xml:space="preserve"> </t>
    <phoneticPr fontId="2" type="noConversion"/>
  </si>
  <si>
    <t>記事欄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</si>
  <si>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</si>
  <si>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液位(mm/%)</t>
    <phoneticPr fontId="3" type="noConversion"/>
  </si>
  <si>
    <t>溫度( ℃)</t>
    <phoneticPr fontId="3" type="noConversion"/>
  </si>
  <si>
    <t xml:space="preserve"> </t>
    <phoneticPr fontId="2" type="noConversion"/>
  </si>
  <si>
    <t>IPA</t>
    <phoneticPr fontId="3" type="noConversion"/>
  </si>
  <si>
    <t>原料</t>
    <phoneticPr fontId="3" type="noConversion"/>
  </si>
  <si>
    <t>成品</t>
    <phoneticPr fontId="3" type="noConversion"/>
  </si>
  <si>
    <t>待處理品</t>
    <phoneticPr fontId="3" type="noConversion"/>
  </si>
  <si>
    <t>成品</t>
    <phoneticPr fontId="3" type="noConversion"/>
  </si>
  <si>
    <t>待處理品</t>
    <phoneticPr fontId="3" type="noConversion"/>
  </si>
  <si>
    <t>成品</t>
    <phoneticPr fontId="3" type="noConversion"/>
  </si>
  <si>
    <t>原料</t>
    <phoneticPr fontId="3" type="noConversion"/>
  </si>
  <si>
    <t>原料</t>
    <phoneticPr fontId="2" type="noConversion"/>
  </si>
  <si>
    <t>成品</t>
    <phoneticPr fontId="2" type="noConversion"/>
  </si>
  <si>
    <t>待處理品</t>
    <phoneticPr fontId="2" type="noConversion"/>
  </si>
  <si>
    <t>總數量
(kg)</t>
    <phoneticPr fontId="3" type="noConversion"/>
  </si>
  <si>
    <t>C50110-INV-01(01)</t>
    <phoneticPr fontId="3" type="noConversion"/>
  </si>
  <si>
    <t>經(副)理:</t>
    <phoneticPr fontId="4" type="noConversion"/>
  </si>
  <si>
    <t>課長:</t>
    <phoneticPr fontId="4" type="noConversion"/>
  </si>
  <si>
    <t>記錄員:</t>
    <phoneticPr fontId="4" type="noConversion"/>
  </si>
  <si>
    <t>陳志修</t>
    <phoneticPr fontId="2" type="noConversion"/>
  </si>
  <si>
    <t>TK-605(成品)</t>
    <phoneticPr fontId="4" type="noConversion"/>
  </si>
  <si>
    <t>TK-601(代驗)</t>
    <phoneticPr fontId="4" type="noConversion"/>
  </si>
  <si>
    <t>TK-602(代驗)</t>
    <phoneticPr fontId="4" type="noConversion"/>
  </si>
  <si>
    <t>TK-605(成品)</t>
    <phoneticPr fontId="4" type="noConversion"/>
  </si>
  <si>
    <t>TK-606(成品)</t>
    <phoneticPr fontId="2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</si>
  <si>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</si>
  <si>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</si>
  <si>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</si>
  <si>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</si>
  <si>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TK-601(代驗)</t>
    <phoneticPr fontId="4" type="noConversion"/>
  </si>
  <si>
    <t>TK-603</t>
    <phoneticPr fontId="4" type="noConversion"/>
  </si>
  <si>
    <t>TK-604</t>
    <phoneticPr fontId="4" type="noConversion"/>
  </si>
  <si>
    <t>TK-605(成品)</t>
    <phoneticPr fontId="4" type="noConversion"/>
  </si>
  <si>
    <t>TK611</t>
    <phoneticPr fontId="4" type="noConversion"/>
  </si>
  <si>
    <t>品名</t>
    <phoneticPr fontId="3" type="noConversion"/>
  </si>
  <si>
    <t>IPA-HQ</t>
    <phoneticPr fontId="3" type="noConversion"/>
  </si>
  <si>
    <t>IPA-HQ</t>
    <phoneticPr fontId="3" type="noConversion"/>
  </si>
  <si>
    <t>空</t>
    <phoneticPr fontId="3" type="noConversion"/>
  </si>
  <si>
    <t>空</t>
    <phoneticPr fontId="3" type="noConversion"/>
  </si>
  <si>
    <t>IPA-HQ</t>
    <phoneticPr fontId="3" type="noConversion"/>
  </si>
  <si>
    <t>IPA-HQ</t>
    <phoneticPr fontId="3" type="noConversion"/>
  </si>
  <si>
    <t>空</t>
    <phoneticPr fontId="3" type="noConversion"/>
  </si>
  <si>
    <t>空</t>
    <phoneticPr fontId="3" type="noConversion"/>
  </si>
  <si>
    <t>IPAHW</t>
    <phoneticPr fontId="3" type="noConversion"/>
  </si>
  <si>
    <t>廢水</t>
    <phoneticPr fontId="3" type="noConversion"/>
  </si>
  <si>
    <t>IPA</t>
    <phoneticPr fontId="2" type="noConversion"/>
  </si>
  <si>
    <t>IPA</t>
    <phoneticPr fontId="2" type="noConversion"/>
  </si>
  <si>
    <t>數量(kg)</t>
    <phoneticPr fontId="4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</si>
  <si>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</si>
  <si>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                                 </t>
    <phoneticPr fontId="2" type="noConversion"/>
  </si>
  <si>
    <t>溫度( ℃)</t>
    <phoneticPr fontId="3" type="noConversion"/>
  </si>
  <si>
    <t>時間</t>
    <phoneticPr fontId="3" type="noConversion"/>
  </si>
  <si>
    <t>品名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</si>
  <si>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</si>
  <si>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</si>
  <si>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</si>
  <si>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t>溫度( ℃)</t>
    <phoneticPr fontId="3" type="noConversion"/>
  </si>
  <si>
    <t>時間</t>
    <phoneticPr fontId="3" type="noConversion"/>
  </si>
  <si>
    <t>槽　別</t>
    <phoneticPr fontId="3" type="noConversion"/>
  </si>
  <si>
    <t>品名</t>
    <phoneticPr fontId="3" type="noConversion"/>
  </si>
  <si>
    <t>液位(mm/%)</t>
    <phoneticPr fontId="3" type="noConversion"/>
  </si>
  <si>
    <t xml:space="preserve"> </t>
    <phoneticPr fontId="2" type="noConversion"/>
  </si>
  <si>
    <t xml:space="preserve"> </t>
    <phoneticPr fontId="2" type="noConversion"/>
  </si>
  <si>
    <t>IPA</t>
    <phoneticPr fontId="3" type="noConversion"/>
  </si>
  <si>
    <t>原料</t>
    <phoneticPr fontId="3" type="noConversion"/>
  </si>
  <si>
    <t>待處理品</t>
    <phoneticPr fontId="3" type="noConversion"/>
  </si>
  <si>
    <t>原料</t>
    <phoneticPr fontId="3" type="noConversion"/>
  </si>
  <si>
    <t>待處理品</t>
    <phoneticPr fontId="3" type="noConversion"/>
  </si>
  <si>
    <t>成品</t>
    <phoneticPr fontId="3" type="noConversion"/>
  </si>
  <si>
    <t>待處理品</t>
    <phoneticPr fontId="3" type="noConversion"/>
  </si>
  <si>
    <t>成品</t>
    <phoneticPr fontId="3" type="noConversion"/>
  </si>
  <si>
    <t>成品</t>
    <phoneticPr fontId="3" type="noConversion"/>
  </si>
  <si>
    <t>原料</t>
    <phoneticPr fontId="3" type="noConversion"/>
  </si>
  <si>
    <t>原料</t>
    <phoneticPr fontId="3" type="noConversion"/>
  </si>
  <si>
    <t>成品</t>
    <phoneticPr fontId="3" type="noConversion"/>
  </si>
  <si>
    <t>成品</t>
    <phoneticPr fontId="3" type="noConversion"/>
  </si>
  <si>
    <t>C50110-INV-01(01)</t>
    <phoneticPr fontId="3" type="noConversion"/>
  </si>
  <si>
    <t>經(副)理:</t>
    <phoneticPr fontId="4" type="noConversion"/>
  </si>
  <si>
    <t>組(副)長:</t>
    <phoneticPr fontId="4" type="noConversion"/>
  </si>
  <si>
    <t>記錄員:</t>
    <phoneticPr fontId="4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</si>
  <si>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</si>
  <si>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</si>
  <si>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</si>
  <si>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</si>
  <si>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TK-601(代驗)</t>
    <phoneticPr fontId="4" type="noConversion"/>
  </si>
  <si>
    <t>TK-602(代驗)</t>
    <phoneticPr fontId="4" type="noConversion"/>
  </si>
  <si>
    <t>TK-603</t>
    <phoneticPr fontId="4" type="noConversion"/>
  </si>
  <si>
    <t>TK-604</t>
    <phoneticPr fontId="4" type="noConversion"/>
  </si>
  <si>
    <t>TK-605(成品)</t>
    <phoneticPr fontId="4" type="noConversion"/>
  </si>
  <si>
    <t>TK-606(成品)</t>
    <phoneticPr fontId="2" type="noConversion"/>
  </si>
  <si>
    <t>TK611</t>
    <phoneticPr fontId="4" type="noConversion"/>
  </si>
  <si>
    <t>品名</t>
    <phoneticPr fontId="3" type="noConversion"/>
  </si>
  <si>
    <t>IPA-HQ</t>
    <phoneticPr fontId="3" type="noConversion"/>
  </si>
  <si>
    <t>空</t>
    <phoneticPr fontId="3" type="noConversion"/>
  </si>
  <si>
    <t>IPAHW</t>
    <phoneticPr fontId="3" type="noConversion"/>
  </si>
  <si>
    <t>廢水</t>
    <phoneticPr fontId="3" type="noConversion"/>
  </si>
  <si>
    <t>IPA</t>
    <phoneticPr fontId="2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</si>
  <si>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</si>
  <si>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</si>
  <si>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</si>
  <si>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</si>
  <si>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                                 </t>
    <phoneticPr fontId="2" type="noConversion"/>
  </si>
  <si>
    <t>液位(mm/%)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</si>
  <si>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</si>
  <si>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 xml:space="preserve"> </t>
    <phoneticPr fontId="2" type="noConversion"/>
  </si>
  <si>
    <t>記事欄</t>
    <phoneticPr fontId="3" type="noConversion"/>
  </si>
  <si>
    <t>成品</t>
    <phoneticPr fontId="3" type="noConversion"/>
  </si>
  <si>
    <t>待處理品</t>
    <phoneticPr fontId="3" type="noConversion"/>
  </si>
  <si>
    <t>原料</t>
    <phoneticPr fontId="3" type="noConversion"/>
  </si>
  <si>
    <t>原料</t>
    <phoneticPr fontId="2" type="noConversion"/>
  </si>
  <si>
    <t>成品</t>
    <phoneticPr fontId="2" type="noConversion"/>
  </si>
  <si>
    <t>待處理品</t>
    <phoneticPr fontId="2" type="noConversion"/>
  </si>
  <si>
    <t>總數量
(kg)</t>
    <phoneticPr fontId="3" type="noConversion"/>
  </si>
  <si>
    <t>C50110-INV-01(01)</t>
    <phoneticPr fontId="3" type="noConversion"/>
  </si>
  <si>
    <t>課長:</t>
    <phoneticPr fontId="4" type="noConversion"/>
  </si>
  <si>
    <t>組(副)長: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</si>
</sst>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9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sz val="10"/>
      <color rgb="FF444746"/>
      <name val="Google Sans Text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4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</cellStyleXfs>
  <cellXfs count="300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3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34" fillId="2" borderId="3" xfId="1" applyFont="1" applyFill="1" applyBorder="1" applyAlignment="1">
      <alignment horizontal="center" vertical="top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9" fontId="13" fillId="0" borderId="0" xfId="1" applyNumberFormat="1" applyFont="1" applyAlignment="1">
      <alignment vertical="center"/>
    </xf>
    <xf numFmtId="9" fontId="11" fillId="0" borderId="0" xfId="23" applyFont="1" applyAlignment="1">
      <alignment horizontal="center" vertical="center"/>
    </xf>
    <xf numFmtId="10" fontId="22" fillId="2" borderId="3" xfId="23" applyNumberFormat="1" applyFont="1" applyFill="1" applyBorder="1" applyAlignment="1">
      <alignment horizontal="center" vertical="center"/>
    </xf>
    <xf numFmtId="0" fontId="37" fillId="0" borderId="65" xfId="0" applyFont="1" applyBorder="1" applyAlignment="1">
      <alignment vertical="center" wrapText="1" readingOrder="1"/>
    </xf>
    <xf numFmtId="3" fontId="36" fillId="0" borderId="65" xfId="0" applyNumberFormat="1" applyFont="1" applyBorder="1" applyAlignment="1">
      <alignment vertical="center" wrapText="1" readingOrder="1"/>
    </xf>
    <xf numFmtId="0" fontId="36" fillId="0" borderId="65" xfId="0" applyFont="1" applyBorder="1" applyAlignment="1">
      <alignment vertical="center" wrapText="1" readingOrder="1"/>
    </xf>
    <xf numFmtId="4" fontId="36" fillId="0" borderId="65" xfId="0" applyNumberFormat="1" applyFont="1" applyBorder="1" applyAlignment="1">
      <alignment vertical="center" wrapText="1" readingOrder="1"/>
    </xf>
    <xf numFmtId="49" fontId="38" fillId="0" borderId="65" xfId="0" applyNumberFormat="1" applyFont="1" applyBorder="1" applyAlignment="1">
      <alignment vertical="center" wrapText="1" readingOrder="1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9" fontId="22" fillId="2" borderId="3" xfId="23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0" fillId="2" borderId="0" xfId="1" applyFont="1" applyFill="1"/>
    <xf numFmtId="179" fontId="0" fillId="2" borderId="3" xfId="1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4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" xfId="23" builtinId="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348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  <a:ext uri="{FF2B5EF4-FFF2-40B4-BE49-F238E27FC236}">
                  <a16:creationId xmlns:a16="http://schemas.microsoft.com/office/drawing/2014/main" id="{00000000-0008-0000-0000-000001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  <a:ext uri="{FF2B5EF4-FFF2-40B4-BE49-F238E27FC236}">
                  <a16:creationId xmlns:a16="http://schemas.microsoft.com/office/drawing/2014/main" id="{00000000-0008-0000-0000-000002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2449" name="Button 1" hidden="1">
              <a:extLst>
                <a:ext uri="{63B3BB69-23CF-44E3-9099-C40C66FF867C}">
                  <a14:compatExt spid="_x0000_s279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47393" name="Button 1" hidden="1">
              <a:extLst>
                <a:ext uri="{63B3BB69-23CF-44E3-9099-C40C66FF867C}">
                  <a14:compatExt spid="_x0000_s2747393"/>
                </a:ext>
                <a:ext uri="{FF2B5EF4-FFF2-40B4-BE49-F238E27FC236}">
                  <a16:creationId xmlns:a16="http://schemas.microsoft.com/office/drawing/2014/main" id="{00000000-0008-0000-0300-000001EC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6305" name="Button 1" hidden="1">
              <a:extLst>
                <a:ext uri="{63B3BB69-23CF-44E3-9099-C40C66FF867C}">
                  <a14:compatExt spid="_x0000_s2786305"/>
                </a:ext>
                <a:ext uri="{FF2B5EF4-FFF2-40B4-BE49-F238E27FC236}">
                  <a16:creationId xmlns:a16="http://schemas.microsoft.com/office/drawing/2014/main" id="{00000000-0008-0000-0400-00000184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7329" name="Button 1" hidden="1">
              <a:extLst>
                <a:ext uri="{63B3BB69-23CF-44E3-9099-C40C66FF867C}">
                  <a14:compatExt spid="_x0000_s2787329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8353" name="Button 1" hidden="1">
              <a:extLst>
                <a:ext uri="{63B3BB69-23CF-44E3-9099-C40C66FF867C}">
                  <a14:compatExt spid="_x0000_s278835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9377" name="Button 1" hidden="1">
              <a:extLst>
                <a:ext uri="{63B3BB69-23CF-44E3-9099-C40C66FF867C}">
                  <a14:compatExt spid="_x0000_s278937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0641" name="Button 1" hidden="1">
              <a:extLst>
                <a:ext uri="{63B3BB69-23CF-44E3-9099-C40C66FF867C}">
                  <a14:compatExt spid="_x0000_s280064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1665" name="Button 1" hidden="1">
              <a:extLst>
                <a:ext uri="{63B3BB69-23CF-44E3-9099-C40C66FF867C}">
                  <a14:compatExt spid="_x0000_s280166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2689" name="Button 1" hidden="1">
              <a:extLst>
                <a:ext uri="{63B3BB69-23CF-44E3-9099-C40C66FF867C}">
                  <a14:compatExt spid="_x0000_s2802689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5761" name="Button 1" hidden="1">
              <a:extLst>
                <a:ext uri="{63B3BB69-23CF-44E3-9099-C40C66FF867C}">
                  <a14:compatExt spid="_x0000_s280576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9857" name="Button 1" hidden="1">
              <a:extLst>
                <a:ext uri="{63B3BB69-23CF-44E3-9099-C40C66FF867C}">
                  <a14:compatExt spid="_x0000_s280985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0881" name="Button 1" hidden="1">
              <a:extLst>
                <a:ext uri="{63B3BB69-23CF-44E3-9099-C40C66FF867C}">
                  <a14:compatExt spid="_x0000_s281088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3953" name="Button 1" hidden="1">
              <a:extLst>
                <a:ext uri="{63B3BB69-23CF-44E3-9099-C40C66FF867C}">
                  <a14:compatExt spid="_x0000_s281395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7025" name="Button 1" hidden="1">
              <a:extLst>
                <a:ext uri="{63B3BB69-23CF-44E3-9099-C40C66FF867C}">
                  <a14:compatExt spid="_x0000_s281702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8049" name="Button 1" hidden="1">
              <a:extLst>
                <a:ext uri="{63B3BB69-23CF-44E3-9099-C40C66FF867C}">
                  <a14:compatExt spid="_x0000_s2818049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9073" name="Button 1" hidden="1">
              <a:extLst>
                <a:ext uri="{63B3BB69-23CF-44E3-9099-C40C66FF867C}">
                  <a14:compatExt spid="_x0000_s281907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5217" name="Button 1" hidden="1">
              <a:extLst>
                <a:ext uri="{63B3BB69-23CF-44E3-9099-C40C66FF867C}">
                  <a14:compatExt spid="_x0000_s282521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2385" name="Button 1" hidden="1">
              <a:extLst>
                <a:ext uri="{63B3BB69-23CF-44E3-9099-C40C66FF867C}">
                  <a14:compatExt spid="_x0000_s283238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8289" name="Button 1" hidden="1">
              <a:extLst>
                <a:ext uri="{63B3BB69-23CF-44E3-9099-C40C66FF867C}">
                  <a14:compatExt spid="_x0000_s2828289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1361" name="Button 1" hidden="1">
              <a:extLst>
                <a:ext uri="{63B3BB69-23CF-44E3-9099-C40C66FF867C}">
                  <a14:compatExt spid="_x0000_s283136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6481" name="Button 1" hidden="1">
              <a:extLst>
                <a:ext uri="{63B3BB69-23CF-44E3-9099-C40C66FF867C}">
                  <a14:compatExt spid="_x0000_s283648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833;&#23614;&#20786;&#27133;&#20316;&#26989;&#26085;&#22577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新增"/>
      <sheetName val="工作表1"/>
      <sheetName val="密度"/>
      <sheetName val="1.30 %計算"/>
      <sheetName val="3.3"/>
    </sheetNames>
    <sheetDataSet>
      <sheetData sheetId="0"/>
      <sheetData sheetId="1"/>
      <sheetData sheetId="2">
        <row r="2">
          <cell r="A2">
            <v>1</v>
          </cell>
          <cell r="B2">
            <v>0.80020000000000002</v>
          </cell>
        </row>
        <row r="3">
          <cell r="A3">
            <v>2</v>
          </cell>
          <cell r="B3">
            <v>0.79930000000000001</v>
          </cell>
        </row>
        <row r="4">
          <cell r="A4">
            <v>3</v>
          </cell>
          <cell r="B4">
            <v>0.7984</v>
          </cell>
        </row>
        <row r="5">
          <cell r="A5">
            <v>4</v>
          </cell>
          <cell r="B5">
            <v>0.79749999999999999</v>
          </cell>
        </row>
        <row r="6">
          <cell r="A6">
            <v>5</v>
          </cell>
          <cell r="B6">
            <v>0.79659999999999997</v>
          </cell>
        </row>
        <row r="7">
          <cell r="A7">
            <v>6</v>
          </cell>
          <cell r="B7">
            <v>0.79569999999999996</v>
          </cell>
        </row>
        <row r="8">
          <cell r="A8">
            <v>7</v>
          </cell>
          <cell r="B8">
            <v>0.79479999999999995</v>
          </cell>
        </row>
        <row r="9">
          <cell r="A9">
            <v>8</v>
          </cell>
          <cell r="B9">
            <v>0.79400000000000004</v>
          </cell>
        </row>
        <row r="10">
          <cell r="A10">
            <v>9</v>
          </cell>
          <cell r="B10">
            <v>0.79310000000000003</v>
          </cell>
        </row>
        <row r="11">
          <cell r="A11">
            <v>10</v>
          </cell>
          <cell r="B11">
            <v>0.7923</v>
          </cell>
        </row>
        <row r="12">
          <cell r="A12">
            <v>11</v>
          </cell>
          <cell r="B12">
            <v>0.79139999999999999</v>
          </cell>
        </row>
        <row r="13">
          <cell r="A13">
            <v>12</v>
          </cell>
          <cell r="B13">
            <v>0.79059999999999997</v>
          </cell>
        </row>
        <row r="14">
          <cell r="A14">
            <v>13</v>
          </cell>
          <cell r="B14">
            <v>0.78969999999999996</v>
          </cell>
        </row>
        <row r="15">
          <cell r="A15">
            <v>14</v>
          </cell>
          <cell r="B15">
            <v>0.78890000000000005</v>
          </cell>
        </row>
        <row r="16">
          <cell r="A16">
            <v>15</v>
          </cell>
          <cell r="B16">
            <v>0.78800000000000003</v>
          </cell>
        </row>
        <row r="17">
          <cell r="A17">
            <v>16</v>
          </cell>
          <cell r="B17">
            <v>0.78720000000000001</v>
          </cell>
        </row>
        <row r="18">
          <cell r="A18">
            <v>17</v>
          </cell>
          <cell r="B18">
            <v>0.78639999999999999</v>
          </cell>
        </row>
        <row r="19">
          <cell r="A19">
            <v>18</v>
          </cell>
          <cell r="B19">
            <v>0.78569999999999995</v>
          </cell>
        </row>
        <row r="20">
          <cell r="A20">
            <v>19</v>
          </cell>
          <cell r="B20">
            <v>0.78490000000000004</v>
          </cell>
        </row>
        <row r="21">
          <cell r="A21">
            <v>20</v>
          </cell>
          <cell r="B21">
            <v>0.78410000000000002</v>
          </cell>
        </row>
        <row r="22">
          <cell r="A22">
            <v>21</v>
          </cell>
          <cell r="B22">
            <v>0.78320000000000001</v>
          </cell>
        </row>
        <row r="23">
          <cell r="A23">
            <v>22</v>
          </cell>
          <cell r="B23">
            <v>0.7823</v>
          </cell>
        </row>
        <row r="24">
          <cell r="A24">
            <v>23</v>
          </cell>
          <cell r="B24">
            <v>0.78139999999999998</v>
          </cell>
        </row>
        <row r="25">
          <cell r="A25">
            <v>24</v>
          </cell>
          <cell r="B25">
            <v>0.78049999999999997</v>
          </cell>
        </row>
        <row r="26">
          <cell r="A26">
            <v>25</v>
          </cell>
          <cell r="B26">
            <v>0.77959999999999996</v>
          </cell>
        </row>
        <row r="27">
          <cell r="A27">
            <v>26</v>
          </cell>
          <cell r="B27">
            <v>0.77869999999999995</v>
          </cell>
        </row>
        <row r="28">
          <cell r="A28">
            <v>27</v>
          </cell>
          <cell r="B28">
            <v>0.77790000000000004</v>
          </cell>
        </row>
        <row r="29">
          <cell r="A29">
            <v>28</v>
          </cell>
          <cell r="B29">
            <v>0.77700000000000002</v>
          </cell>
        </row>
        <row r="30">
          <cell r="A30">
            <v>29</v>
          </cell>
          <cell r="B30">
            <v>0.7762</v>
          </cell>
        </row>
        <row r="31">
          <cell r="A31">
            <v>30</v>
          </cell>
          <cell r="B31">
            <v>0.77529999999999999</v>
          </cell>
        </row>
        <row r="32">
          <cell r="A32">
            <v>31</v>
          </cell>
          <cell r="B32">
            <v>0.77439999999999998</v>
          </cell>
        </row>
        <row r="33">
          <cell r="A33">
            <v>32</v>
          </cell>
          <cell r="B33">
            <v>0.77349999999999997</v>
          </cell>
        </row>
        <row r="34">
          <cell r="A34">
            <v>33</v>
          </cell>
          <cell r="B34">
            <v>0.77270000000000005</v>
          </cell>
        </row>
        <row r="35">
          <cell r="A35">
            <v>34</v>
          </cell>
          <cell r="B35">
            <v>0.77180000000000004</v>
          </cell>
        </row>
        <row r="36">
          <cell r="A36">
            <v>35</v>
          </cell>
          <cell r="B36">
            <v>0.77090000000000003</v>
          </cell>
        </row>
        <row r="37">
          <cell r="A37">
            <v>36</v>
          </cell>
          <cell r="B37">
            <v>0.77</v>
          </cell>
        </row>
        <row r="38">
          <cell r="A38">
            <v>37</v>
          </cell>
          <cell r="B38">
            <v>0.76910000000000001</v>
          </cell>
        </row>
        <row r="39">
          <cell r="A39">
            <v>38</v>
          </cell>
          <cell r="B39">
            <v>0.76829999999999998</v>
          </cell>
        </row>
        <row r="40">
          <cell r="A40">
            <v>39</v>
          </cell>
          <cell r="B40">
            <v>0.76739999999999997</v>
          </cell>
        </row>
        <row r="41">
          <cell r="A41">
            <v>40</v>
          </cell>
          <cell r="B41">
            <v>0.76649999999999996</v>
          </cell>
        </row>
        <row r="42">
          <cell r="A42">
            <v>41</v>
          </cell>
          <cell r="B42">
            <v>0.76559999999999995</v>
          </cell>
        </row>
        <row r="43">
          <cell r="A43">
            <v>42</v>
          </cell>
          <cell r="B43">
            <v>0.76470000000000005</v>
          </cell>
        </row>
        <row r="44">
          <cell r="A44">
            <v>43</v>
          </cell>
          <cell r="B44">
            <v>0.76390000000000002</v>
          </cell>
        </row>
        <row r="45">
          <cell r="A45">
            <v>44</v>
          </cell>
          <cell r="B45">
            <v>0.76300000000000001</v>
          </cell>
        </row>
        <row r="46">
          <cell r="A46">
            <v>45</v>
          </cell>
          <cell r="B46">
            <v>0.7621</v>
          </cell>
        </row>
        <row r="47">
          <cell r="A47">
            <v>46</v>
          </cell>
          <cell r="B47">
            <v>0.76124999999999998</v>
          </cell>
        </row>
        <row r="48">
          <cell r="A48">
            <v>47</v>
          </cell>
          <cell r="B48">
            <v>0.76037999999999994</v>
          </cell>
        </row>
        <row r="49">
          <cell r="A49">
            <v>48</v>
          </cell>
          <cell r="B49">
            <v>0.75951000000000002</v>
          </cell>
        </row>
        <row r="50">
          <cell r="A50">
            <v>49</v>
          </cell>
          <cell r="B50">
            <v>0.75863999999999998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Y100"/>
  <sheetViews>
    <sheetView view="pageBreakPreview" zoomScale="80" zoomScaleNormal="100" zoomScaleSheetLayoutView="80" workbookViewId="0">
      <selection activeCell="C14" sqref="C1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2.77734375" style="62" bestFit="1" customWidth="1"/>
    <col min="18" max="18" width="8.44140625" style="62" customWidth="1"/>
    <col min="19" max="19" width="17.77734375" style="62" bestFit="1" customWidth="1"/>
    <col min="20" max="20" width="14.33203125" style="62" customWidth="1"/>
    <col min="21" max="21" width="9" style="54"/>
    <col min="22" max="22" width="10.21875" style="54" customWidth="1"/>
    <col min="23" max="23" width="9" style="54"/>
    <col min="24" max="24" width="13.77734375" style="54" bestFit="1" customWidth="1"/>
    <col min="25" max="16384" width="9" style="54"/>
  </cols>
  <sheetData>
    <row r="1" spans="1:25" s="53" customFormat="1" ht="21" customHeight="1" thickBot="1">
      <c r="A1" s="223" t="s">
        <v>49</v>
      </c>
      <c r="B1" s="223"/>
      <c r="C1" s="110"/>
      <c r="D1" s="110"/>
      <c r="E1" s="111"/>
      <c r="F1" s="110"/>
      <c r="G1" s="112"/>
      <c r="H1" s="112"/>
      <c r="I1" s="112"/>
      <c r="J1" s="112"/>
      <c r="K1" s="112"/>
      <c r="L1" s="112"/>
      <c r="M1" s="112" t="s">
        <v>50</v>
      </c>
      <c r="Q1" s="55"/>
      <c r="R1" s="55"/>
      <c r="S1" s="55"/>
      <c r="T1" s="55"/>
    </row>
    <row r="2" spans="1:25" s="58" customFormat="1" ht="25.65" customHeight="1" thickTop="1" thickBot="1">
      <c r="A2" s="113" t="s">
        <v>22</v>
      </c>
      <c r="B2" s="114" t="s">
        <v>46</v>
      </c>
      <c r="C2" s="115" t="s">
        <v>24</v>
      </c>
      <c r="D2" s="113" t="s">
        <v>22</v>
      </c>
      <c r="E2" s="114" t="s">
        <v>46</v>
      </c>
      <c r="F2" s="116" t="s">
        <v>24</v>
      </c>
      <c r="G2" s="113" t="s">
        <v>22</v>
      </c>
      <c r="H2" s="114" t="s">
        <v>23</v>
      </c>
      <c r="I2" s="116" t="s">
        <v>24</v>
      </c>
      <c r="J2" s="113" t="s">
        <v>22</v>
      </c>
      <c r="K2" s="114" t="s">
        <v>23</v>
      </c>
      <c r="L2" s="116" t="s">
        <v>24</v>
      </c>
      <c r="M2" s="117" t="s">
        <v>51</v>
      </c>
      <c r="N2" s="56"/>
      <c r="O2" s="56"/>
      <c r="P2" s="57" t="s">
        <v>42</v>
      </c>
      <c r="Q2" s="57" t="s">
        <v>93</v>
      </c>
      <c r="T2" s="59" t="s">
        <v>43</v>
      </c>
      <c r="V2" s="136"/>
      <c r="W2" s="135"/>
      <c r="X2" s="136"/>
      <c r="Y2" s="60"/>
    </row>
    <row r="3" spans="1:25" s="53" customFormat="1" ht="22.2" customHeight="1" thickTop="1">
      <c r="A3" s="118">
        <v>601</v>
      </c>
      <c r="B3" s="119">
        <v>40.130000000000003</v>
      </c>
      <c r="C3" s="120">
        <v>32</v>
      </c>
      <c r="D3" s="121"/>
      <c r="E3" s="119"/>
      <c r="F3" s="120"/>
      <c r="G3" s="118"/>
      <c r="H3" s="119"/>
      <c r="I3" s="122"/>
      <c r="J3" s="118"/>
      <c r="K3" s="119"/>
      <c r="L3" s="123"/>
      <c r="M3" s="224" t="s">
        <v>63</v>
      </c>
      <c r="N3" s="136" t="s">
        <v>78</v>
      </c>
      <c r="O3" s="136" t="s">
        <v>44</v>
      </c>
      <c r="P3" s="136" t="s">
        <v>79</v>
      </c>
      <c r="Q3" s="148" t="s">
        <v>94</v>
      </c>
      <c r="R3" s="150">
        <v>0.01</v>
      </c>
      <c r="S3" s="148" t="s">
        <v>99</v>
      </c>
      <c r="T3" s="53">
        <v>5200</v>
      </c>
      <c r="V3" s="136"/>
      <c r="W3" s="135"/>
      <c r="X3" s="136"/>
      <c r="Y3" s="60"/>
    </row>
    <row r="4" spans="1:25" s="53" customFormat="1" ht="22.2" customHeight="1">
      <c r="A4" s="118">
        <v>602</v>
      </c>
      <c r="B4" s="119">
        <v>99.8</v>
      </c>
      <c r="C4" s="120">
        <v>31</v>
      </c>
      <c r="D4" s="121"/>
      <c r="E4" s="119"/>
      <c r="F4" s="120"/>
      <c r="G4" s="118"/>
      <c r="H4" s="119"/>
      <c r="I4" s="122"/>
      <c r="J4" s="118"/>
      <c r="K4" s="119"/>
      <c r="L4" s="132"/>
      <c r="M4" s="225"/>
      <c r="N4" s="147" t="s">
        <v>80</v>
      </c>
      <c r="O4" s="136" t="s">
        <v>44</v>
      </c>
      <c r="P4" s="136" t="s">
        <v>45</v>
      </c>
      <c r="Q4" s="148" t="s">
        <v>95</v>
      </c>
      <c r="R4" s="150">
        <v>0.01</v>
      </c>
      <c r="S4" s="148" t="s">
        <v>98</v>
      </c>
      <c r="T4" s="53">
        <v>5200</v>
      </c>
      <c r="V4" s="61"/>
      <c r="W4" s="135"/>
      <c r="X4" s="136"/>
      <c r="Y4" s="60"/>
    </row>
    <row r="5" spans="1:25" s="53" customFormat="1" ht="22.2" customHeight="1">
      <c r="A5" s="118">
        <v>603</v>
      </c>
      <c r="B5" s="119">
        <v>0</v>
      </c>
      <c r="C5" s="120">
        <v>26</v>
      </c>
      <c r="D5" s="121"/>
      <c r="E5" s="119"/>
      <c r="F5" s="120"/>
      <c r="G5" s="118"/>
      <c r="H5" s="119"/>
      <c r="I5" s="122"/>
      <c r="J5" s="118"/>
      <c r="K5" s="119"/>
      <c r="L5" s="132"/>
      <c r="M5" s="225"/>
      <c r="N5" s="61" t="s">
        <v>81</v>
      </c>
      <c r="O5" s="147" t="s">
        <v>44</v>
      </c>
      <c r="P5" s="147" t="s">
        <v>86</v>
      </c>
      <c r="Q5" s="148" t="s">
        <v>92</v>
      </c>
      <c r="R5" s="150">
        <v>0.01</v>
      </c>
      <c r="S5" s="148" t="s">
        <v>96</v>
      </c>
      <c r="T5" s="53">
        <v>6650</v>
      </c>
      <c r="V5" s="136"/>
      <c r="W5" s="135"/>
      <c r="X5" s="136"/>
      <c r="Y5" s="60"/>
    </row>
    <row r="6" spans="1:25" s="53" customFormat="1" ht="22.2" customHeight="1">
      <c r="A6" s="118">
        <v>604</v>
      </c>
      <c r="B6" s="124">
        <v>0</v>
      </c>
      <c r="C6" s="125">
        <v>28</v>
      </c>
      <c r="D6" s="126"/>
      <c r="E6" s="124"/>
      <c r="F6" s="125"/>
      <c r="G6" s="126"/>
      <c r="H6" s="119"/>
      <c r="I6" s="123"/>
      <c r="J6" s="126"/>
      <c r="K6" s="124"/>
      <c r="L6" s="132"/>
      <c r="M6" s="225"/>
      <c r="N6" s="136" t="s">
        <v>82</v>
      </c>
      <c r="O6" s="147" t="s">
        <v>44</v>
      </c>
      <c r="P6" s="147" t="s">
        <v>85</v>
      </c>
      <c r="Q6" s="148" t="s">
        <v>92</v>
      </c>
      <c r="R6" s="150">
        <v>0.01</v>
      </c>
      <c r="S6" s="148" t="s">
        <v>97</v>
      </c>
      <c r="T6" s="53">
        <v>5150</v>
      </c>
      <c r="V6" s="136"/>
      <c r="W6" s="135"/>
      <c r="X6" s="136"/>
      <c r="Y6" s="60"/>
    </row>
    <row r="7" spans="1:25" s="53" customFormat="1" ht="22.2" customHeight="1">
      <c r="A7" s="118">
        <v>605</v>
      </c>
      <c r="B7" s="124">
        <v>4711</v>
      </c>
      <c r="C7" s="125">
        <v>30</v>
      </c>
      <c r="D7" s="126"/>
      <c r="E7" s="124"/>
      <c r="F7" s="125"/>
      <c r="G7" s="126"/>
      <c r="H7" s="124"/>
      <c r="I7" s="123"/>
      <c r="J7" s="126"/>
      <c r="K7" s="124"/>
      <c r="L7" s="132"/>
      <c r="M7" s="225"/>
      <c r="N7" s="136" t="s">
        <v>83</v>
      </c>
      <c r="O7" s="147" t="s">
        <v>44</v>
      </c>
      <c r="P7" s="136" t="s">
        <v>84</v>
      </c>
      <c r="Q7" s="148" t="s">
        <v>92</v>
      </c>
      <c r="R7" s="150">
        <v>0.01</v>
      </c>
      <c r="S7" s="148" t="s">
        <v>91</v>
      </c>
      <c r="T7" s="53">
        <v>12200</v>
      </c>
      <c r="V7" s="149"/>
      <c r="Y7" s="55"/>
    </row>
    <row r="8" spans="1:25" s="53" customFormat="1" ht="22.2" customHeight="1">
      <c r="A8" s="118">
        <v>606</v>
      </c>
      <c r="B8" s="124">
        <v>0</v>
      </c>
      <c r="C8" s="133">
        <v>27</v>
      </c>
      <c r="D8" s="126"/>
      <c r="E8" s="124"/>
      <c r="F8" s="125"/>
      <c r="G8" s="126"/>
      <c r="H8" s="124"/>
      <c r="I8" s="123"/>
      <c r="J8" s="126"/>
      <c r="K8" s="124"/>
      <c r="L8" s="132"/>
      <c r="M8" s="225"/>
      <c r="N8" s="136"/>
      <c r="O8" s="136"/>
      <c r="P8" s="136"/>
      <c r="Q8" s="60"/>
    </row>
    <row r="9" spans="1:25" s="53" customFormat="1" ht="22.2" customHeight="1">
      <c r="A9" s="118">
        <v>607</v>
      </c>
      <c r="B9" s="124">
        <v>0</v>
      </c>
      <c r="C9" s="133">
        <v>26</v>
      </c>
      <c r="D9" s="126"/>
      <c r="E9" s="124"/>
      <c r="F9" s="125"/>
      <c r="G9" s="126"/>
      <c r="H9" s="124"/>
      <c r="I9" s="123"/>
      <c r="J9" s="126"/>
      <c r="K9" s="124"/>
      <c r="L9" s="132"/>
      <c r="M9" s="225"/>
      <c r="N9" s="136"/>
      <c r="O9" s="136"/>
      <c r="P9" s="136"/>
      <c r="Q9" s="60"/>
    </row>
    <row r="10" spans="1:25" s="53" customFormat="1" ht="22.2" customHeight="1">
      <c r="A10" s="118">
        <v>608</v>
      </c>
      <c r="B10" s="124">
        <v>0</v>
      </c>
      <c r="C10" s="133">
        <v>26</v>
      </c>
      <c r="D10" s="126"/>
      <c r="E10" s="124"/>
      <c r="F10" s="125"/>
      <c r="G10" s="126"/>
      <c r="H10" s="124"/>
      <c r="I10" s="123"/>
      <c r="J10" s="126"/>
      <c r="K10" s="124"/>
      <c r="L10" s="132"/>
      <c r="M10" s="225"/>
      <c r="N10" s="136"/>
      <c r="O10" s="135"/>
      <c r="P10" s="136"/>
      <c r="Q10" s="60"/>
    </row>
    <row r="11" spans="1:25" s="53" customFormat="1" ht="22.2" customHeight="1">
      <c r="A11" s="118">
        <v>611</v>
      </c>
      <c r="B11" s="124">
        <v>2803</v>
      </c>
      <c r="C11" s="133">
        <v>25</v>
      </c>
      <c r="D11" s="126"/>
      <c r="E11" s="124"/>
      <c r="F11" s="125"/>
      <c r="G11" s="126"/>
      <c r="H11" s="124"/>
      <c r="I11" s="123"/>
      <c r="J11" s="126"/>
      <c r="K11" s="124"/>
      <c r="L11" s="132"/>
      <c r="M11" s="225"/>
      <c r="N11" s="136"/>
      <c r="O11" s="135"/>
      <c r="P11" s="136"/>
      <c r="Q11" s="60"/>
    </row>
    <row r="12" spans="1:25" s="53" customFormat="1" ht="22.2" customHeight="1">
      <c r="A12" s="118">
        <v>612</v>
      </c>
      <c r="B12" s="124">
        <v>671</v>
      </c>
      <c r="C12" s="125">
        <v>25</v>
      </c>
      <c r="D12" s="126"/>
      <c r="E12" s="124"/>
      <c r="F12" s="125"/>
      <c r="G12" s="126"/>
      <c r="H12" s="124"/>
      <c r="I12" s="123"/>
      <c r="J12" s="126"/>
      <c r="K12" s="124"/>
      <c r="L12" s="123"/>
      <c r="M12" s="225"/>
      <c r="N12" s="61"/>
      <c r="O12" s="135"/>
      <c r="P12" s="136"/>
      <c r="Q12" s="60"/>
    </row>
    <row r="13" spans="1:25" s="53" customFormat="1" ht="22.2" customHeight="1">
      <c r="A13" s="118">
        <v>613</v>
      </c>
      <c r="B13" s="124">
        <v>2719</v>
      </c>
      <c r="C13" s="125">
        <v>27</v>
      </c>
      <c r="D13" s="126"/>
      <c r="E13" s="124"/>
      <c r="F13" s="125"/>
      <c r="G13" s="126"/>
      <c r="H13" s="124"/>
      <c r="I13" s="123"/>
      <c r="J13" s="126"/>
      <c r="K13" s="124"/>
      <c r="L13" s="132"/>
      <c r="M13" s="225"/>
      <c r="N13" s="227"/>
      <c r="O13" s="228"/>
      <c r="P13" s="229"/>
      <c r="Q13" s="221"/>
      <c r="T13" s="222"/>
    </row>
    <row r="14" spans="1:25" s="53" customFormat="1" ht="22.2" customHeight="1">
      <c r="A14" s="118">
        <v>617</v>
      </c>
      <c r="B14" s="124">
        <v>4585</v>
      </c>
      <c r="C14" s="125">
        <v>25</v>
      </c>
      <c r="D14" s="126"/>
      <c r="E14" s="124"/>
      <c r="F14" s="125"/>
      <c r="G14" s="126"/>
      <c r="H14" s="124"/>
      <c r="I14" s="123"/>
      <c r="J14" s="126"/>
      <c r="K14" s="124"/>
      <c r="L14" s="132"/>
      <c r="M14" s="225"/>
      <c r="N14" s="227"/>
      <c r="O14" s="228"/>
      <c r="P14" s="229"/>
      <c r="Q14" s="221"/>
      <c r="T14" s="222"/>
    </row>
    <row r="15" spans="1:25" s="53" customFormat="1" ht="22.2" customHeight="1">
      <c r="A15" s="118">
        <v>618</v>
      </c>
      <c r="B15" s="124">
        <v>0</v>
      </c>
      <c r="C15" s="125">
        <v>25</v>
      </c>
      <c r="D15" s="127"/>
      <c r="E15" s="124"/>
      <c r="F15" s="125"/>
      <c r="G15" s="126"/>
      <c r="H15" s="124"/>
      <c r="I15" s="123"/>
      <c r="J15" s="126"/>
      <c r="K15" s="124"/>
      <c r="L15" s="132"/>
      <c r="M15" s="225"/>
      <c r="N15" s="227"/>
      <c r="O15" s="228"/>
      <c r="P15" s="229"/>
      <c r="Q15" s="221"/>
      <c r="R15" s="55"/>
      <c r="S15" s="55"/>
      <c r="T15" s="138"/>
    </row>
    <row r="16" spans="1:25" s="53" customFormat="1" ht="22.2" customHeight="1">
      <c r="A16" s="118"/>
      <c r="B16" s="124"/>
      <c r="C16" s="125"/>
      <c r="D16" s="126"/>
      <c r="E16" s="124"/>
      <c r="F16" s="125"/>
      <c r="G16" s="126"/>
      <c r="H16" s="124"/>
      <c r="I16" s="123"/>
      <c r="J16" s="126"/>
      <c r="K16" s="124"/>
      <c r="L16" s="132"/>
      <c r="M16" s="225"/>
      <c r="Q16" s="55"/>
      <c r="R16" s="55"/>
      <c r="S16" s="55"/>
      <c r="T16" s="55"/>
    </row>
    <row r="17" spans="1:20" s="53" customFormat="1" ht="22.2" customHeight="1">
      <c r="A17" s="118"/>
      <c r="B17" s="124"/>
      <c r="C17" s="125"/>
      <c r="D17" s="127"/>
      <c r="E17" s="124"/>
      <c r="F17" s="125"/>
      <c r="G17" s="126"/>
      <c r="H17" s="124"/>
      <c r="I17" s="132"/>
      <c r="J17" s="126"/>
      <c r="K17" s="124"/>
      <c r="L17" s="132"/>
      <c r="M17" s="225"/>
      <c r="Q17" s="55"/>
      <c r="R17" s="55"/>
      <c r="S17" s="55"/>
      <c r="T17" s="55"/>
    </row>
    <row r="18" spans="1:20" s="53" customFormat="1" ht="22.2" customHeight="1">
      <c r="A18" s="118"/>
      <c r="B18" s="124"/>
      <c r="C18" s="125"/>
      <c r="D18" s="126"/>
      <c r="E18" s="124"/>
      <c r="F18" s="125"/>
      <c r="G18" s="126"/>
      <c r="H18" s="124"/>
      <c r="I18" s="132"/>
      <c r="J18" s="126"/>
      <c r="K18" s="124"/>
      <c r="L18" s="132"/>
      <c r="M18" s="225"/>
      <c r="Q18" s="55"/>
      <c r="R18" s="55"/>
      <c r="S18" s="55"/>
      <c r="T18" s="55"/>
    </row>
    <row r="19" spans="1:20" s="53" customFormat="1" ht="22.2" customHeight="1">
      <c r="A19" s="121"/>
      <c r="B19" s="124"/>
      <c r="C19" s="125"/>
      <c r="D19" s="126"/>
      <c r="E19" s="124"/>
      <c r="F19" s="125"/>
      <c r="G19" s="126"/>
      <c r="H19" s="124"/>
      <c r="I19" s="132"/>
      <c r="J19" s="126"/>
      <c r="K19" s="124"/>
      <c r="L19" s="132"/>
      <c r="M19" s="225"/>
      <c r="Q19" s="55"/>
      <c r="R19" s="55"/>
      <c r="S19" s="55"/>
      <c r="T19" s="55"/>
    </row>
    <row r="20" spans="1:20" s="53" customFormat="1" ht="22.2" customHeight="1">
      <c r="A20" s="121"/>
      <c r="B20" s="124"/>
      <c r="C20" s="125"/>
      <c r="D20" s="127"/>
      <c r="E20" s="124"/>
      <c r="F20" s="125"/>
      <c r="G20" s="126"/>
      <c r="H20" s="124"/>
      <c r="I20" s="132"/>
      <c r="J20" s="126"/>
      <c r="K20" s="124"/>
      <c r="L20" s="132"/>
      <c r="M20" s="225"/>
      <c r="Q20" s="55"/>
      <c r="R20" s="55"/>
      <c r="S20" s="55"/>
      <c r="T20" s="55"/>
    </row>
    <row r="21" spans="1:20" s="53" customFormat="1" ht="22.2" customHeight="1">
      <c r="A21" s="121"/>
      <c r="B21" s="124"/>
      <c r="C21" s="125"/>
      <c r="D21" s="126"/>
      <c r="E21" s="124"/>
      <c r="F21" s="125"/>
      <c r="G21" s="126"/>
      <c r="H21" s="124"/>
      <c r="I21" s="132"/>
      <c r="J21" s="126"/>
      <c r="K21" s="124"/>
      <c r="L21" s="132"/>
      <c r="M21" s="225"/>
      <c r="Q21" s="55"/>
      <c r="R21" s="55"/>
      <c r="S21" s="55"/>
      <c r="T21" s="55"/>
    </row>
    <row r="22" spans="1:20" s="53" customFormat="1" ht="22.2" customHeight="1" thickBot="1">
      <c r="A22" s="128"/>
      <c r="B22" s="129"/>
      <c r="C22" s="129"/>
      <c r="D22" s="130"/>
      <c r="E22" s="129"/>
      <c r="F22" s="131"/>
      <c r="G22" s="130"/>
      <c r="H22" s="129"/>
      <c r="I22" s="131"/>
      <c r="J22" s="130"/>
      <c r="K22" s="129"/>
      <c r="L22" s="131"/>
      <c r="M22" s="226"/>
      <c r="Q22" s="55"/>
      <c r="R22" s="55"/>
      <c r="S22" s="55"/>
      <c r="T22" s="55"/>
    </row>
    <row r="23" spans="1:20" ht="36.6" customHeight="1" thickTop="1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</row>
    <row r="24" spans="1:20" ht="21" customHeight="1" thickBot="1">
      <c r="A24" s="223"/>
      <c r="B24" s="223"/>
      <c r="C24" s="110"/>
      <c r="D24" s="110"/>
      <c r="E24" s="110"/>
      <c r="F24" s="110"/>
      <c r="G24" s="110"/>
      <c r="H24" s="110"/>
      <c r="I24" s="112"/>
      <c r="J24" s="110"/>
      <c r="K24" s="110"/>
      <c r="L24" s="112"/>
      <c r="M24" s="112" t="s">
        <v>52</v>
      </c>
    </row>
    <row r="25" spans="1:20" ht="20.100000000000001" customHeight="1" thickTop="1" thickBot="1">
      <c r="A25" s="113" t="s">
        <v>22</v>
      </c>
      <c r="B25" s="114" t="s">
        <v>46</v>
      </c>
      <c r="C25" s="115" t="s">
        <v>24</v>
      </c>
      <c r="D25" s="113" t="s">
        <v>22</v>
      </c>
      <c r="E25" s="114" t="s">
        <v>46</v>
      </c>
      <c r="F25" s="116" t="s">
        <v>24</v>
      </c>
      <c r="G25" s="113" t="s">
        <v>22</v>
      </c>
      <c r="H25" s="114" t="s">
        <v>23</v>
      </c>
      <c r="I25" s="116" t="s">
        <v>24</v>
      </c>
      <c r="J25" s="113" t="s">
        <v>22</v>
      </c>
      <c r="K25" s="114" t="s">
        <v>23</v>
      </c>
      <c r="L25" s="116" t="s">
        <v>24</v>
      </c>
      <c r="M25" s="117" t="s">
        <v>51</v>
      </c>
    </row>
    <row r="26" spans="1:20" ht="21.75" customHeight="1" thickTop="1">
      <c r="A26" s="118">
        <v>601</v>
      </c>
      <c r="B26" s="119">
        <v>5988</v>
      </c>
      <c r="C26" s="120">
        <v>23</v>
      </c>
      <c r="D26" s="121"/>
      <c r="E26" s="119"/>
      <c r="F26" s="120"/>
      <c r="G26" s="118"/>
      <c r="H26" s="119"/>
      <c r="I26" s="122"/>
      <c r="J26" s="118"/>
      <c r="K26" s="119"/>
      <c r="L26" s="123"/>
      <c r="M26" s="224"/>
    </row>
    <row r="27" spans="1:20" ht="21.75" customHeight="1">
      <c r="A27" s="118">
        <v>602</v>
      </c>
      <c r="B27" s="119">
        <v>4021</v>
      </c>
      <c r="C27" s="120">
        <v>20</v>
      </c>
      <c r="D27" s="121"/>
      <c r="E27" s="119"/>
      <c r="F27" s="120"/>
      <c r="G27" s="118"/>
      <c r="H27" s="119"/>
      <c r="I27" s="122"/>
      <c r="J27" s="118"/>
      <c r="K27" s="119"/>
      <c r="L27" s="132"/>
      <c r="M27" s="225"/>
    </row>
    <row r="28" spans="1:20" ht="21.75" customHeight="1">
      <c r="A28" s="118">
        <v>603</v>
      </c>
      <c r="B28" s="119">
        <v>5689</v>
      </c>
      <c r="C28" s="120">
        <v>19</v>
      </c>
      <c r="D28" s="121"/>
      <c r="E28" s="119"/>
      <c r="F28" s="120"/>
      <c r="G28" s="118"/>
      <c r="H28" s="119"/>
      <c r="I28" s="122"/>
      <c r="J28" s="118"/>
      <c r="K28" s="119"/>
      <c r="L28" s="132"/>
      <c r="M28" s="225"/>
    </row>
    <row r="29" spans="1:20" ht="21.75" customHeight="1">
      <c r="A29" s="118">
        <v>604</v>
      </c>
      <c r="B29" s="124">
        <v>5820</v>
      </c>
      <c r="C29" s="125">
        <v>22</v>
      </c>
      <c r="D29" s="126"/>
      <c r="E29" s="124"/>
      <c r="F29" s="125"/>
      <c r="G29" s="126"/>
      <c r="H29" s="119"/>
      <c r="I29" s="123"/>
      <c r="J29" s="126"/>
      <c r="K29" s="124"/>
      <c r="L29" s="132"/>
      <c r="M29" s="225"/>
    </row>
    <row r="30" spans="1:20" ht="21.75" customHeight="1">
      <c r="A30" s="118">
        <v>605</v>
      </c>
      <c r="B30" s="124">
        <v>5628</v>
      </c>
      <c r="C30" s="125">
        <v>20</v>
      </c>
      <c r="D30" s="126"/>
      <c r="E30" s="124"/>
      <c r="F30" s="125"/>
      <c r="G30" s="126"/>
      <c r="H30" s="124"/>
      <c r="I30" s="123"/>
      <c r="J30" s="126"/>
      <c r="K30" s="124"/>
      <c r="L30" s="132"/>
      <c r="M30" s="225"/>
    </row>
    <row r="31" spans="1:20" ht="21.75" customHeight="1">
      <c r="A31" s="118">
        <v>606</v>
      </c>
      <c r="B31" s="124">
        <v>0.06</v>
      </c>
      <c r="C31" s="133">
        <v>25</v>
      </c>
      <c r="D31" s="126"/>
      <c r="E31" s="124"/>
      <c r="F31" s="125"/>
      <c r="G31" s="126"/>
      <c r="H31" s="124"/>
      <c r="I31" s="123"/>
      <c r="J31" s="126"/>
      <c r="K31" s="124"/>
      <c r="L31" s="132"/>
      <c r="M31" s="225"/>
    </row>
    <row r="32" spans="1:20" ht="21.75" customHeight="1">
      <c r="A32" s="118">
        <v>607</v>
      </c>
      <c r="B32" s="124">
        <v>6.67</v>
      </c>
      <c r="C32" s="133">
        <v>25</v>
      </c>
      <c r="D32" s="126"/>
      <c r="E32" s="124"/>
      <c r="F32" s="125"/>
      <c r="G32" s="126"/>
      <c r="H32" s="124"/>
      <c r="I32" s="123"/>
      <c r="J32" s="126"/>
      <c r="K32" s="124"/>
      <c r="L32" s="132"/>
      <c r="M32" s="225"/>
    </row>
    <row r="33" spans="1:13" ht="21.75" customHeight="1">
      <c r="A33" s="118">
        <v>608</v>
      </c>
      <c r="B33" s="124">
        <v>7.32</v>
      </c>
      <c r="C33" s="133">
        <v>25</v>
      </c>
      <c r="D33" s="126"/>
      <c r="E33" s="124"/>
      <c r="F33" s="125"/>
      <c r="G33" s="126"/>
      <c r="H33" s="124"/>
      <c r="I33" s="123"/>
      <c r="J33" s="126"/>
      <c r="K33" s="124"/>
      <c r="L33" s="132"/>
      <c r="M33" s="225"/>
    </row>
    <row r="34" spans="1:13" ht="21.75" customHeight="1">
      <c r="A34" s="118">
        <v>611</v>
      </c>
      <c r="B34" s="124">
        <v>77</v>
      </c>
      <c r="C34" s="133">
        <v>25</v>
      </c>
      <c r="D34" s="126"/>
      <c r="E34" s="124"/>
      <c r="F34" s="125"/>
      <c r="G34" s="126"/>
      <c r="H34" s="124"/>
      <c r="I34" s="123"/>
      <c r="J34" s="126"/>
      <c r="K34" s="124"/>
      <c r="L34" s="132"/>
      <c r="M34" s="225"/>
    </row>
    <row r="35" spans="1:13" ht="21.75" customHeight="1">
      <c r="A35" s="118">
        <v>612</v>
      </c>
      <c r="B35" s="124">
        <v>245</v>
      </c>
      <c r="C35" s="125">
        <v>23</v>
      </c>
      <c r="D35" s="126"/>
      <c r="E35" s="124"/>
      <c r="F35" s="125"/>
      <c r="G35" s="126"/>
      <c r="H35" s="124"/>
      <c r="I35" s="123"/>
      <c r="J35" s="126"/>
      <c r="K35" s="124"/>
      <c r="L35" s="123"/>
      <c r="M35" s="225"/>
    </row>
    <row r="36" spans="1:13" ht="21.75" customHeight="1">
      <c r="A36" s="118">
        <v>613</v>
      </c>
      <c r="B36" s="124">
        <v>2618</v>
      </c>
      <c r="C36" s="125">
        <v>22</v>
      </c>
      <c r="D36" s="126"/>
      <c r="E36" s="124"/>
      <c r="F36" s="125"/>
      <c r="G36" s="126"/>
      <c r="H36" s="124"/>
      <c r="I36" s="123"/>
      <c r="J36" s="126"/>
      <c r="K36" s="124"/>
      <c r="L36" s="132"/>
      <c r="M36" s="225"/>
    </row>
    <row r="37" spans="1:13" ht="21.75" customHeight="1">
      <c r="A37" s="118">
        <v>614</v>
      </c>
      <c r="B37" s="124">
        <v>4739</v>
      </c>
      <c r="C37" s="125">
        <v>26</v>
      </c>
      <c r="D37" s="126"/>
      <c r="E37" s="124"/>
      <c r="F37" s="125"/>
      <c r="G37" s="126"/>
      <c r="H37" s="124"/>
      <c r="I37" s="123"/>
      <c r="J37" s="126"/>
      <c r="K37" s="124"/>
      <c r="L37" s="132"/>
      <c r="M37" s="225"/>
    </row>
    <row r="38" spans="1:13" ht="21.75" customHeight="1">
      <c r="A38" s="118">
        <v>615</v>
      </c>
      <c r="B38" s="124">
        <v>7611</v>
      </c>
      <c r="C38" s="125">
        <v>24</v>
      </c>
      <c r="D38" s="127"/>
      <c r="E38" s="124"/>
      <c r="F38" s="125"/>
      <c r="G38" s="126"/>
      <c r="H38" s="124"/>
      <c r="I38" s="123"/>
      <c r="J38" s="126"/>
      <c r="K38" s="124"/>
      <c r="L38" s="132"/>
      <c r="M38" s="225"/>
    </row>
    <row r="39" spans="1:13" ht="21.75" customHeight="1">
      <c r="A39" s="118">
        <v>616</v>
      </c>
      <c r="B39" s="124">
        <v>0</v>
      </c>
      <c r="C39" s="125">
        <v>28</v>
      </c>
      <c r="D39" s="126"/>
      <c r="E39" s="124"/>
      <c r="F39" s="125"/>
      <c r="G39" s="126"/>
      <c r="H39" s="124"/>
      <c r="I39" s="123"/>
      <c r="J39" s="126"/>
      <c r="K39" s="124"/>
      <c r="L39" s="132"/>
      <c r="M39" s="225"/>
    </row>
    <row r="40" spans="1:13" ht="21.75" customHeight="1">
      <c r="A40" s="118">
        <v>617</v>
      </c>
      <c r="B40" s="124">
        <v>2325</v>
      </c>
      <c r="C40" s="125">
        <v>28</v>
      </c>
      <c r="D40" s="127"/>
      <c r="E40" s="124"/>
      <c r="F40" s="125"/>
      <c r="G40" s="126"/>
      <c r="H40" s="124"/>
      <c r="I40" s="132"/>
      <c r="J40" s="126"/>
      <c r="K40" s="124"/>
      <c r="L40" s="132"/>
      <c r="M40" s="225"/>
    </row>
    <row r="41" spans="1:13" ht="21.75" customHeight="1">
      <c r="A41" s="118">
        <v>618</v>
      </c>
      <c r="B41" s="124">
        <v>5789</v>
      </c>
      <c r="C41" s="125">
        <v>19</v>
      </c>
      <c r="D41" s="126"/>
      <c r="E41" s="124"/>
      <c r="F41" s="125"/>
      <c r="G41" s="126"/>
      <c r="H41" s="124"/>
      <c r="I41" s="132"/>
      <c r="J41" s="126"/>
      <c r="K41" s="124"/>
      <c r="L41" s="132"/>
      <c r="M41" s="225"/>
    </row>
    <row r="42" spans="1:13" ht="21.75" customHeight="1">
      <c r="A42" s="121"/>
      <c r="B42" s="124"/>
      <c r="C42" s="125"/>
      <c r="D42" s="126"/>
      <c r="E42" s="124"/>
      <c r="F42" s="125"/>
      <c r="G42" s="126"/>
      <c r="H42" s="124"/>
      <c r="I42" s="132"/>
      <c r="J42" s="126"/>
      <c r="K42" s="124"/>
      <c r="L42" s="132"/>
      <c r="M42" s="225"/>
    </row>
    <row r="43" spans="1:13" ht="21.75" customHeight="1">
      <c r="A43" s="121"/>
      <c r="B43" s="124"/>
      <c r="C43" s="125"/>
      <c r="D43" s="127"/>
      <c r="E43" s="124"/>
      <c r="F43" s="125"/>
      <c r="G43" s="126"/>
      <c r="H43" s="124"/>
      <c r="I43" s="132"/>
      <c r="J43" s="126"/>
      <c r="K43" s="124"/>
      <c r="L43" s="132"/>
      <c r="M43" s="225"/>
    </row>
    <row r="44" spans="1:13" ht="21.75" customHeight="1">
      <c r="A44" s="121"/>
      <c r="B44" s="124"/>
      <c r="C44" s="125"/>
      <c r="D44" s="126"/>
      <c r="E44" s="124"/>
      <c r="F44" s="125"/>
      <c r="G44" s="126"/>
      <c r="H44" s="124"/>
      <c r="I44" s="132"/>
      <c r="J44" s="126"/>
      <c r="K44" s="124"/>
      <c r="L44" s="132"/>
      <c r="M44" s="225"/>
    </row>
    <row r="45" spans="1:13" ht="21.75" customHeight="1" thickBot="1">
      <c r="A45" s="128"/>
      <c r="B45" s="129"/>
      <c r="C45" s="129"/>
      <c r="D45" s="130"/>
      <c r="E45" s="129"/>
      <c r="F45" s="131"/>
      <c r="G45" s="130"/>
      <c r="H45" s="129"/>
      <c r="I45" s="131"/>
      <c r="J45" s="130"/>
      <c r="K45" s="129"/>
      <c r="L45" s="131"/>
      <c r="M45" s="226"/>
    </row>
    <row r="46" spans="1:13" ht="16.2" thickTop="1"/>
    <row r="100" spans="1:1" ht="25.5" customHeight="1">
      <c r="A100" s="139" t="s">
        <v>66</v>
      </c>
    </row>
  </sheetData>
  <sheetProtection selectLockedCells="1"/>
  <mergeCells count="9">
    <mergeCell ref="Q13:Q15"/>
    <mergeCell ref="T13:T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0">
    <dataValidation type="custom" errorStyle="warning" allowBlank="1" showInputMessage="1" showErrorMessage="1" error="***你在睡喔,醒醒好嗎" sqref="E8 B6:B7 B4 B38 E31 B29:B30 B27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4:B22 H3:H16 E26:E27 B39:B45 H26:H39 E19:E22 E42:E45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E32:E33 E7 K13 E9:E10 E13 K3:K7 K9:K10 B37 E30 E36 K26:K30 K32:K33 K36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34:E35 E11:E12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6"/>
  <sheetViews>
    <sheetView workbookViewId="0">
      <selection activeCell="G16" sqref="G16"/>
    </sheetView>
  </sheetViews>
  <sheetFormatPr defaultRowHeight="16.2"/>
  <cols>
    <col min="1" max="1" width="21.6640625" customWidth="1"/>
    <col min="2" max="2" width="10.44140625" bestFit="1" customWidth="1"/>
    <col min="3" max="3" width="11.77734375" bestFit="1" customWidth="1"/>
    <col min="4" max="4" width="10.44140625" bestFit="1" customWidth="1"/>
    <col min="5" max="5" width="9.77734375" bestFit="1" customWidth="1"/>
    <col min="6" max="6" width="12" customWidth="1"/>
    <col min="7" max="7" width="57" customWidth="1"/>
  </cols>
  <sheetData>
    <row r="1" spans="1:7" ht="31.8" thickBot="1">
      <c r="A1" s="152" t="s">
        <v>100</v>
      </c>
      <c r="B1" s="152" t="s">
        <v>101</v>
      </c>
      <c r="C1" s="152" t="s">
        <v>102</v>
      </c>
      <c r="D1" s="152" t="s">
        <v>103</v>
      </c>
      <c r="E1" s="152" t="s">
        <v>104</v>
      </c>
      <c r="F1" s="152" t="s">
        <v>105</v>
      </c>
      <c r="G1" s="152" t="s">
        <v>106</v>
      </c>
    </row>
    <row r="2" spans="1:7" ht="16.8" thickBot="1">
      <c r="A2" s="152" t="s">
        <v>107</v>
      </c>
      <c r="B2" s="153">
        <v>5200</v>
      </c>
      <c r="C2" s="154">
        <v>4.4800000000000004</v>
      </c>
      <c r="D2" s="153">
        <v>1790</v>
      </c>
      <c r="E2" s="154">
        <v>52</v>
      </c>
      <c r="F2" s="154">
        <v>232.96</v>
      </c>
      <c r="G2" s="156" t="s">
        <v>112</v>
      </c>
    </row>
    <row r="3" spans="1:7" ht="16.8" thickBot="1">
      <c r="A3" s="152" t="s">
        <v>108</v>
      </c>
      <c r="B3" s="153">
        <v>5200</v>
      </c>
      <c r="C3" s="154">
        <v>18.321999999999999</v>
      </c>
      <c r="D3" s="153">
        <v>8640</v>
      </c>
      <c r="E3" s="154">
        <v>52</v>
      </c>
      <c r="F3" s="154">
        <v>952.74</v>
      </c>
      <c r="G3" s="156" t="s">
        <v>113</v>
      </c>
    </row>
    <row r="4" spans="1:7" ht="16.8" thickBot="1">
      <c r="A4" s="152" t="s">
        <v>109</v>
      </c>
      <c r="B4" s="153">
        <v>6650</v>
      </c>
      <c r="C4" s="154">
        <v>26.42</v>
      </c>
      <c r="D4" s="154">
        <v>0</v>
      </c>
      <c r="E4" s="154">
        <v>66.5</v>
      </c>
      <c r="F4" s="155">
        <v>1756.93</v>
      </c>
      <c r="G4" s="156" t="s">
        <v>114</v>
      </c>
    </row>
    <row r="5" spans="1:7" ht="16.8" thickBot="1">
      <c r="A5" s="152" t="s">
        <v>110</v>
      </c>
      <c r="B5" s="153">
        <v>5150</v>
      </c>
      <c r="C5" s="154">
        <v>18.32</v>
      </c>
      <c r="D5" s="154">
        <v>0</v>
      </c>
      <c r="E5" s="154">
        <v>51.5</v>
      </c>
      <c r="F5" s="154">
        <v>943.48</v>
      </c>
      <c r="G5" s="156" t="s">
        <v>115</v>
      </c>
    </row>
    <row r="6" spans="1:7" ht="16.8" thickBot="1">
      <c r="A6" s="152" t="s">
        <v>111</v>
      </c>
      <c r="B6" s="153">
        <v>12400</v>
      </c>
      <c r="C6" s="154">
        <v>81.709999999999994</v>
      </c>
      <c r="D6" s="154">
        <v>0</v>
      </c>
      <c r="E6" s="154">
        <v>122</v>
      </c>
      <c r="F6" s="155">
        <v>9968.6200000000008</v>
      </c>
      <c r="G6" s="156" t="s">
        <v>116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20" activePane="bottomLeft" state="frozen"/>
      <selection activeCell="K12" sqref="K12"/>
      <selection pane="bottomLeft" activeCell="B26" sqref="B26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3" t="s">
        <v>7</v>
      </c>
      <c r="G1" s="2" t="s">
        <v>8</v>
      </c>
      <c r="H1" s="2" t="s">
        <v>9</v>
      </c>
      <c r="I1" s="2" t="s">
        <v>10</v>
      </c>
      <c r="J1" s="4" t="s">
        <v>11</v>
      </c>
      <c r="K1" s="2" t="s">
        <v>12</v>
      </c>
      <c r="L1" s="2" t="s">
        <v>13</v>
      </c>
      <c r="M1" s="2" t="s">
        <v>14</v>
      </c>
      <c r="N1" s="2" t="s">
        <v>15</v>
      </c>
      <c r="O1" s="4" t="s">
        <v>16</v>
      </c>
      <c r="P1" s="3" t="s">
        <v>17</v>
      </c>
      <c r="Q1" s="2" t="s">
        <v>35</v>
      </c>
      <c r="R1" s="2" t="s">
        <v>18</v>
      </c>
      <c r="S1" s="2" t="s">
        <v>19</v>
      </c>
      <c r="T1" s="2" t="s">
        <v>20</v>
      </c>
      <c r="U1" s="5" t="s">
        <v>21</v>
      </c>
      <c r="V1" s="5" t="s">
        <v>25</v>
      </c>
      <c r="W1" s="5" t="s">
        <v>29</v>
      </c>
      <c r="X1" s="5" t="s">
        <v>37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9">
    <pageSetUpPr fitToPage="1"/>
  </sheetPr>
  <dimension ref="A1:BM223"/>
  <sheetViews>
    <sheetView view="pageBreakPreview" zoomScale="110" zoomScaleNormal="100" zoomScaleSheetLayoutView="110" workbookViewId="0">
      <selection activeCell="D7" sqref="D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10.21875" style="63" bestFit="1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65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65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65" ht="21" customHeight="1" ph="1">
      <c r="B3" s="299" ph="1">
        <v>46084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65" s="68" customFormat="1" ph="1">
      <c r="A4" s="64" ph="1"/>
      <c r="B4" s="278" t="s" ph="1">
        <v>28</v>
      </c>
      <c r="C4" s="66" t="s" ph="1">
        <v>53</v>
      </c>
      <c r="D4" s="67" t="s" ph="1">
        <v>32</v>
      </c>
      <c r="E4" s="67" t="s" ph="1">
        <v>33</v>
      </c>
      <c r="F4" s="67" t="s" ph="1">
        <v>30</v>
      </c>
      <c r="G4" s="67" t="s" ph="1">
        <v>68</v>
      </c>
      <c r="H4" s="67" t="s" ph="1">
        <v>69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  <c r="BB4" s="64" ph="1"/>
      <c r="BC4" s="64" ph="1"/>
      <c r="BD4" s="64" ph="1"/>
      <c r="BE4" s="64" ph="1"/>
      <c r="BF4" s="64" ph="1"/>
      <c r="BG4" s="64" ph="1"/>
      <c r="BH4" s="64" ph="1"/>
      <c r="BI4" s="64" ph="1"/>
      <c r="BJ4" s="64" ph="1"/>
      <c r="BK4" s="64" ph="1"/>
      <c r="BL4" s="64" ph="1"/>
      <c r="BM4" s="64" ph="1"/>
    </row>
    <row r="5" spans="1:65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87</v>
      </c>
      <c r="G5" s="141" t="s" ph="1">
        <v>87</v>
      </c>
      <c r="H5" s="141" t="s" ph="1">
        <v>87</v>
      </c>
      <c r="I5" s="141" t="s" ph="1">
        <v>87</v>
      </c>
      <c r="J5" s="141" t="s" ph="1">
        <v>87</v>
      </c>
      <c r="K5" s="141" t="s" ph="1">
        <v>87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  <c r="BB5" s="64" ph="1"/>
      <c r="BC5" s="64" ph="1"/>
      <c r="BD5" s="64" ph="1"/>
      <c r="BE5" s="64" ph="1"/>
      <c r="BF5" s="64" ph="1"/>
      <c r="BG5" s="64" ph="1"/>
      <c r="BH5" s="64" ph="1"/>
      <c r="BI5" s="64" ph="1"/>
      <c r="BJ5" s="64" ph="1"/>
      <c r="BK5" s="64" ph="1"/>
      <c r="BL5" s="64" ph="1"/>
      <c r="BM5" s="64" ph="1"/>
    </row>
    <row r="6" spans="1:65" ph="1">
      <c r="B6" s="296" ph="1">
        <v>0.33333333333333331</v>
      </c>
      <c r="C6" s="171" t="s" ph="1">
        <v>54</v>
      </c>
      <c r="D6" s="172">
        <v>0.01</v>
      </c>
      <c r="E6" s="172">
        <v>0</v>
      </c>
      <c r="F6" s="172">
        <v>0</v>
      </c>
      <c r="G6" s="172">
        <v>0</v>
      </c>
      <c r="H6" s="70">
        <v>567</v>
      </c>
      <c r="I6" s="70">
        <v>500</v>
      </c>
      <c r="J6" s="70">
        <v>6.59</v>
      </c>
      <c r="K6" s="70">
        <v>7.45</v>
      </c>
      <c r="L6" s="70">
        <v>6750</v>
      </c>
      <c r="M6" s="70">
        <v>247</v>
      </c>
      <c r="N6" s="70">
        <v>2675</v>
      </c>
      <c r="O6" s="70">
        <v>12400</v>
      </c>
      <c r="P6" s="70">
        <v>5783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65" s="71" customFormat="1" ht="22.2" ph="1">
      <c r="B7" s="296" ph="1"/>
      <c r="C7" s="67" t="s" ph="1">
        <v>55</v>
      </c>
      <c r="D7" s="72" ph="1">
        <f>((D6*5200)*4.48+1790)*LOOKUP(D8,[1]密度!$A$2:$A$50,[1]密度!$B$2:$B$50)</f>
        <v>1577.099616</v>
      </c>
      <c r="E7" s="72" ph="1">
        <f>((E6*5200)*4.48+1790)*LOOKUP(E8,[1]密度!$A$2:$A$50,[1]密度!$B$2:$B$50)</f>
        <v>1403.539</v>
      </c>
      <c r="F7" s="72" ph="1">
        <f>((F6*5200)*4.48+1790)*LOOKUP(F8,[1]密度!$A$2:$A$50,[1]密度!$B$2:$B$50)</f>
        <v>1403.539</v>
      </c>
      <c r="G7" s="72" ph="1">
        <f>((G6*5200)*4.48+1790)*LOOKUP(G8,[1]密度!$A$2:$A$50,[1]密度!$B$2:$B$50)</f>
        <v>1403.539</v>
      </c>
      <c r="H7" s="72" ph="1">
        <f>IF(H6&lt;=0, 0, IF(H6&lt;=1100, 0.000011424*H6^2-0.000000004189*H6^3, 11.151+0.01520557*(H6-1100))) * LOOKUP(H8, 密度!$A$2:$A$50, 密度!$B$2:$B$50)*1000</f>
        <v>2267.9355748452222</v>
      </c>
      <c r="I7" s="72" ph="1">
        <f>IF(I6&lt;=0, 0, IF(I6&lt;=1100, 0.000011424*I6^2-0.000000004189*I6^3, 11.151+0.01520557*(I6-1100))) * LOOKUP(I8, 密度!$A$2:$A$50, 密度!$B$2:$B$50)*1000</f>
        <v>1818.3195499999997</v>
      </c>
      <c r="J7" s="72" ph="1">
        <f>IF(J6&lt;=0, 0, IF(J6&lt;=1100, 0.000011424*J6^2-0.000000004189*J6^3, 11.151+0.01520557*(J6-1100))) * LOOKUP(J8, 密度!$A$2:$A$50, 密度!$B$2:$B$50)*1000</f>
        <v>0.38584256294609121</v>
      </c>
      <c r="K7" s="72" ph="1">
        <f>IF(K6&lt;=0, 0, IF(K6&lt;=1100, 0.000011424*K6^2-0.000000004189*K6^3, 11.151+0.01520557*(K6-1100))) * LOOKUP(K8, 密度!$A$2:$A$50, 密度!$B$2:$B$50)*1000</f>
        <v>0.49296324808572051</v>
      </c>
      <c r="L7" s="72" ph="1">
        <f>L6*26.42*LOOKUP(L8,密度!$A$2:$A$50,密度!$B$2:$B$50)</f>
        <v>139029.96599999999</v>
      </c>
      <c r="M7" s="72" ph="1">
        <f>M6*26.42*1</f>
        <v>6525.7400000000007</v>
      </c>
      <c r="N7" s="72" ph="1">
        <f>N6*18.32*LOOKUP(N8,密度!$A$2:$A$50,密度!$B$2:$B$50)</f>
        <v>38381.499199999998</v>
      </c>
      <c r="O7" s="72" ph="1">
        <f>O6*81.71*LOOKUP(O8,密度!$A$2:$A$50,密度!$B$2:$B$50)</f>
        <v>789893.83839999989</v>
      </c>
      <c r="P7" s="72" ph="1">
        <f>P6*81.71*LOOKUP(P8,密度!$A$2:$A$50,密度!$B$2:$B$50)</f>
        <v>368383.55382799992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65" ph="1">
      <c r="B8" s="296" ph="1"/>
      <c r="C8" s="67" t="s" ph="1">
        <v>56</v>
      </c>
      <c r="D8" s="73">
        <v>25</v>
      </c>
      <c r="E8" s="73">
        <v>20</v>
      </c>
      <c r="F8" s="73">
        <v>20</v>
      </c>
      <c r="G8" s="73">
        <v>20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19</v>
      </c>
      <c r="N8" s="73">
        <v>21</v>
      </c>
      <c r="O8" s="73">
        <v>25</v>
      </c>
      <c r="P8" s="73">
        <v>25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65" ht="26.4" ph="1">
      <c r="B9" s="296" ph="1">
        <v>0.66666666666666663</v>
      </c>
      <c r="C9" s="171" t="s" ph="1">
        <v>57</v>
      </c>
      <c r="D9" s="172">
        <v>0</v>
      </c>
      <c r="E9" s="172">
        <v>0</v>
      </c>
      <c r="F9" s="172">
        <v>0</v>
      </c>
      <c r="G9" s="172">
        <v>0</v>
      </c>
      <c r="H9" s="70">
        <v>1153</v>
      </c>
      <c r="I9" s="70">
        <v>0.08</v>
      </c>
      <c r="J9" s="70">
        <v>6.59</v>
      </c>
      <c r="K9" s="70">
        <v>55.61</v>
      </c>
      <c r="L9" s="70">
        <v>69.69</v>
      </c>
      <c r="M9" s="70">
        <v>792</v>
      </c>
      <c r="N9" s="70">
        <v>4331</v>
      </c>
      <c r="O9" s="70">
        <v>12200</v>
      </c>
      <c r="P9" s="70">
        <v>6479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65" s="71" customFormat="1" ht="22.2" ph="1">
      <c r="B10" s="296" ph="1"/>
      <c r="C10" s="171" t="s" ph="1">
        <v>55</v>
      </c>
      <c r="D10" s="72" ph="1">
        <f>((D9*5200)*4.48+1790)*LOOKUP(D11,[1]密度!$A$2:$A$50,[1]密度!$B$2:$B$50)</f>
        <v>1403.539</v>
      </c>
      <c r="E10" s="72" ph="1">
        <f>((E9*5200)*4.48+1790)*LOOKUP(E11,[1]密度!$A$2:$A$50,[1]密度!$B$2:$B$50)</f>
        <v>1403.539</v>
      </c>
      <c r="F10" s="72" ph="1">
        <f>((F9*5200)*4.48+1790)*LOOKUP(F11,[1]密度!$A$2:$A$50,[1]密度!$B$2:$B$50)</f>
        <v>1403.539</v>
      </c>
      <c r="G10" s="72" ph="1">
        <f>((G9*5200)*4.48+1790)*LOOKUP(G11,[1]密度!$A$2:$A$50,[1]密度!$B$2:$B$50)</f>
        <v>1403.539</v>
      </c>
      <c r="H10" s="72" ph="1">
        <f>IF(H9&lt;=0, 0, IF(H9&lt;=1100, 0.000011424*H9^2-0.000000004189*H9^3, 11.151+0.01520557*(H9-1100))) * LOOKUP(H11, 密度!$A$2:$A$50, 密度!$B$2:$B$50)*1000</f>
        <v>9412.4679093119994</v>
      </c>
      <c r="I10" s="72" ph="1">
        <f>IF(I9&lt;=0, 0, IF(I9&lt;=1100, 0.000011424*I9^2-0.000000004189*I9^3, 11.151+0.01520557*(I9-1100))) * LOOKUP(I11, 密度!$A$2:$A$50, 密度!$B$2:$B$50)*1000</f>
        <v>5.6997690498867187E-5</v>
      </c>
      <c r="J10" s="72" ph="1">
        <f>IF(J9&lt;=0, 0, IF(J9&lt;=1100, 0.000011424*J9^2-0.000000004189*J9^3, 11.151+0.01520557*(J9-1100))) * LOOKUP(J11, 密度!$A$2:$A$50, 密度!$B$2:$B$50)*1000</f>
        <v>0.38584256294609121</v>
      </c>
      <c r="K10" s="72" ph="1">
        <f>IF(K9&lt;=0, 0, IF(K9&lt;=1100, 0.000011424*K9^2-0.000000004189*K9^3, 11.151+0.01520557*(K9-1100))) * LOOKUP(K11, 密度!$A$2:$A$50, 密度!$B$2:$B$50)*1000</f>
        <v>26.980403814753554</v>
      </c>
      <c r="L10" s="72" ph="1">
        <f>L9*26.42*LOOKUP(L11,密度!$A$2:$A$50,密度!$B$2:$B$50)</f>
        <v>1435.40716008</v>
      </c>
      <c r="M10" s="72" ph="1">
        <f>M9*26.42*1</f>
        <v>20924.640000000003</v>
      </c>
      <c r="N10" s="72" ph="1">
        <f>N9*18.32*LOOKUP(N11,密度!$A$2:$A$50,密度!$B$2:$B$50)</f>
        <v>62277.042807999998</v>
      </c>
      <c r="O10" s="72" ph="1">
        <f>O9*81.71*LOOKUP(O11,密度!$A$2:$A$50,密度!$B$2:$B$50)</f>
        <v>777153.61519999988</v>
      </c>
      <c r="P10" s="72" ph="1">
        <f>P9*81.71*LOOKUP(P11,密度!$A$2:$A$50,密度!$B$2:$B$50)</f>
        <v>416742.96364799998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65" ph="1">
      <c r="A11" s="63" t="s" ph="1">
        <v>48</v>
      </c>
      <c r="B11" s="296" ph="1"/>
      <c r="C11" s="171" t="s" ph="1">
        <v>56</v>
      </c>
      <c r="D11" s="73">
        <v>20</v>
      </c>
      <c r="E11" s="73">
        <v>20</v>
      </c>
      <c r="F11" s="73">
        <v>20</v>
      </c>
      <c r="G11" s="73">
        <v>20</v>
      </c>
      <c r="H11" s="73">
        <v>16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65" ht="9.9" customHeight="1" ph="1"/>
    <row r="13" spans="1:65" s="71" customFormat="1" ht="29.25" customHeight="1" ph="1">
      <c r="B13" s="273" t="s" ph="1">
        <v>28</v>
      </c>
      <c r="C13" s="171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65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65" ph="1">
      <c r="B15" s="275" ph="1">
        <v>0.33333333333333331</v>
      </c>
      <c r="C15" s="171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65" s="71" customFormat="1" ht="22.2" ph="1">
      <c r="B16" s="276" ph="1"/>
      <c r="C16" s="171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71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71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71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71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71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71" t="s" ph="1">
        <v>1</v>
      </c>
      <c r="F32" s="170" t="s" ph="1">
        <v>31</v>
      </c>
      <c r="G32" s="96" t="s" ph="1">
        <v>0</v>
      </c>
      <c r="H32" s="171" t="s" ph="1">
        <v>1</v>
      </c>
      <c r="I32" s="170" t="s" ph="1">
        <v>31</v>
      </c>
      <c r="J32" s="96" t="s" ph="1">
        <v>0</v>
      </c>
      <c r="K32" s="171" t="s" ph="1">
        <v>1</v>
      </c>
      <c r="L32" s="170" t="s" ph="1">
        <v>31</v>
      </c>
      <c r="M32" s="96" t="s" ph="1">
        <v>0</v>
      </c>
      <c r="N32" s="171" t="s" ph="1">
        <v>1</v>
      </c>
      <c r="O32" s="170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71" t="s" ph="1">
        <v>1</v>
      </c>
      <c r="U32" s="98" t="s" ph="1">
        <v>31</v>
      </c>
      <c r="V32" s="96" t="s" ph="1">
        <v>0</v>
      </c>
      <c r="W32" s="171" t="s" ph="1">
        <v>1</v>
      </c>
      <c r="X32" s="98" t="s" ph="1">
        <v>31</v>
      </c>
      <c r="Y32" s="99" t="s" ph="1">
        <v>0</v>
      </c>
      <c r="Z32" s="171" t="s" ph="1">
        <v>1</v>
      </c>
      <c r="AA32" s="170" t="s" ph="1">
        <v>31</v>
      </c>
      <c r="AB32" s="96" t="s" ph="1">
        <v>41</v>
      </c>
      <c r="AC32" s="171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1193896.5788479999</v>
      </c>
      <c r="E33" s="245" ph="1">
        <f>H10+I10+J10+K10</f>
        <v>9439.8342126873904</v>
      </c>
      <c r="F33" s="269" ph="1">
        <f>L10+N10</f>
        <v>63712.44996808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69" t="s" ph="1">
        <v>62</v>
      </c>
      <c r="AA36" s="169" ph="1"/>
      <c r="AB36" s="231" t="s" ph="1">
        <v>67</v>
      </c>
      <c r="AC36" s="231" ph="1"/>
      <c r="AD36" s="231" ph="1"/>
      <c r="AE36" s="231" ph="1"/>
    </row>
    <row r="37" spans="1:31" s="169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3487" priority="118">
      <formula>ABS(D$7-D$10)&gt;=1000</formula>
    </cfRule>
  </conditionalFormatting>
  <conditionalFormatting sqref="E4 E6 E8:E9 E11 H7:L7 H10:L10">
    <cfRule type="expression" dxfId="3486" priority="117">
      <formula>ABS(E$7-E$10)&gt;=1000</formula>
    </cfRule>
  </conditionalFormatting>
  <conditionalFormatting sqref="F4 F6 F8:F9 F11">
    <cfRule type="expression" dxfId="3485" priority="116">
      <formula>ABS(F$7-F$10)&gt;=1000</formula>
    </cfRule>
  </conditionalFormatting>
  <conditionalFormatting sqref="G4 G6 G8:G9 G11">
    <cfRule type="expression" dxfId="3484" priority="115">
      <formula>ABS(G$7-G$10)&gt;=1000</formula>
    </cfRule>
  </conditionalFormatting>
  <conditionalFormatting sqref="H4:K4 H6 H8:H9 H11">
    <cfRule type="expression" dxfId="3483" priority="114">
      <formula>ABS(H$7-H$10)&gt;=1000</formula>
    </cfRule>
  </conditionalFormatting>
  <conditionalFormatting sqref="I8:I9 I11">
    <cfRule type="expression" dxfId="3482" priority="113">
      <formula>ABS(I$7-I$10)&gt;=1000</formula>
    </cfRule>
  </conditionalFormatting>
  <conditionalFormatting sqref="J6 J8:J9 J11">
    <cfRule type="expression" dxfId="3481" priority="112">
      <formula>ABS(J$7-J$10)&gt;=1000</formula>
    </cfRule>
  </conditionalFormatting>
  <conditionalFormatting sqref="K6 K8:K9 K11">
    <cfRule type="expression" dxfId="3480" priority="111">
      <formula>ABS(K$7-K$10)&gt;=1000</formula>
    </cfRule>
  </conditionalFormatting>
  <conditionalFormatting sqref="L4:L6 M4:N4 Q4:S4 L8:L9 L11">
    <cfRule type="expression" dxfId="3479" priority="110">
      <formula>ABS(L$7-L$10)&gt;=1000</formula>
    </cfRule>
  </conditionalFormatting>
  <conditionalFormatting sqref="M6:M11">
    <cfRule type="expression" dxfId="3478" priority="109">
      <formula>ABS(M$7-M$10)&gt;=1000</formula>
    </cfRule>
  </conditionalFormatting>
  <conditionalFormatting sqref="N6 N8:N9 N11">
    <cfRule type="expression" dxfId="3477" priority="108">
      <formula>ABS(N$7-N$10)&gt;=1000</formula>
    </cfRule>
  </conditionalFormatting>
  <conditionalFormatting sqref="Q5:Q11">
    <cfRule type="expression" dxfId="3476" priority="107">
      <formula>ABS(Q$7-Q$10)&gt;=1000</formula>
    </cfRule>
  </conditionalFormatting>
  <conditionalFormatting sqref="R5:R11">
    <cfRule type="expression" dxfId="3475" priority="106">
      <formula>ABS(R$7-R$10)&gt;=1000</formula>
    </cfRule>
  </conditionalFormatting>
  <conditionalFormatting sqref="S5:S11">
    <cfRule type="expression" dxfId="3474" priority="105">
      <formula>ABS(S$7-S$10)&gt;=1000</formula>
    </cfRule>
  </conditionalFormatting>
  <conditionalFormatting sqref="T4:T9 T11">
    <cfRule type="expression" dxfId="3473" priority="104">
      <formula>ABS(T$7-T$10)&gt;=1000</formula>
    </cfRule>
  </conditionalFormatting>
  <conditionalFormatting sqref="U4:U9 U11">
    <cfRule type="expression" dxfId="3472" priority="103">
      <formula>ABS(U$7-U$10)&gt;=1000</formula>
    </cfRule>
  </conditionalFormatting>
  <conditionalFormatting sqref="V4:V9 V11">
    <cfRule type="expression" dxfId="3471" priority="102">
      <formula>ABS(V$7-V$10)&gt;=1000</formula>
    </cfRule>
  </conditionalFormatting>
  <conditionalFormatting sqref="W4:W9 W11">
    <cfRule type="expression" dxfId="3470" priority="101">
      <formula>ABS(W$7-W$10)&gt;=1000</formula>
    </cfRule>
  </conditionalFormatting>
  <conditionalFormatting sqref="X4:X9 X11">
    <cfRule type="expression" dxfId="3469" priority="100">
      <formula>ABS(X$7-X$10)&gt;=1000</formula>
    </cfRule>
  </conditionalFormatting>
  <conditionalFormatting sqref="Y4:Y9 Y11">
    <cfRule type="expression" dxfId="3468" priority="99">
      <formula>ABS(Y$7-Y$10)&gt;=1000</formula>
    </cfRule>
  </conditionalFormatting>
  <conditionalFormatting sqref="Z4:Z11">
    <cfRule type="expression" dxfId="3467" priority="98">
      <formula>ABS(Z$7-Z$10)&gt;=1000</formula>
    </cfRule>
  </conditionalFormatting>
  <conditionalFormatting sqref="AA4:AA11">
    <cfRule type="expression" dxfId="3466" priority="97">
      <formula>ABS(AA$7-AA$10)&gt;=1000</formula>
    </cfRule>
  </conditionalFormatting>
  <conditionalFormatting sqref="AB4:AB11">
    <cfRule type="expression" dxfId="3465" priority="96">
      <formula>ABS(AB$7-AB$10)&gt;=1000</formula>
    </cfRule>
  </conditionalFormatting>
  <conditionalFormatting sqref="AC4 AC6:AC11">
    <cfRule type="expression" dxfId="3464" priority="95">
      <formula>ABS(AC$7-AC$10)&gt;=1000</formula>
    </cfRule>
  </conditionalFormatting>
  <conditionalFormatting sqref="AD4 AD6:AD11">
    <cfRule type="expression" dxfId="3463" priority="94">
      <formula>ABS(AD$7-AD$10)&gt;=1000</formula>
    </cfRule>
  </conditionalFormatting>
  <conditionalFormatting sqref="AE4 AE6:AE11">
    <cfRule type="expression" dxfId="3462" priority="93">
      <formula>ABS(AE$7-AE$10)&gt;=1000</formula>
    </cfRule>
  </conditionalFormatting>
  <conditionalFormatting sqref="D13:D20">
    <cfRule type="expression" dxfId="3461" priority="92">
      <formula>ABS(D$16-D$19)&gt;=1000</formula>
    </cfRule>
  </conditionalFormatting>
  <conditionalFormatting sqref="E13:E20">
    <cfRule type="expression" dxfId="3460" priority="91">
      <formula>ABS(E$16-E$19)&gt;=1000</formula>
    </cfRule>
  </conditionalFormatting>
  <conditionalFormatting sqref="F13 F15:F20">
    <cfRule type="expression" dxfId="3459" priority="90">
      <formula>ABS(F$16-F$19)&gt;=1000</formula>
    </cfRule>
  </conditionalFormatting>
  <conditionalFormatting sqref="G13:G20">
    <cfRule type="expression" dxfId="3458" priority="89">
      <formula>ABS(G$16-G$19)&gt;=1000</formula>
    </cfRule>
  </conditionalFormatting>
  <conditionalFormatting sqref="H13 H15:H20">
    <cfRule type="expression" dxfId="3457" priority="88">
      <formula>ABS(H$16-H$19)&gt;=1000</formula>
    </cfRule>
  </conditionalFormatting>
  <conditionalFormatting sqref="I13:I20">
    <cfRule type="expression" dxfId="3456" priority="87">
      <formula>ABS(I$16-I$19)&gt;=1000</formula>
    </cfRule>
  </conditionalFormatting>
  <conditionalFormatting sqref="J13:J20">
    <cfRule type="expression" dxfId="3455" priority="86">
      <formula>ABS(J$16-J$19)&gt;=1000</formula>
    </cfRule>
  </conditionalFormatting>
  <conditionalFormatting sqref="L13:L20">
    <cfRule type="expression" dxfId="3454" priority="85">
      <formula>ABS(L$16-L$19)&gt;=1000</formula>
    </cfRule>
  </conditionalFormatting>
  <conditionalFormatting sqref="M13 M15 M17:M18 M20">
    <cfRule type="expression" dxfId="3453" priority="84">
      <formula>ABS(M$16-M$19)&gt;=1000</formula>
    </cfRule>
  </conditionalFormatting>
  <conditionalFormatting sqref="N13:N20">
    <cfRule type="expression" dxfId="3452" priority="83">
      <formula>ABS(N$16-N$19)&gt;=1000</formula>
    </cfRule>
  </conditionalFormatting>
  <conditionalFormatting sqref="O13:O20">
    <cfRule type="expression" dxfId="3451" priority="82">
      <formula>ABS(O$16-O$19)&gt;=1000</formula>
    </cfRule>
  </conditionalFormatting>
  <conditionalFormatting sqref="P13:P20">
    <cfRule type="expression" dxfId="3450" priority="81">
      <formula>ABS(P$16-P$19)&gt;=1000</formula>
    </cfRule>
  </conditionalFormatting>
  <conditionalFormatting sqref="Q13 Q15:Q20">
    <cfRule type="expression" dxfId="3449" priority="80">
      <formula>ABS(Q$16-Q$19)&gt;=1000</formula>
    </cfRule>
  </conditionalFormatting>
  <conditionalFormatting sqref="R13:R20">
    <cfRule type="expression" dxfId="3448" priority="79">
      <formula>ABS(R$16-R$19)&gt;=1000</formula>
    </cfRule>
  </conditionalFormatting>
  <conditionalFormatting sqref="S13:S20">
    <cfRule type="expression" dxfId="3447" priority="78">
      <formula>ABS(S$16-S$19)&gt;=1000</formula>
    </cfRule>
  </conditionalFormatting>
  <conditionalFormatting sqref="T13:T20">
    <cfRule type="expression" dxfId="3446" priority="77">
      <formula>ABS(T$16-T$19)&gt;=1000</formula>
    </cfRule>
  </conditionalFormatting>
  <conditionalFormatting sqref="U13:U20">
    <cfRule type="expression" dxfId="3445" priority="76">
      <formula>ABS(U$16-U$19)&gt;=1000</formula>
    </cfRule>
  </conditionalFormatting>
  <conditionalFormatting sqref="V13:V20">
    <cfRule type="expression" dxfId="3444" priority="75">
      <formula>ABS(V$16-V$19)&gt;=1000</formula>
    </cfRule>
  </conditionalFormatting>
  <conditionalFormatting sqref="W13 W20 W15:W18">
    <cfRule type="expression" dxfId="3443" priority="74">
      <formula>ABS(W$16-W$19)&gt;=1000</formula>
    </cfRule>
  </conditionalFormatting>
  <conditionalFormatting sqref="X13 X15:X20 Y19">
    <cfRule type="expression" dxfId="3442" priority="73">
      <formula>ABS(X$16-X$19)&gt;=1000</formula>
    </cfRule>
  </conditionalFormatting>
  <conditionalFormatting sqref="Y13 Y15:Y18 Y20">
    <cfRule type="expression" dxfId="3441" priority="72">
      <formula>ABS(Y$16-Y$19)&gt;=1000</formula>
    </cfRule>
  </conditionalFormatting>
  <conditionalFormatting sqref="Z13:Z20">
    <cfRule type="expression" dxfId="3440" priority="71">
      <formula>ABS(Z$16-Z$19)&gt;=1000</formula>
    </cfRule>
  </conditionalFormatting>
  <conditionalFormatting sqref="AA13:AA20">
    <cfRule type="expression" dxfId="3439" priority="70">
      <formula>ABS(AA$16-AA$19)&gt;=1000</formula>
    </cfRule>
  </conditionalFormatting>
  <conditionalFormatting sqref="AB13 AB15:AB20">
    <cfRule type="expression" dxfId="3438" priority="69">
      <formula>ABS(AB$16-AB$19)&gt;=1000</formula>
    </cfRule>
  </conditionalFormatting>
  <conditionalFormatting sqref="AC13 AC15:AC20">
    <cfRule type="expression" dxfId="3437" priority="68">
      <formula>ABS(AC$16-AC$19)&gt;=1000</formula>
    </cfRule>
  </conditionalFormatting>
  <conditionalFormatting sqref="AD13:AD20">
    <cfRule type="expression" dxfId="3436" priority="67">
      <formula>ABS(AD$16-AD$19)&gt;=1000</formula>
    </cfRule>
  </conditionalFormatting>
  <conditionalFormatting sqref="AE13:AE20">
    <cfRule type="expression" dxfId="3435" priority="66">
      <formula>ABS(AE$16-AE$19)&gt;=1000</formula>
    </cfRule>
  </conditionalFormatting>
  <conditionalFormatting sqref="D22:D29">
    <cfRule type="expression" dxfId="3434" priority="65">
      <formula>ABS(D$25-D$28)&gt;=1000</formula>
    </cfRule>
  </conditionalFormatting>
  <conditionalFormatting sqref="E22:E29">
    <cfRule type="expression" dxfId="3433" priority="64">
      <formula>ABS(E$25-E$28)&gt;=1000</formula>
    </cfRule>
  </conditionalFormatting>
  <conditionalFormatting sqref="F22:F29">
    <cfRule type="expression" dxfId="3432" priority="63">
      <formula>ABS(F$25-F$28)&gt;=1000</formula>
    </cfRule>
  </conditionalFormatting>
  <conditionalFormatting sqref="G22:G29">
    <cfRule type="expression" dxfId="3431" priority="62">
      <formula>ABS(G$25-G$28)&gt;=1000</formula>
    </cfRule>
  </conditionalFormatting>
  <conditionalFormatting sqref="H22:H29">
    <cfRule type="expression" dxfId="3430" priority="61">
      <formula>ABS(H$25-H$28)&gt;=1000</formula>
    </cfRule>
  </conditionalFormatting>
  <conditionalFormatting sqref="I22 I24:I29">
    <cfRule type="expression" dxfId="3429" priority="60">
      <formula>ABS(I$25-I$28)&gt;=1000</formula>
    </cfRule>
  </conditionalFormatting>
  <conditionalFormatting sqref="J22:J29 K22">
    <cfRule type="expression" dxfId="3428" priority="59">
      <formula>ABS(J$25-J$28)&gt;=1000</formula>
    </cfRule>
  </conditionalFormatting>
  <conditionalFormatting sqref="K23:K29 L25 L28">
    <cfRule type="expression" dxfId="3427" priority="58">
      <formula>ABS(K$25-K$28)&gt;=1000</formula>
    </cfRule>
  </conditionalFormatting>
  <conditionalFormatting sqref="L22 L26:L27 L29 L24">
    <cfRule type="expression" dxfId="3426" priority="57">
      <formula>ABS(L$25-L$28)&gt;=1000</formula>
    </cfRule>
  </conditionalFormatting>
  <conditionalFormatting sqref="M22:M29">
    <cfRule type="expression" dxfId="3425" priority="56">
      <formula>ABS(M$25-M$28)&gt;=1000</formula>
    </cfRule>
  </conditionalFormatting>
  <conditionalFormatting sqref="N22:N29">
    <cfRule type="expression" dxfId="3424" priority="55">
      <formula>ABS(N$25-N$28)&gt;=1000</formula>
    </cfRule>
  </conditionalFormatting>
  <conditionalFormatting sqref="O22:O29">
    <cfRule type="expression" dxfId="3423" priority="54">
      <formula>ABS(O$25-O$28)&gt;=1000</formula>
    </cfRule>
  </conditionalFormatting>
  <conditionalFormatting sqref="P22:P29">
    <cfRule type="expression" dxfId="3422" priority="53">
      <formula>ABS(P$25-P$28)&gt;=1000</formula>
    </cfRule>
  </conditionalFormatting>
  <conditionalFormatting sqref="Q22:Q29">
    <cfRule type="expression" dxfId="3421" priority="52">
      <formula>ABS(Q$25-Q$28)&gt;=1000</formula>
    </cfRule>
  </conditionalFormatting>
  <conditionalFormatting sqref="R22:R29">
    <cfRule type="expression" dxfId="3420" priority="51">
      <formula>ABS(R$25-R$28)&gt;=1000</formula>
    </cfRule>
  </conditionalFormatting>
  <conditionalFormatting sqref="S22:S29">
    <cfRule type="expression" dxfId="3419" priority="50">
      <formula>ABS(S$25-S$28)&gt;=1000</formula>
    </cfRule>
  </conditionalFormatting>
  <conditionalFormatting sqref="T22:T29">
    <cfRule type="expression" dxfId="3418" priority="49">
      <formula>ABS(T$25-T$28)&gt;=1000</formula>
    </cfRule>
  </conditionalFormatting>
  <conditionalFormatting sqref="U22:U29">
    <cfRule type="expression" dxfId="3417" priority="48">
      <formula>ABS(U$25-U$28)&gt;=1000</formula>
    </cfRule>
  </conditionalFormatting>
  <conditionalFormatting sqref="V22:V29">
    <cfRule type="expression" dxfId="3416" priority="47">
      <formula>ABS(V$25-V$28)&gt;=1000</formula>
    </cfRule>
  </conditionalFormatting>
  <conditionalFormatting sqref="W22:W29">
    <cfRule type="expression" dxfId="3415" priority="46">
      <formula>ABS(W$25-W$28)&gt;=1000</formula>
    </cfRule>
  </conditionalFormatting>
  <conditionalFormatting sqref="X22:X29">
    <cfRule type="expression" dxfId="3414" priority="45">
      <formula>ABS(X$25-X$28)&gt;=1000</formula>
    </cfRule>
  </conditionalFormatting>
  <conditionalFormatting sqref="Y22:Y29">
    <cfRule type="expression" dxfId="3413" priority="44">
      <formula>ABS(Y$25-Y$28)&gt;=1000</formula>
    </cfRule>
  </conditionalFormatting>
  <conditionalFormatting sqref="I23">
    <cfRule type="expression" dxfId="3412" priority="43">
      <formula>ABS(I$25-I$28)&gt;=1000</formula>
    </cfRule>
  </conditionalFormatting>
  <conditionalFormatting sqref="Q14">
    <cfRule type="expression" dxfId="3411" priority="42">
      <formula>ABS(Q$16-Q$19)&gt;=1000</formula>
    </cfRule>
  </conditionalFormatting>
  <conditionalFormatting sqref="W14">
    <cfRule type="expression" dxfId="3410" priority="41">
      <formula>ABS(W$16-W$19)&gt;=1000</formula>
    </cfRule>
  </conditionalFormatting>
  <conditionalFormatting sqref="X14">
    <cfRule type="expression" dxfId="3409" priority="40">
      <formula>ABS(X$16-X$19)&gt;=1000</formula>
    </cfRule>
  </conditionalFormatting>
  <conditionalFormatting sqref="T10:Y10">
    <cfRule type="expression" dxfId="3408" priority="39">
      <formula>ABS(T$7-T$10)&gt;=1000</formula>
    </cfRule>
  </conditionalFormatting>
  <conditionalFormatting sqref="W19">
    <cfRule type="expression" dxfId="3407" priority="38">
      <formula>ABS(W$16-W$19)&gt;=1000</formula>
    </cfRule>
  </conditionalFormatting>
  <conditionalFormatting sqref="AC5">
    <cfRule type="expression" dxfId="3406" priority="37">
      <formula>ABS(AC$7-AC$10)&gt;=1000</formula>
    </cfRule>
  </conditionalFormatting>
  <conditionalFormatting sqref="M14">
    <cfRule type="expression" dxfId="3405" priority="36">
      <formula>ABS(M$16-M$19)&gt;=1000</formula>
    </cfRule>
  </conditionalFormatting>
  <conditionalFormatting sqref="M16">
    <cfRule type="expression" dxfId="3404" priority="35">
      <formula>ABS(M$16-M$19)&gt;=1000</formula>
    </cfRule>
  </conditionalFormatting>
  <conditionalFormatting sqref="M19">
    <cfRule type="expression" dxfId="3403" priority="34">
      <formula>ABS(M$16-M$19)&gt;=1000</formula>
    </cfRule>
  </conditionalFormatting>
  <conditionalFormatting sqref="K13:K20">
    <cfRule type="expression" dxfId="3402" priority="33">
      <formula>ABS(K$16-K$19)&gt;=1000</formula>
    </cfRule>
  </conditionalFormatting>
  <conditionalFormatting sqref="AB14:AC14">
    <cfRule type="expression" dxfId="3401" priority="32">
      <formula>ABS(AB$16-AB$19)&gt;=1000</formula>
    </cfRule>
  </conditionalFormatting>
  <conditionalFormatting sqref="M5">
    <cfRule type="expression" dxfId="3400" priority="31">
      <formula>ABS(M$7-M$10)&gt;=1000</formula>
    </cfRule>
  </conditionalFormatting>
  <conditionalFormatting sqref="N5">
    <cfRule type="expression" dxfId="3399" priority="30">
      <formula>ABS(N$7-N$10)&gt;=1000</formula>
    </cfRule>
  </conditionalFormatting>
  <conditionalFormatting sqref="L23">
    <cfRule type="expression" dxfId="3398" priority="29">
      <formula>ABS(L$25-L$28)&gt;=1000</formula>
    </cfRule>
  </conditionalFormatting>
  <conditionalFormatting sqref="Y14">
    <cfRule type="expression" dxfId="3397" priority="28">
      <formula>ABS(Y$16-Y$19)&gt;=1000</formula>
    </cfRule>
  </conditionalFormatting>
  <conditionalFormatting sqref="F14">
    <cfRule type="expression" dxfId="3396" priority="27">
      <formula>ABS(F$16-F$19)&gt;=1000</formula>
    </cfRule>
  </conditionalFormatting>
  <conditionalFormatting sqref="H14">
    <cfRule type="expression" dxfId="3395" priority="26">
      <formula>ABS(H$16-H$19)&gt;=1000</formula>
    </cfRule>
  </conditionalFormatting>
  <conditionalFormatting sqref="AD5">
    <cfRule type="expression" dxfId="3394" priority="25">
      <formula>ABS(AD$7-AD$10)&gt;=1000</formula>
    </cfRule>
  </conditionalFormatting>
  <conditionalFormatting sqref="AE5">
    <cfRule type="expression" dxfId="3393" priority="24">
      <formula>ABS(AE$7-AE$10)&gt;=1000</formula>
    </cfRule>
  </conditionalFormatting>
  <conditionalFormatting sqref="D5">
    <cfRule type="expression" dxfId="3392" priority="23">
      <formula>ABS(D$7-D$10)&gt;=1000</formula>
    </cfRule>
  </conditionalFormatting>
  <conditionalFormatting sqref="E5:G5">
    <cfRule type="expression" dxfId="3391" priority="22">
      <formula>ABS(E$7-E$10)&gt;=1000</formula>
    </cfRule>
  </conditionalFormatting>
  <conditionalFormatting sqref="H5:K5">
    <cfRule type="expression" dxfId="3390" priority="21">
      <formula>ABS(H$7-H$10)&gt;=1000</formula>
    </cfRule>
  </conditionalFormatting>
  <conditionalFormatting sqref="O4:P4">
    <cfRule type="expression" dxfId="3389" priority="20">
      <formula>ABS(O$7-O$10)&gt;=1000</formula>
    </cfRule>
  </conditionalFormatting>
  <conditionalFormatting sqref="O5:O6 O8:O9 O11">
    <cfRule type="expression" dxfId="3388" priority="19">
      <formula>ABS(O$7-O$10)&gt;=1000</formula>
    </cfRule>
  </conditionalFormatting>
  <conditionalFormatting sqref="P6 P8:P9 P11">
    <cfRule type="expression" dxfId="3387" priority="18">
      <formula>ABS(P$7-P$10)&gt;=1000</formula>
    </cfRule>
  </conditionalFormatting>
  <conditionalFormatting sqref="P5">
    <cfRule type="expression" dxfId="3386" priority="17">
      <formula>ABS(P$7-P$10)&gt;=1000</formula>
    </cfRule>
  </conditionalFormatting>
  <conditionalFormatting sqref="F7">
    <cfRule type="expression" dxfId="3385" priority="10">
      <formula>ABS(F$7-F$10)&gt;=1000</formula>
    </cfRule>
  </conditionalFormatting>
  <conditionalFormatting sqref="O7:P7">
    <cfRule type="expression" dxfId="3384" priority="16">
      <formula>ABS(O$7-O$10)&gt;=1000</formula>
    </cfRule>
  </conditionalFormatting>
  <conditionalFormatting sqref="N7">
    <cfRule type="expression" dxfId="3383" priority="14">
      <formula>ABS(N$7-N$10)&gt;=1000</formula>
    </cfRule>
  </conditionalFormatting>
  <conditionalFormatting sqref="N10">
    <cfRule type="expression" dxfId="3382" priority="13">
      <formula>ABS(N$7-N$10)&gt;=1000</formula>
    </cfRule>
  </conditionalFormatting>
  <conditionalFormatting sqref="D7">
    <cfRule type="expression" dxfId="3381" priority="12">
      <formula>ABS(D$7-D$10)&gt;=1000</formula>
    </cfRule>
  </conditionalFormatting>
  <conditionalFormatting sqref="D10">
    <cfRule type="expression" dxfId="3380" priority="8">
      <formula>ABS(D$7-D$10)&gt;=1000</formula>
    </cfRule>
  </conditionalFormatting>
  <conditionalFormatting sqref="E7">
    <cfRule type="expression" dxfId="3379" priority="11">
      <formula>ABS(E$7-E$10)&gt;=1000</formula>
    </cfRule>
  </conditionalFormatting>
  <conditionalFormatting sqref="G7">
    <cfRule type="expression" dxfId="3378" priority="9">
      <formula>ABS(G$7-G$10)&gt;=1000</formula>
    </cfRule>
  </conditionalFormatting>
  <conditionalFormatting sqref="E10">
    <cfRule type="expression" dxfId="3377" priority="7">
      <formula>ABS(E$7-E$10)&gt;=1000</formula>
    </cfRule>
  </conditionalFormatting>
  <conditionalFormatting sqref="F10">
    <cfRule type="expression" dxfId="3376" priority="6">
      <formula>ABS(F$7-F$10)&gt;=1000</formula>
    </cfRule>
  </conditionalFormatting>
  <conditionalFormatting sqref="G10">
    <cfRule type="expression" dxfId="3375" priority="5">
      <formula>ABS(G$7-G$10)&gt;=1000</formula>
    </cfRule>
  </conditionalFormatting>
  <conditionalFormatting sqref="I6">
    <cfRule type="expression" dxfId="3374" priority="3">
      <formula>ABS(I$7-I$10)&gt;=1000</formula>
    </cfRule>
  </conditionalFormatting>
  <conditionalFormatting sqref="O10">
    <cfRule type="expression" dxfId="3373" priority="2">
      <formula>ABS(O$7-O$10)&gt;=1000</formula>
    </cfRule>
  </conditionalFormatting>
  <conditionalFormatting sqref="P10">
    <cfRule type="expression" dxfId="337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24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8">
    <pageSetUpPr fitToPage="1"/>
  </sheetPr>
  <dimension ref="A1:BA223"/>
  <sheetViews>
    <sheetView view="pageBreakPreview" zoomScale="110" zoomScaleNormal="100" zoomScaleSheetLayoutView="110" workbookViewId="0">
      <selection activeCell="H10" sqref="H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46052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32</v>
      </c>
      <c r="E4" s="67" t="s" ph="1">
        <v>33</v>
      </c>
      <c r="F4" s="67" t="s" ph="1">
        <v>30</v>
      </c>
      <c r="G4" s="67" t="s" ph="1">
        <v>68</v>
      </c>
      <c r="H4" s="67" t="s" ph="1">
        <v>69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87</v>
      </c>
      <c r="G5" s="141" t="s" ph="1">
        <v>87</v>
      </c>
      <c r="H5" s="141" t="s" ph="1">
        <v>87</v>
      </c>
      <c r="I5" s="141" t="s" ph="1">
        <v>87</v>
      </c>
      <c r="J5" s="141" t="s" ph="1">
        <v>87</v>
      </c>
      <c r="K5" s="141" t="s" ph="1">
        <v>87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45" t="s" ph="1">
        <v>54</v>
      </c>
      <c r="D6" s="151">
        <v>1</v>
      </c>
      <c r="E6" s="151">
        <v>0.01</v>
      </c>
      <c r="F6" s="151">
        <v>0.01</v>
      </c>
      <c r="G6" s="151">
        <v>0.01</v>
      </c>
      <c r="H6" s="151">
        <v>0.09</v>
      </c>
      <c r="I6" s="151">
        <v>0</v>
      </c>
      <c r="J6" s="151">
        <v>0</v>
      </c>
      <c r="K6" s="151">
        <v>0</v>
      </c>
      <c r="L6" s="151">
        <v>0</v>
      </c>
      <c r="M6" s="151">
        <v>0</v>
      </c>
      <c r="N6" s="151">
        <v>0</v>
      </c>
      <c r="O6" s="151">
        <v>1</v>
      </c>
      <c r="P6" s="151">
        <v>5.5500000000000001E-2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((D6*5885)*4.4793)*LOOKUP(D8,密度!$A$2:$A$50,密度!$B$2:$B$50)</f>
        <v>20550.786517799999</v>
      </c>
      <c r="E7" s="72" ph="1">
        <f>((E6*5885)*4.4793)*LOOKUP(E8,密度!$A$2:$A$50,密度!$B$2:$B$50)</f>
        <v>207.511276896</v>
      </c>
      <c r="F7" s="72" ph="1">
        <f>((F6*5885)*4.4793)*LOOKUP(F8,密度!$A$2:$A$50,密度!$B$2:$B$50)</f>
        <v>207.511276896</v>
      </c>
      <c r="G7" s="72" ph="1">
        <f>((G6*5885)*4.4793)*LOOKUP(G8,密度!$A$2:$A$50,密度!$B$2:$B$50)</f>
        <v>207.511276896</v>
      </c>
      <c r="H7" s="72" ph="1">
        <f>IF(H6=0, 0, IF(H6*6.3&lt;=1.1, 13.823*(H6*6.3)^2-4.189*(H6*6.3)^3, 11.151+15.2058*(H6*6.3-1.1))) * LOOKUP(H8, 密度!$A$2:$A$50, 密度!$B$2:$B$50)*1000</f>
        <v>2903.4310097052476</v>
      </c>
      <c r="I7" s="72" ph="1">
        <f>((I6*6300)*18.322)*LOOKUP(I8,密度!$A$2:$A$50,密度!$B$2:$B$50)</f>
        <v>0</v>
      </c>
      <c r="J7" s="72" ph="1">
        <f>((J6*6300)*18.322)*LOOKUP(J8,密度!$A$2:$A$50,密度!$B$2:$B$50)</f>
        <v>0</v>
      </c>
      <c r="K7" s="72" ph="1">
        <f>((K6*6300)*18.322)*LOOKUP(K8,密度!$A$2:$A$50,密度!$B$2:$B$50)</f>
        <v>0</v>
      </c>
      <c r="L7" s="72" ph="1">
        <f>(L6*6650)*26.42*LOOKUP(L8,密度!$A$2:$A$50,密度!$B$2:$B$50)</f>
        <v>0</v>
      </c>
      <c r="M7" s="72" ph="1">
        <f>(M6*6650)*26.42*1</f>
        <v>0</v>
      </c>
      <c r="N7" s="72" ph="1">
        <f>(N6*5150)*18.32*LOOKUP(N8,密度!$A$2:$A$50,密度!$B$2:$B$50)</f>
        <v>0</v>
      </c>
      <c r="O7" s="72" ph="1">
        <f>(O6*12400)*81.71*LOOKUP(O8,密度!$A$2:$A$50,密度!$B$2:$B$50)</f>
        <v>789893.83839999989</v>
      </c>
      <c r="P7" s="72" ph="1">
        <f>(P6*12400)*81.71*LOOKUP(P8,密度!$A$2:$A$50,密度!$B$2:$B$50)</f>
        <v>44311.463736000005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25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45" t="s" ph="1">
        <v>57</v>
      </c>
      <c r="D9" s="151">
        <v>0.1</v>
      </c>
      <c r="E9" s="151">
        <v>0.05</v>
      </c>
      <c r="F9" s="151">
        <v>0.05</v>
      </c>
      <c r="G9" s="151">
        <v>0.05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2.2200000000000001E-2</v>
      </c>
      <c r="P9" s="151">
        <v>0.05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45" t="s" ph="1">
        <v>55</v>
      </c>
      <c r="D10" s="72" ph="1">
        <f>((D9*5885)*4.4793)*LOOKUP(D11,密度!$A$2:$A$50,密度!$B$2:$B$50)</f>
        <v>2064.5684967600005</v>
      </c>
      <c r="E10" s="72" ph="1">
        <f>((E9*5885)*4.4793)*LOOKUP(E11,密度!$A$2:$A$50,密度!$B$2:$B$50)</f>
        <v>1035.5793334425</v>
      </c>
      <c r="F10" s="72" ph="1">
        <f>((F9*5885)*4.4793)*LOOKUP(F11,密度!$A$2:$A$50,密度!$B$2:$B$50)</f>
        <v>1035.5793334425</v>
      </c>
      <c r="G10" s="72" ph="1">
        <f>((G9*5885)*4.4793)*LOOKUP(G11,密度!$A$2:$A$50,密度!$B$2:$B$50)</f>
        <v>1035.5793334425</v>
      </c>
      <c r="H10" s="72" ph="1">
        <f>((H9*6300)*18.322)*LOOKUP(H11,密度!$A$2:$A$50,密度!$B$2:$B$50)</f>
        <v>0</v>
      </c>
      <c r="I10" s="72" ph="1">
        <f>((I9*6300)*18.322)*LOOKUP(I11,密度!$A$2:$A$50,密度!$B$2:$B$50)</f>
        <v>0</v>
      </c>
      <c r="J10" s="72" ph="1">
        <f>((J9*6300)*18.322)*LOOKUP(J11,密度!$A$2:$A$50,密度!$B$2:$B$50)</f>
        <v>0</v>
      </c>
      <c r="K10" s="72" ph="1">
        <f>((K9*6300)*18.322)*LOOKUP(K11,密度!$A$2:$A$50,密度!$B$2:$B$50)</f>
        <v>0</v>
      </c>
      <c r="L10" s="72" ph="1">
        <f>(L9*6650)*26.42*LOOKUP(L11,密度!$A$2:$A$50,密度!$B$2:$B$50)</f>
        <v>0</v>
      </c>
      <c r="M10" s="72" ph="1">
        <f>(M9*6650)*26.42*1</f>
        <v>0</v>
      </c>
      <c r="N10" s="72" ph="1">
        <f>N9*18.32*LOOKUP(N11,密度!$A$2:$A$50,密度!$B$2:$B$50)</f>
        <v>0</v>
      </c>
      <c r="O10" s="72" ph="1">
        <f>(O9*12400)*81.71*LOOKUP(O11,密度!$A$2:$A$50,密度!$B$2:$B$50)</f>
        <v>17535.643212480001</v>
      </c>
      <c r="P10" s="72" ph="1">
        <f>(P9*12400)*81.71*LOOKUP(P11,密度!$A$2:$A$50,密度!$B$2:$B$50)</f>
        <v>39879.709439999999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45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28</v>
      </c>
      <c r="C13" s="14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45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45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45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45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4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45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45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45" t="s" ph="1">
        <v>1</v>
      </c>
      <c r="F32" s="144" t="s" ph="1">
        <v>31</v>
      </c>
      <c r="G32" s="96" t="s" ph="1">
        <v>0</v>
      </c>
      <c r="H32" s="145" t="s" ph="1">
        <v>1</v>
      </c>
      <c r="I32" s="144" t="s" ph="1">
        <v>31</v>
      </c>
      <c r="J32" s="96" t="s" ph="1">
        <v>0</v>
      </c>
      <c r="K32" s="145" t="s" ph="1">
        <v>1</v>
      </c>
      <c r="L32" s="144" t="s" ph="1">
        <v>31</v>
      </c>
      <c r="M32" s="96" t="s" ph="1">
        <v>0</v>
      </c>
      <c r="N32" s="145" t="s" ph="1">
        <v>1</v>
      </c>
      <c r="O32" s="144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45" t="s" ph="1">
        <v>1</v>
      </c>
      <c r="U32" s="98" t="s" ph="1">
        <v>31</v>
      </c>
      <c r="V32" s="96" t="s" ph="1">
        <v>0</v>
      </c>
      <c r="W32" s="145" t="s" ph="1">
        <v>1</v>
      </c>
      <c r="X32" s="98" t="s" ph="1">
        <v>31</v>
      </c>
      <c r="Y32" s="99" t="s" ph="1">
        <v>0</v>
      </c>
      <c r="Z32" s="145" t="s" ph="1">
        <v>1</v>
      </c>
      <c r="AA32" s="144" t="s" ph="1">
        <v>31</v>
      </c>
      <c r="AB32" s="96" t="s" ph="1">
        <v>41</v>
      </c>
      <c r="AC32" s="145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57415.352652479996</v>
      </c>
      <c r="E33" s="245" ph="1">
        <f>H10+I10+J10+K10</f>
        <v>0</v>
      </c>
      <c r="F33" s="269" ph="1">
        <f>L10+N10</f>
        <v>0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43" t="s" ph="1">
        <v>62</v>
      </c>
      <c r="AA36" s="143" ph="1"/>
      <c r="AB36" s="231" t="s" ph="1">
        <v>67</v>
      </c>
      <c r="AC36" s="231" ph="1"/>
      <c r="AD36" s="231" ph="1"/>
      <c r="AE36" s="231" ph="1"/>
    </row>
    <row r="37" spans="1:31" s="143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3371" priority="140">
      <formula>ABS(D$7-D$10)&gt;=1000</formula>
    </cfRule>
  </conditionalFormatting>
  <conditionalFormatting sqref="E4 E6 E8:E9 E11 H7:L7 H10:L10">
    <cfRule type="expression" dxfId="3370" priority="139">
      <formula>ABS(E$7-E$10)&gt;=1000</formula>
    </cfRule>
  </conditionalFormatting>
  <conditionalFormatting sqref="F4 F6 F8:F9 F11">
    <cfRule type="expression" dxfId="3369" priority="138">
      <formula>ABS(F$7-F$10)&gt;=1000</formula>
    </cfRule>
  </conditionalFormatting>
  <conditionalFormatting sqref="G4 G6 G8:G9 G11">
    <cfRule type="expression" dxfId="3368" priority="137">
      <formula>ABS(G$7-G$10)&gt;=1000</formula>
    </cfRule>
  </conditionalFormatting>
  <conditionalFormatting sqref="H4:K4 H6 H8:H9 H11">
    <cfRule type="expression" dxfId="3367" priority="136">
      <formula>ABS(H$7-H$10)&gt;=1000</formula>
    </cfRule>
  </conditionalFormatting>
  <conditionalFormatting sqref="I6 I8:I9 I11">
    <cfRule type="expression" dxfId="3366" priority="135">
      <formula>ABS(I$7-I$10)&gt;=1000</formula>
    </cfRule>
  </conditionalFormatting>
  <conditionalFormatting sqref="J6 J8:J9 J11">
    <cfRule type="expression" dxfId="3365" priority="134">
      <formula>ABS(J$7-J$10)&gt;=1000</formula>
    </cfRule>
  </conditionalFormatting>
  <conditionalFormatting sqref="K6 K8:K9 K11">
    <cfRule type="expression" dxfId="3364" priority="133">
      <formula>ABS(K$7-K$10)&gt;=1000</formula>
    </cfRule>
  </conditionalFormatting>
  <conditionalFormatting sqref="L4:L6 M4:N4 Q4:S4 L8:L9 L11">
    <cfRule type="expression" dxfId="3363" priority="132">
      <formula>ABS(L$7-L$10)&gt;=1000</formula>
    </cfRule>
  </conditionalFormatting>
  <conditionalFormatting sqref="M6 M8:M9 M11">
    <cfRule type="expression" dxfId="3362" priority="131">
      <formula>ABS(M$7-M$10)&gt;=1000</formula>
    </cfRule>
  </conditionalFormatting>
  <conditionalFormatting sqref="N6 N8:N9 N11">
    <cfRule type="expression" dxfId="3361" priority="130">
      <formula>ABS(N$7-N$10)&gt;=1000</formula>
    </cfRule>
  </conditionalFormatting>
  <conditionalFormatting sqref="Q5:Q11">
    <cfRule type="expression" dxfId="3360" priority="127">
      <formula>ABS(Q$7-Q$10)&gt;=1000</formula>
    </cfRule>
  </conditionalFormatting>
  <conditionalFormatting sqref="R5:R11">
    <cfRule type="expression" dxfId="3359" priority="126">
      <formula>ABS(R$7-R$10)&gt;=1000</formula>
    </cfRule>
  </conditionalFormatting>
  <conditionalFormatting sqref="S5:S11">
    <cfRule type="expression" dxfId="3358" priority="125">
      <formula>ABS(S$7-S$10)&gt;=1000</formula>
    </cfRule>
  </conditionalFormatting>
  <conditionalFormatting sqref="T4:T9 T11">
    <cfRule type="expression" dxfId="3357" priority="124">
      <formula>ABS(T$7-T$10)&gt;=1000</formula>
    </cfRule>
  </conditionalFormatting>
  <conditionalFormatting sqref="U4:U9 U11">
    <cfRule type="expression" dxfId="3356" priority="123">
      <formula>ABS(U$7-U$10)&gt;=1000</formula>
    </cfRule>
  </conditionalFormatting>
  <conditionalFormatting sqref="V4:V9 V11">
    <cfRule type="expression" dxfId="3355" priority="122">
      <formula>ABS(V$7-V$10)&gt;=1000</formula>
    </cfRule>
  </conditionalFormatting>
  <conditionalFormatting sqref="W4:W9 W11">
    <cfRule type="expression" dxfId="3354" priority="121">
      <formula>ABS(W$7-W$10)&gt;=1000</formula>
    </cfRule>
  </conditionalFormatting>
  <conditionalFormatting sqref="X4:X9 X11">
    <cfRule type="expression" dxfId="3353" priority="120">
      <formula>ABS(X$7-X$10)&gt;=1000</formula>
    </cfRule>
  </conditionalFormatting>
  <conditionalFormatting sqref="Y4:Y9 Y11">
    <cfRule type="expression" dxfId="3352" priority="119">
      <formula>ABS(Y$7-Y$10)&gt;=1000</formula>
    </cfRule>
  </conditionalFormatting>
  <conditionalFormatting sqref="Z4:Z11">
    <cfRule type="expression" dxfId="3351" priority="118">
      <formula>ABS(Z$7-Z$10)&gt;=1000</formula>
    </cfRule>
  </conditionalFormatting>
  <conditionalFormatting sqref="AA4:AA11">
    <cfRule type="expression" dxfId="3350" priority="117">
      <formula>ABS(AA$7-AA$10)&gt;=1000</formula>
    </cfRule>
  </conditionalFormatting>
  <conditionalFormatting sqref="AB4:AB11">
    <cfRule type="expression" dxfId="3349" priority="116">
      <formula>ABS(AB$7-AB$10)&gt;=1000</formula>
    </cfRule>
  </conditionalFormatting>
  <conditionalFormatting sqref="AC4 AC6:AC11">
    <cfRule type="expression" dxfId="3348" priority="115">
      <formula>ABS(AC$7-AC$10)&gt;=1000</formula>
    </cfRule>
  </conditionalFormatting>
  <conditionalFormatting sqref="AD4 AD6:AD11">
    <cfRule type="expression" dxfId="3347" priority="114">
      <formula>ABS(AD$7-AD$10)&gt;=1000</formula>
    </cfRule>
  </conditionalFormatting>
  <conditionalFormatting sqref="AE4 AE6:AE11">
    <cfRule type="expression" dxfId="3346" priority="113">
      <formula>ABS(AE$7-AE$10)&gt;=1000</formula>
    </cfRule>
  </conditionalFormatting>
  <conditionalFormatting sqref="D13:D20">
    <cfRule type="expression" dxfId="3345" priority="112">
      <formula>ABS(D$16-D$19)&gt;=1000</formula>
    </cfRule>
  </conditionalFormatting>
  <conditionalFormatting sqref="E13:E20">
    <cfRule type="expression" dxfId="3344" priority="111">
      <formula>ABS(E$16-E$19)&gt;=1000</formula>
    </cfRule>
  </conditionalFormatting>
  <conditionalFormatting sqref="F13 F15:F20">
    <cfRule type="expression" dxfId="3343" priority="110">
      <formula>ABS(F$16-F$19)&gt;=1000</formula>
    </cfRule>
  </conditionalFormatting>
  <conditionalFormatting sqref="G13:G20">
    <cfRule type="expression" dxfId="3342" priority="109">
      <formula>ABS(G$16-G$19)&gt;=1000</formula>
    </cfRule>
  </conditionalFormatting>
  <conditionalFormatting sqref="H13 H15:H20">
    <cfRule type="expression" dxfId="3341" priority="108">
      <formula>ABS(H$16-H$19)&gt;=1000</formula>
    </cfRule>
  </conditionalFormatting>
  <conditionalFormatting sqref="I13:I20">
    <cfRule type="expression" dxfId="3340" priority="107">
      <formula>ABS(I$16-I$19)&gt;=1000</formula>
    </cfRule>
  </conditionalFormatting>
  <conditionalFormatting sqref="J13:J20">
    <cfRule type="expression" dxfId="3339" priority="106">
      <formula>ABS(J$16-J$19)&gt;=1000</formula>
    </cfRule>
  </conditionalFormatting>
  <conditionalFormatting sqref="L13:L20">
    <cfRule type="expression" dxfId="3338" priority="105">
      <formula>ABS(L$16-L$19)&gt;=1000</formula>
    </cfRule>
  </conditionalFormatting>
  <conditionalFormatting sqref="M13 M15 M17:M18 M20">
    <cfRule type="expression" dxfId="3337" priority="104">
      <formula>ABS(M$16-M$19)&gt;=1000</formula>
    </cfRule>
  </conditionalFormatting>
  <conditionalFormatting sqref="N13:N20">
    <cfRule type="expression" dxfId="3336" priority="103">
      <formula>ABS(N$16-N$19)&gt;=1000</formula>
    </cfRule>
  </conditionalFormatting>
  <conditionalFormatting sqref="O13:O20">
    <cfRule type="expression" dxfId="3335" priority="102">
      <formula>ABS(O$16-O$19)&gt;=1000</formula>
    </cfRule>
  </conditionalFormatting>
  <conditionalFormatting sqref="P13:P20">
    <cfRule type="expression" dxfId="3334" priority="101">
      <formula>ABS(P$16-P$19)&gt;=1000</formula>
    </cfRule>
  </conditionalFormatting>
  <conditionalFormatting sqref="Q13 Q15:Q20">
    <cfRule type="expression" dxfId="3333" priority="100">
      <formula>ABS(Q$16-Q$19)&gt;=1000</formula>
    </cfRule>
  </conditionalFormatting>
  <conditionalFormatting sqref="R13:R20">
    <cfRule type="expression" dxfId="3332" priority="99">
      <formula>ABS(R$16-R$19)&gt;=1000</formula>
    </cfRule>
  </conditionalFormatting>
  <conditionalFormatting sqref="S13:S20">
    <cfRule type="expression" dxfId="3331" priority="98">
      <formula>ABS(S$16-S$19)&gt;=1000</formula>
    </cfRule>
  </conditionalFormatting>
  <conditionalFormatting sqref="T13:T20">
    <cfRule type="expression" dxfId="3330" priority="97">
      <formula>ABS(T$16-T$19)&gt;=1000</formula>
    </cfRule>
  </conditionalFormatting>
  <conditionalFormatting sqref="U13:U20">
    <cfRule type="expression" dxfId="3329" priority="96">
      <formula>ABS(U$16-U$19)&gt;=1000</formula>
    </cfRule>
  </conditionalFormatting>
  <conditionalFormatting sqref="V13:V20">
    <cfRule type="expression" dxfId="3328" priority="95">
      <formula>ABS(V$16-V$19)&gt;=1000</formula>
    </cfRule>
  </conditionalFormatting>
  <conditionalFormatting sqref="W13 W20 W15:W18">
    <cfRule type="expression" dxfId="3327" priority="94">
      <formula>ABS(W$16-W$19)&gt;=1000</formula>
    </cfRule>
  </conditionalFormatting>
  <conditionalFormatting sqref="X13 X15:X20 Y19">
    <cfRule type="expression" dxfId="3326" priority="93">
      <formula>ABS(X$16-X$19)&gt;=1000</formula>
    </cfRule>
  </conditionalFormatting>
  <conditionalFormatting sqref="Y13 Y15:Y18 Y20">
    <cfRule type="expression" dxfId="3325" priority="92">
      <formula>ABS(Y$16-Y$19)&gt;=1000</formula>
    </cfRule>
  </conditionalFormatting>
  <conditionalFormatting sqref="Z13:Z20">
    <cfRule type="expression" dxfId="3324" priority="91">
      <formula>ABS(Z$16-Z$19)&gt;=1000</formula>
    </cfRule>
  </conditionalFormatting>
  <conditionalFormatting sqref="AA13:AA20">
    <cfRule type="expression" dxfId="3323" priority="90">
      <formula>ABS(AA$16-AA$19)&gt;=1000</formula>
    </cfRule>
  </conditionalFormatting>
  <conditionalFormatting sqref="AB13 AB15:AB20">
    <cfRule type="expression" dxfId="3322" priority="89">
      <formula>ABS(AB$16-AB$19)&gt;=1000</formula>
    </cfRule>
  </conditionalFormatting>
  <conditionalFormatting sqref="AC13 AC15:AC20">
    <cfRule type="expression" dxfId="3321" priority="88">
      <formula>ABS(AC$16-AC$19)&gt;=1000</formula>
    </cfRule>
  </conditionalFormatting>
  <conditionalFormatting sqref="AD13:AD20">
    <cfRule type="expression" dxfId="3320" priority="87">
      <formula>ABS(AD$16-AD$19)&gt;=1000</formula>
    </cfRule>
  </conditionalFormatting>
  <conditionalFormatting sqref="AE13:AE20">
    <cfRule type="expression" dxfId="3319" priority="86">
      <formula>ABS(AE$16-AE$19)&gt;=1000</formula>
    </cfRule>
  </conditionalFormatting>
  <conditionalFormatting sqref="D22:D29">
    <cfRule type="expression" dxfId="3318" priority="85">
      <formula>ABS(D$25-D$28)&gt;=1000</formula>
    </cfRule>
  </conditionalFormatting>
  <conditionalFormatting sqref="E22:E29">
    <cfRule type="expression" dxfId="3317" priority="84">
      <formula>ABS(E$25-E$28)&gt;=1000</formula>
    </cfRule>
  </conditionalFormatting>
  <conditionalFormatting sqref="F22:F29">
    <cfRule type="expression" dxfId="3316" priority="83">
      <formula>ABS(F$25-F$28)&gt;=1000</formula>
    </cfRule>
  </conditionalFormatting>
  <conditionalFormatting sqref="G22:G29">
    <cfRule type="expression" dxfId="3315" priority="82">
      <formula>ABS(G$25-G$28)&gt;=1000</formula>
    </cfRule>
  </conditionalFormatting>
  <conditionalFormatting sqref="H22:H29">
    <cfRule type="expression" dxfId="3314" priority="81">
      <formula>ABS(H$25-H$28)&gt;=1000</formula>
    </cfRule>
  </conditionalFormatting>
  <conditionalFormatting sqref="I22 I24:I29">
    <cfRule type="expression" dxfId="3313" priority="80">
      <formula>ABS(I$25-I$28)&gt;=1000</formula>
    </cfRule>
  </conditionalFormatting>
  <conditionalFormatting sqref="J22:J29 K22">
    <cfRule type="expression" dxfId="3312" priority="79">
      <formula>ABS(J$25-J$28)&gt;=1000</formula>
    </cfRule>
  </conditionalFormatting>
  <conditionalFormatting sqref="K23:K29 L25 L28">
    <cfRule type="expression" dxfId="3311" priority="78">
      <formula>ABS(K$25-K$28)&gt;=1000</formula>
    </cfRule>
  </conditionalFormatting>
  <conditionalFormatting sqref="L22 L26:L27 L29 L24">
    <cfRule type="expression" dxfId="3310" priority="77">
      <formula>ABS(L$25-L$28)&gt;=1000</formula>
    </cfRule>
  </conditionalFormatting>
  <conditionalFormatting sqref="M22:M29">
    <cfRule type="expression" dxfId="3309" priority="76">
      <formula>ABS(M$25-M$28)&gt;=1000</formula>
    </cfRule>
  </conditionalFormatting>
  <conditionalFormatting sqref="N22:N29">
    <cfRule type="expression" dxfId="3308" priority="75">
      <formula>ABS(N$25-N$28)&gt;=1000</formula>
    </cfRule>
  </conditionalFormatting>
  <conditionalFormatting sqref="O22:O29">
    <cfRule type="expression" dxfId="3307" priority="74">
      <formula>ABS(O$25-O$28)&gt;=1000</formula>
    </cfRule>
  </conditionalFormatting>
  <conditionalFormatting sqref="P22:P29">
    <cfRule type="expression" dxfId="3306" priority="73">
      <formula>ABS(P$25-P$28)&gt;=1000</formula>
    </cfRule>
  </conditionalFormatting>
  <conditionalFormatting sqref="Q22:Q29">
    <cfRule type="expression" dxfId="3305" priority="72">
      <formula>ABS(Q$25-Q$28)&gt;=1000</formula>
    </cfRule>
  </conditionalFormatting>
  <conditionalFormatting sqref="R22:R29">
    <cfRule type="expression" dxfId="3304" priority="71">
      <formula>ABS(R$25-R$28)&gt;=1000</formula>
    </cfRule>
  </conditionalFormatting>
  <conditionalFormatting sqref="S22:S29">
    <cfRule type="expression" dxfId="3303" priority="70">
      <formula>ABS(S$25-S$28)&gt;=1000</formula>
    </cfRule>
  </conditionalFormatting>
  <conditionalFormatting sqref="T22:T29">
    <cfRule type="expression" dxfId="3302" priority="69">
      <formula>ABS(T$25-T$28)&gt;=1000</formula>
    </cfRule>
  </conditionalFormatting>
  <conditionalFormatting sqref="U22:U29">
    <cfRule type="expression" dxfId="3301" priority="68">
      <formula>ABS(U$25-U$28)&gt;=1000</formula>
    </cfRule>
  </conditionalFormatting>
  <conditionalFormatting sqref="V22:V29">
    <cfRule type="expression" dxfId="3300" priority="67">
      <formula>ABS(V$25-V$28)&gt;=1000</formula>
    </cfRule>
  </conditionalFormatting>
  <conditionalFormatting sqref="W22:W29">
    <cfRule type="expression" dxfId="3299" priority="66">
      <formula>ABS(W$25-W$28)&gt;=1000</formula>
    </cfRule>
  </conditionalFormatting>
  <conditionalFormatting sqref="X22:X29">
    <cfRule type="expression" dxfId="3298" priority="65">
      <formula>ABS(X$25-X$28)&gt;=1000</formula>
    </cfRule>
  </conditionalFormatting>
  <conditionalFormatting sqref="Y22:Y29">
    <cfRule type="expression" dxfId="3297" priority="64">
      <formula>ABS(Y$25-Y$28)&gt;=1000</formula>
    </cfRule>
  </conditionalFormatting>
  <conditionalFormatting sqref="I23">
    <cfRule type="expression" dxfId="3296" priority="63">
      <formula>ABS(I$25-I$28)&gt;=1000</formula>
    </cfRule>
  </conditionalFormatting>
  <conditionalFormatting sqref="Q14">
    <cfRule type="expression" dxfId="3295" priority="62">
      <formula>ABS(Q$16-Q$19)&gt;=1000</formula>
    </cfRule>
  </conditionalFormatting>
  <conditionalFormatting sqref="W14">
    <cfRule type="expression" dxfId="3294" priority="61">
      <formula>ABS(W$16-W$19)&gt;=1000</formula>
    </cfRule>
  </conditionalFormatting>
  <conditionalFormatting sqref="X14">
    <cfRule type="expression" dxfId="3293" priority="60">
      <formula>ABS(X$16-X$19)&gt;=1000</formula>
    </cfRule>
  </conditionalFormatting>
  <conditionalFormatting sqref="T10:Y10">
    <cfRule type="expression" dxfId="3292" priority="59">
      <formula>ABS(T$7-T$10)&gt;=1000</formula>
    </cfRule>
  </conditionalFormatting>
  <conditionalFormatting sqref="W19">
    <cfRule type="expression" dxfId="3291" priority="58">
      <formula>ABS(W$16-W$19)&gt;=1000</formula>
    </cfRule>
  </conditionalFormatting>
  <conditionalFormatting sqref="AC5">
    <cfRule type="expression" dxfId="3290" priority="57">
      <formula>ABS(AC$7-AC$10)&gt;=1000</formula>
    </cfRule>
  </conditionalFormatting>
  <conditionalFormatting sqref="M14">
    <cfRule type="expression" dxfId="3289" priority="56">
      <formula>ABS(M$16-M$19)&gt;=1000</formula>
    </cfRule>
  </conditionalFormatting>
  <conditionalFormatting sqref="M16">
    <cfRule type="expression" dxfId="3288" priority="55">
      <formula>ABS(M$16-M$19)&gt;=1000</formula>
    </cfRule>
  </conditionalFormatting>
  <conditionalFormatting sqref="M19">
    <cfRule type="expression" dxfId="3287" priority="54">
      <formula>ABS(M$16-M$19)&gt;=1000</formula>
    </cfRule>
  </conditionalFormatting>
  <conditionalFormatting sqref="K13:K20">
    <cfRule type="expression" dxfId="3286" priority="53">
      <formula>ABS(K$16-K$19)&gt;=1000</formula>
    </cfRule>
  </conditionalFormatting>
  <conditionalFormatting sqref="AB14:AC14">
    <cfRule type="expression" dxfId="3285" priority="51">
      <formula>ABS(AB$16-AB$19)&gt;=1000</formula>
    </cfRule>
  </conditionalFormatting>
  <conditionalFormatting sqref="M5">
    <cfRule type="expression" dxfId="3284" priority="50">
      <formula>ABS(M$7-M$10)&gt;=1000</formula>
    </cfRule>
  </conditionalFormatting>
  <conditionalFormatting sqref="N5">
    <cfRule type="expression" dxfId="3283" priority="49">
      <formula>ABS(N$7-N$10)&gt;=1000</formula>
    </cfRule>
  </conditionalFormatting>
  <conditionalFormatting sqref="L23">
    <cfRule type="expression" dxfId="3282" priority="46">
      <formula>ABS(L$25-L$28)&gt;=1000</formula>
    </cfRule>
  </conditionalFormatting>
  <conditionalFormatting sqref="Y14">
    <cfRule type="expression" dxfId="3281" priority="45">
      <formula>ABS(Y$16-Y$19)&gt;=1000</formula>
    </cfRule>
  </conditionalFormatting>
  <conditionalFormatting sqref="F14">
    <cfRule type="expression" dxfId="3280" priority="44">
      <formula>ABS(F$16-F$19)&gt;=1000</formula>
    </cfRule>
  </conditionalFormatting>
  <conditionalFormatting sqref="H14">
    <cfRule type="expression" dxfId="3279" priority="43">
      <formula>ABS(H$16-H$19)&gt;=1000</formula>
    </cfRule>
  </conditionalFormatting>
  <conditionalFormatting sqref="AD5">
    <cfRule type="expression" dxfId="3278" priority="42">
      <formula>ABS(AD$7-AD$10)&gt;=1000</formula>
    </cfRule>
  </conditionalFormatting>
  <conditionalFormatting sqref="AE5">
    <cfRule type="expression" dxfId="3277" priority="41">
      <formula>ABS(AE$7-AE$10)&gt;=1000</formula>
    </cfRule>
  </conditionalFormatting>
  <conditionalFormatting sqref="D5">
    <cfRule type="expression" dxfId="3276" priority="40">
      <formula>ABS(D$7-D$10)&gt;=1000</formula>
    </cfRule>
  </conditionalFormatting>
  <conditionalFormatting sqref="E5:G5">
    <cfRule type="expression" dxfId="3275" priority="39">
      <formula>ABS(E$7-E$10)&gt;=1000</formula>
    </cfRule>
  </conditionalFormatting>
  <conditionalFormatting sqref="H5:K5">
    <cfRule type="expression" dxfId="3274" priority="38">
      <formula>ABS(H$7-H$10)&gt;=1000</formula>
    </cfRule>
  </conditionalFormatting>
  <conditionalFormatting sqref="O4:P4">
    <cfRule type="expression" dxfId="3273" priority="37">
      <formula>ABS(O$7-O$10)&gt;=1000</formula>
    </cfRule>
  </conditionalFormatting>
  <conditionalFormatting sqref="O5:O6 O8:O9 O11">
    <cfRule type="expression" dxfId="3272" priority="36">
      <formula>ABS(O$7-O$10)&gt;=1000</formula>
    </cfRule>
  </conditionalFormatting>
  <conditionalFormatting sqref="P6 P8:P9 P11">
    <cfRule type="expression" dxfId="3271" priority="35">
      <formula>ABS(P$7-P$10)&gt;=1000</formula>
    </cfRule>
  </conditionalFormatting>
  <conditionalFormatting sqref="P5">
    <cfRule type="expression" dxfId="3270" priority="34">
      <formula>ABS(P$7-P$10)&gt;=1000</formula>
    </cfRule>
  </conditionalFormatting>
  <conditionalFormatting sqref="O7:P7">
    <cfRule type="expression" dxfId="3269" priority="31">
      <formula>ABS(O$7-O$10)&gt;=1000</formula>
    </cfRule>
  </conditionalFormatting>
  <conditionalFormatting sqref="N7">
    <cfRule type="expression" dxfId="3268" priority="29">
      <formula>ABS(N$7-N$10)&gt;=1000</formula>
    </cfRule>
  </conditionalFormatting>
  <conditionalFormatting sqref="N10">
    <cfRule type="expression" dxfId="3267" priority="28">
      <formula>ABS(N$7-N$10)&gt;=1000</formula>
    </cfRule>
  </conditionalFormatting>
  <conditionalFormatting sqref="O10">
    <cfRule type="expression" dxfId="3266" priority="19">
      <formula>ABS(O$7-O$10)&gt;=1000</formula>
    </cfRule>
  </conditionalFormatting>
  <conditionalFormatting sqref="M7">
    <cfRule type="expression" dxfId="3265" priority="17">
      <formula>ABS(M$7-M$10)&gt;=1000</formula>
    </cfRule>
  </conditionalFormatting>
  <conditionalFormatting sqref="M10">
    <cfRule type="expression" dxfId="3264" priority="15">
      <formula>ABS(M$7-M$10)&gt;=1000</formula>
    </cfRule>
  </conditionalFormatting>
  <conditionalFormatting sqref="P10">
    <cfRule type="expression" dxfId="3263" priority="14">
      <formula>ABS(P$7-P$10)&gt;=1000</formula>
    </cfRule>
  </conditionalFormatting>
  <conditionalFormatting sqref="E10:G10">
    <cfRule type="expression" dxfId="3262" priority="3">
      <formula>ABS(E$7-E$10)&gt;=1000</formula>
    </cfRule>
  </conditionalFormatting>
  <conditionalFormatting sqref="D10">
    <cfRule type="expression" dxfId="3261" priority="2">
      <formula>ABS(D$7-D$10)&gt;=1000</formula>
    </cfRule>
  </conditionalFormatting>
  <conditionalFormatting sqref="D7:G7">
    <cfRule type="expression" dxfId="3260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7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8">
    <pageSetUpPr fitToPage="1"/>
  </sheetPr>
  <dimension ref="A1:BA223"/>
  <sheetViews>
    <sheetView view="pageBreakPreview" topLeftCell="B1" zoomScale="110" zoomScaleNormal="100" zoomScaleSheetLayoutView="110" workbookViewId="0">
      <selection activeCell="M8" sqref="M8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122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123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46141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124</v>
      </c>
      <c r="C4" s="66" t="s" ph="1">
        <v>125</v>
      </c>
      <c r="D4" s="67" t="s" ph="1">
        <v>126</v>
      </c>
      <c r="E4" s="67" t="s" ph="1">
        <v>127</v>
      </c>
      <c r="F4" s="67" t="s" ph="1">
        <v>128</v>
      </c>
      <c r="G4" s="67" t="s" ph="1">
        <v>129</v>
      </c>
      <c r="H4" s="67" t="s" ph="1">
        <v>130</v>
      </c>
      <c r="I4" s="67" t="s" ph="1">
        <v>70</v>
      </c>
      <c r="J4" s="67" t="s" ph="1">
        <v>71</v>
      </c>
      <c r="K4" s="67" t="s" ph="1">
        <v>72</v>
      </c>
      <c r="L4" s="67" t="s" ph="1">
        <v>131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132</v>
      </c>
      <c r="D5" s="141" t="s" ph="1">
        <v>133</v>
      </c>
      <c r="E5" s="141" t="s" ph="1">
        <v>133</v>
      </c>
      <c r="F5" s="141" t="s" ph="1">
        <v>134</v>
      </c>
      <c r="G5" s="141" t="s" ph="1">
        <v>134</v>
      </c>
      <c r="H5" s="141" t="s" ph="1">
        <v>133</v>
      </c>
      <c r="I5" s="141" t="s" ph="1">
        <v>134</v>
      </c>
      <c r="J5" s="141" t="s" ph="1">
        <v>134</v>
      </c>
      <c r="K5" s="141" t="s" ph="1">
        <v>134</v>
      </c>
      <c r="L5" s="140" t="s" ph="1">
        <v>135</v>
      </c>
      <c r="M5" s="140" t="s" ph="1">
        <v>136</v>
      </c>
      <c r="N5" s="69" t="s" ph="1">
        <v>135</v>
      </c>
      <c r="O5" s="69" t="s" ph="1">
        <v>137</v>
      </c>
      <c r="P5" s="141" t="s" ph="1">
        <v>138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59" t="s" ph="1">
        <v>139</v>
      </c>
      <c r="D6" s="151">
        <v>1</v>
      </c>
      <c r="E6" s="151">
        <v>0.28420000000000001</v>
      </c>
      <c r="F6" s="151">
        <v>0</v>
      </c>
      <c r="G6" s="151">
        <v>0</v>
      </c>
      <c r="H6" s="151">
        <v>4.0500000000000001E-2</v>
      </c>
      <c r="I6" s="151">
        <v>0</v>
      </c>
      <c r="J6" s="151">
        <v>0</v>
      </c>
      <c r="K6" s="151">
        <v>0</v>
      </c>
      <c r="L6" s="151">
        <v>0.2225</v>
      </c>
      <c r="M6" s="151">
        <v>9.4700000000000006E-2</v>
      </c>
      <c r="N6" s="151">
        <v>0.57130000000000003</v>
      </c>
      <c r="O6" s="151">
        <v>0.26069999999999999</v>
      </c>
      <c r="P6" s="151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140</v>
      </c>
      <c r="D7" s="72" ph="1">
        <f>((D6*5885)*4.48)*LOOKUP(D8,密度!$A$2:$A$50,密度!$B$2:$B$50)</f>
        <v>20648.911360000002</v>
      </c>
      <c r="E7" s="72" ph="1">
        <f>((E6*5885)*4.48)*LOOKUP(E8,密度!$A$2:$A$50,密度!$B$2:$B$50)</f>
        <v>5898.392113152001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IF(H6=0, 0, IF(H6*6.3&lt;=1.1, 13.823*(H6*6.3)^2-4.189*(H6*6.3)^3, 11.151+15.2058*(H6*6.3-1.1))) * LOOKUP(H8, 密度!$A$2:$A$50, 密度!$B$2:$B$50)*1000</f>
        <v>647.31460162892108</v>
      </c>
      <c r="I7" s="72" ph="1">
        <f>IF(I6=0, 0, IF(I6*6.3&lt;=1.1, 13.823*(I6*6.3)^2-4.189*(I6*6.3)^3, 11.151+15.2058*(I6*6.3-1.1))) * LOOKUP(I8, 密度!$A$2:$A$50, 密度!$B$2:$B$50)*1000</f>
        <v>0</v>
      </c>
      <c r="J7" s="72" ph="1">
        <f>IF(J6=0, 0, IF(J6*6.3&lt;=1.1, 13.823*(J6*6.3)^2-4.189*(J6*6.3)^3, 11.151+15.2058*(J6*6.3-1.1))) * LOOKUP(J8, 密度!$A$2:$A$50, 密度!$B$2:$B$50)*1000</f>
        <v>0</v>
      </c>
      <c r="K7" s="72" ph="1">
        <f>IF(K6=0, 0, IF(K6*6.3&lt;=1.1, 13.823*(K6*6.3)^2-4.189*(K6*6.3)^3, 11.151+15.2058*(K6*6.3-1.1))) * LOOKUP(K8, 密度!$A$2:$A$50, 密度!$B$2:$B$50)*1000</f>
        <v>0</v>
      </c>
      <c r="L7" s="72" ph="1">
        <f>(L6*6650)*26.42*LOOKUP(L8,密度!$A$2:$A$50,密度!$B$2:$B$50)</f>
        <v>30475.883473000002</v>
      </c>
      <c r="M7" s="72" ph="1">
        <f>(M6*6650)*26.42*LOOKUP(M8,密度!$A$2:$A$50,密度!$B$2:$B$50)</f>
        <v>13097.533653120001</v>
      </c>
      <c r="N7" s="72" ph="1">
        <f>(N6*5150)*18.32*LOOKUP(N8,密度!$A$2:$A$50,密度!$B$2:$B$50)</f>
        <v>42350.025442680002</v>
      </c>
      <c r="O7" s="72" ph="1">
        <f>(O6*12400)*81.71*LOOKUP(O8,密度!$A$2:$A$50,密度!$B$2:$B$50)</f>
        <v>205925.32367087997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118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59" t="s" ph="1">
        <v>141</v>
      </c>
      <c r="D9" s="151">
        <v>0.13009999999999999</v>
      </c>
      <c r="E9" s="151">
        <v>0</v>
      </c>
      <c r="F9" s="151">
        <v>0</v>
      </c>
      <c r="G9" s="151">
        <v>0.214</v>
      </c>
      <c r="H9" s="151">
        <v>0.19650000000000001</v>
      </c>
      <c r="I9" s="151">
        <v>0.99429999999999996</v>
      </c>
      <c r="J9" s="151">
        <v>0</v>
      </c>
      <c r="K9" s="151">
        <v>0</v>
      </c>
      <c r="L9" s="151">
        <v>0.28860000000000002</v>
      </c>
      <c r="M9" s="151">
        <v>9.4500000000000001E-2</v>
      </c>
      <c r="N9" s="151">
        <v>0.58379999999999999</v>
      </c>
      <c r="O9" s="151">
        <v>0.25069999999999998</v>
      </c>
      <c r="P9" s="151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59" t="s" ph="1">
        <v>140</v>
      </c>
      <c r="D10" s="72" ph="1">
        <f>((D9*5885)*4.48)*LOOKUP(D11,密度!$A$2:$A$50,密度!$B$2:$B$50)</f>
        <v>2686.423367936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4432.9721990400003</v>
      </c>
      <c r="H10" s="72" ph="1">
        <f>IF(H9=0, 0, IF(H9*6.3&lt;=1.1, 13.823*(H9*6.3)^2-4.189*(H9*6.3)^3, 11.151+15.2058*(H9*6.3-1.1))) * LOOKUP(H11, 密度!$A$2:$A$50, 密度!$B$2:$B$50)*1000</f>
        <v>10328.639829755999</v>
      </c>
      <c r="I10" s="72" ph="1">
        <f>IF(I9=0, 0, IF(I9*6.3&lt;=1.1, 13.823*(I9*6.3)^2-4.189*(I9*6.3)^3, 11.151+15.2058*(I9*6.3-1.1))) * LOOKUP(I11, 密度!$A$2:$A$50, 密度!$B$2:$B$50)*1000</f>
        <v>69910.723335271192</v>
      </c>
      <c r="J10" s="72" ph="1">
        <f>IF(J9=0, 0, IF(J9*6.3&lt;=1.1, 13.823*(J9*6.3)^2-4.189*(J9*6.3)^3, 11.151+15.2058*(J9*6.3-1.1))) * LOOKUP(J11, 密度!$A$2:$A$50, 密度!$B$2:$B$50)*1000</f>
        <v>0</v>
      </c>
      <c r="K10" s="72" ph="1">
        <f>IF(K9=0, 0, IF(K9*6.3&lt;=1.1, 13.823*(K9*6.3)^2-4.189*(K9*6.3)^3, 11.151+15.2058*(K9*6.3-1.1))) * LOOKUP(K11, 密度!$A$2:$A$50, 密度!$B$2:$B$50)*1000</f>
        <v>0</v>
      </c>
      <c r="L10" s="72" ph="1">
        <f>(L9*6650)*26.42*LOOKUP(L11,密度!$A$2:$A$50,密度!$B$2:$B$50)</f>
        <v>39529.617844079999</v>
      </c>
      <c r="M10" s="72" ph="1">
        <f>(M9*6650)*26.42*LOOKUP(M11,密度!$A$2:$A$50,密度!$B$2:$B$50)</f>
        <v>13031.685673649999</v>
      </c>
      <c r="N10" s="72" ph="1">
        <f>(N9*5150)*18.32*LOOKUP(N11,密度!$A$2:$A$50,密度!$B$2:$B$50)</f>
        <v>43232.576447760002</v>
      </c>
      <c r="O10" s="72" ph="1">
        <f>(O9*12400)*81.71*LOOKUP(O11,密度!$A$2:$A$50,密度!$B$2:$B$50)</f>
        <v>198026.38528687996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142</v>
      </c>
      <c r="B11" s="296" ph="1"/>
      <c r="C11" s="159" t="s" ph="1">
        <v>118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124</v>
      </c>
      <c r="C13" s="159" t="s" ph="1">
        <v>143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59" t="s" ph="1">
        <v>144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59" t="s" ph="1">
        <v>145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146</v>
      </c>
      <c r="B17" s="277" ph="1"/>
      <c r="C17" s="78" t="s" ph="1">
        <v>147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148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59" t="s" ph="1">
        <v>149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118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124</v>
      </c>
      <c r="C22" s="84" t="s" ph="1">
        <v>143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151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152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59" t="s" ph="1">
        <v>153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59" t="s" ph="1">
        <v>148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59" t="s" ph="1">
        <v>149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59" t="s" ph="1">
        <v>154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155</v>
      </c>
      <c r="C31" s="280" ph="1"/>
      <c r="D31" s="257" t="s" ph="1">
        <v>156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157</v>
      </c>
      <c r="E32" s="159" t="s" ph="1">
        <v>158</v>
      </c>
      <c r="F32" s="158" t="s" ph="1">
        <v>159</v>
      </c>
      <c r="G32" s="96" t="s" ph="1">
        <v>157</v>
      </c>
      <c r="H32" s="159" t="s" ph="1">
        <v>160</v>
      </c>
      <c r="I32" s="158" t="s" ph="1">
        <v>161</v>
      </c>
      <c r="J32" s="96" t="s" ph="1">
        <v>157</v>
      </c>
      <c r="K32" s="159" t="s" ph="1">
        <v>160</v>
      </c>
      <c r="L32" s="158" t="s" ph="1">
        <v>159</v>
      </c>
      <c r="M32" s="96" t="s" ph="1">
        <v>157</v>
      </c>
      <c r="N32" s="159" t="s" ph="1">
        <v>160</v>
      </c>
      <c r="O32" s="158" t="s" ph="1">
        <v>159</v>
      </c>
      <c r="P32" s="96" t="s" ph="1">
        <v>157</v>
      </c>
      <c r="Q32" s="97" t="s" ph="1">
        <v>158</v>
      </c>
      <c r="R32" s="98" t="s" ph="1">
        <v>159</v>
      </c>
      <c r="S32" s="96" t="s" ph="1">
        <v>119</v>
      </c>
      <c r="T32" s="159" t="s" ph="1">
        <v>162</v>
      </c>
      <c r="U32" s="98" t="s" ph="1">
        <v>159</v>
      </c>
      <c r="V32" s="96" t="s" ph="1">
        <v>163</v>
      </c>
      <c r="W32" s="159" t="s" ph="1">
        <v>158</v>
      </c>
      <c r="X32" s="98" t="s" ph="1">
        <v>159</v>
      </c>
      <c r="Y32" s="99" t="s" ph="1">
        <v>157</v>
      </c>
      <c r="Z32" s="159" t="s" ph="1">
        <v>158</v>
      </c>
      <c r="AA32" s="158" t="s" ph="1">
        <v>159</v>
      </c>
      <c r="AB32" s="96" t="s" ph="1">
        <v>164</v>
      </c>
      <c r="AC32" s="159" t="s" ph="1">
        <v>165</v>
      </c>
      <c r="AD32" s="263" t="s" ph="1">
        <v>166</v>
      </c>
      <c r="AE32" s="264"/>
    </row>
    <row r="33" spans="1:31" ph="1">
      <c r="A33" s="63"/>
      <c r="B33" s="265" t="s" ph="1">
        <v>167</v>
      </c>
      <c r="C33" s="266" ph="1"/>
      <c r="D33" s="245" ph="1">
        <f>O10+P10</f>
        <v>198026.38528687996</v>
      </c>
      <c r="E33" s="245" ph="1">
        <f>H10+I10+J10+K10</f>
        <v>80239.363165027185</v>
      </c>
      <c r="F33" s="269" ph="1">
        <f>L10+N10</f>
        <v>82762.194291840002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168</v>
      </c>
      <c r="AD35" s="244"/>
      <c r="AE35" s="244"/>
    </row>
    <row r="36" spans="1:31" ht="28.2" ph="1">
      <c r="A36" s="63"/>
      <c r="B36" s="102" t="s" ph="1">
        <v>169</v>
      </c>
      <c r="I36" s="230" t="s" ph="1">
        <v>170</v>
      </c>
      <c r="J36" s="230" ph="1"/>
      <c r="K36" s="100" ph="1"/>
      <c r="P36" s="100" ph="1"/>
      <c r="R36" s="230" t="s" ph="1">
        <v>120</v>
      </c>
      <c r="S36" s="230" ph="1"/>
      <c r="Y36" s="101" ph="1"/>
      <c r="Z36" s="157" t="s" ph="1">
        <v>171</v>
      </c>
      <c r="AA36" s="157" ph="1"/>
      <c r="AB36" s="231" t="s" ph="1">
        <v>172</v>
      </c>
      <c r="AC36" s="231" ph="1"/>
      <c r="AD36" s="231" ph="1"/>
      <c r="AE36" s="231" ph="1"/>
    </row>
    <row r="37" spans="1:31" s="15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3259" priority="130">
      <formula>ABS(D$7-D$10)&gt;=1000</formula>
    </cfRule>
  </conditionalFormatting>
  <conditionalFormatting sqref="E4 E6 E8:E9 E11">
    <cfRule type="expression" dxfId="3258" priority="129">
      <formula>ABS(E$7-E$10)&gt;=1000</formula>
    </cfRule>
  </conditionalFormatting>
  <conditionalFormatting sqref="F4 F6 F8:F9 F11">
    <cfRule type="expression" dxfId="3257" priority="128">
      <formula>ABS(F$7-F$10)&gt;=1000</formula>
    </cfRule>
  </conditionalFormatting>
  <conditionalFormatting sqref="G4 G6 G8:G9 G11">
    <cfRule type="expression" dxfId="3256" priority="127">
      <formula>ABS(G$7-G$10)&gt;=1000</formula>
    </cfRule>
  </conditionalFormatting>
  <conditionalFormatting sqref="H4:K4 H6 H8:H9 H11">
    <cfRule type="expression" dxfId="3255" priority="126">
      <formula>ABS(H$7-H$10)&gt;=1000</formula>
    </cfRule>
  </conditionalFormatting>
  <conditionalFormatting sqref="I6 I8:I9 I11">
    <cfRule type="expression" dxfId="3254" priority="125">
      <formula>ABS(I$7-I$10)&gt;=1000</formula>
    </cfRule>
  </conditionalFormatting>
  <conditionalFormatting sqref="J6 J8:J9 J11">
    <cfRule type="expression" dxfId="3253" priority="124">
      <formula>ABS(J$7-J$10)&gt;=1000</formula>
    </cfRule>
  </conditionalFormatting>
  <conditionalFormatting sqref="K6 K8:K9 K11">
    <cfRule type="expression" dxfId="3252" priority="123">
      <formula>ABS(K$7-K$10)&gt;=1000</formula>
    </cfRule>
  </conditionalFormatting>
  <conditionalFormatting sqref="L4:L6 M4:N4 Q4:S4 L8:L9 L11">
    <cfRule type="expression" dxfId="3251" priority="122">
      <formula>ABS(L$7-L$10)&gt;=1000</formula>
    </cfRule>
  </conditionalFormatting>
  <conditionalFormatting sqref="M6 M8:M9 M11">
    <cfRule type="expression" dxfId="3250" priority="121">
      <formula>ABS(M$7-M$10)&gt;=1000</formula>
    </cfRule>
  </conditionalFormatting>
  <conditionalFormatting sqref="N6 N8:N9 N11">
    <cfRule type="expression" dxfId="3249" priority="120">
      <formula>ABS(N$7-N$10)&gt;=1000</formula>
    </cfRule>
  </conditionalFormatting>
  <conditionalFormatting sqref="Q5:Q11">
    <cfRule type="expression" dxfId="3248" priority="119">
      <formula>ABS(Q$7-Q$10)&gt;=1000</formula>
    </cfRule>
  </conditionalFormatting>
  <conditionalFormatting sqref="R5:R11">
    <cfRule type="expression" dxfId="3247" priority="118">
      <formula>ABS(R$7-R$10)&gt;=1000</formula>
    </cfRule>
  </conditionalFormatting>
  <conditionalFormatting sqref="S5:S11">
    <cfRule type="expression" dxfId="3246" priority="117">
      <formula>ABS(S$7-S$10)&gt;=1000</formula>
    </cfRule>
  </conditionalFormatting>
  <conditionalFormatting sqref="T4:T9 T11">
    <cfRule type="expression" dxfId="3245" priority="116">
      <formula>ABS(T$7-T$10)&gt;=1000</formula>
    </cfRule>
  </conditionalFormatting>
  <conditionalFormatting sqref="U4:U9 U11">
    <cfRule type="expression" dxfId="3244" priority="115">
      <formula>ABS(U$7-U$10)&gt;=1000</formula>
    </cfRule>
  </conditionalFormatting>
  <conditionalFormatting sqref="V4:V9 V11">
    <cfRule type="expression" dxfId="3243" priority="114">
      <formula>ABS(V$7-V$10)&gt;=1000</formula>
    </cfRule>
  </conditionalFormatting>
  <conditionalFormatting sqref="W4:W9 W11">
    <cfRule type="expression" dxfId="3242" priority="113">
      <formula>ABS(W$7-W$10)&gt;=1000</formula>
    </cfRule>
  </conditionalFormatting>
  <conditionalFormatting sqref="X4:X9 X11">
    <cfRule type="expression" dxfId="3241" priority="112">
      <formula>ABS(X$7-X$10)&gt;=1000</formula>
    </cfRule>
  </conditionalFormatting>
  <conditionalFormatting sqref="Y4:Y9 Y11">
    <cfRule type="expression" dxfId="3240" priority="111">
      <formula>ABS(Y$7-Y$10)&gt;=1000</formula>
    </cfRule>
  </conditionalFormatting>
  <conditionalFormatting sqref="Z4:Z11">
    <cfRule type="expression" dxfId="3239" priority="110">
      <formula>ABS(Z$7-Z$10)&gt;=1000</formula>
    </cfRule>
  </conditionalFormatting>
  <conditionalFormatting sqref="AA4:AA11">
    <cfRule type="expression" dxfId="3238" priority="109">
      <formula>ABS(AA$7-AA$10)&gt;=1000</formula>
    </cfRule>
  </conditionalFormatting>
  <conditionalFormatting sqref="AB4:AB11">
    <cfRule type="expression" dxfId="3237" priority="108">
      <formula>ABS(AB$7-AB$10)&gt;=1000</formula>
    </cfRule>
  </conditionalFormatting>
  <conditionalFormatting sqref="AC4 AC6:AC11">
    <cfRule type="expression" dxfId="3236" priority="107">
      <formula>ABS(AC$7-AC$10)&gt;=1000</formula>
    </cfRule>
  </conditionalFormatting>
  <conditionalFormatting sqref="AD4 AD6:AD11">
    <cfRule type="expression" dxfId="3235" priority="106">
      <formula>ABS(AD$7-AD$10)&gt;=1000</formula>
    </cfRule>
  </conditionalFormatting>
  <conditionalFormatting sqref="AE4 AE6:AE11">
    <cfRule type="expression" dxfId="3234" priority="105">
      <formula>ABS(AE$7-AE$10)&gt;=1000</formula>
    </cfRule>
  </conditionalFormatting>
  <conditionalFormatting sqref="D13:D20">
    <cfRule type="expression" dxfId="3233" priority="104">
      <formula>ABS(D$16-D$19)&gt;=1000</formula>
    </cfRule>
  </conditionalFormatting>
  <conditionalFormatting sqref="E13:E20">
    <cfRule type="expression" dxfId="3232" priority="103">
      <formula>ABS(E$16-E$19)&gt;=1000</formula>
    </cfRule>
  </conditionalFormatting>
  <conditionalFormatting sqref="F13 F15:F20">
    <cfRule type="expression" dxfId="3231" priority="102">
      <formula>ABS(F$16-F$19)&gt;=1000</formula>
    </cfRule>
  </conditionalFormatting>
  <conditionalFormatting sqref="G13:G20">
    <cfRule type="expression" dxfId="3230" priority="101">
      <formula>ABS(G$16-G$19)&gt;=1000</formula>
    </cfRule>
  </conditionalFormatting>
  <conditionalFormatting sqref="H13 H15:H20">
    <cfRule type="expression" dxfId="3229" priority="100">
      <formula>ABS(H$16-H$19)&gt;=1000</formula>
    </cfRule>
  </conditionalFormatting>
  <conditionalFormatting sqref="I13:I20">
    <cfRule type="expression" dxfId="3228" priority="99">
      <formula>ABS(I$16-I$19)&gt;=1000</formula>
    </cfRule>
  </conditionalFormatting>
  <conditionalFormatting sqref="J13:J20">
    <cfRule type="expression" dxfId="3227" priority="98">
      <formula>ABS(J$16-J$19)&gt;=1000</formula>
    </cfRule>
  </conditionalFormatting>
  <conditionalFormatting sqref="L13:L20">
    <cfRule type="expression" dxfId="3226" priority="97">
      <formula>ABS(L$16-L$19)&gt;=1000</formula>
    </cfRule>
  </conditionalFormatting>
  <conditionalFormatting sqref="M13 M15 M17:M18 M20">
    <cfRule type="expression" dxfId="3225" priority="96">
      <formula>ABS(M$16-M$19)&gt;=1000</formula>
    </cfRule>
  </conditionalFormatting>
  <conditionalFormatting sqref="N13:N20">
    <cfRule type="expression" dxfId="3224" priority="95">
      <formula>ABS(N$16-N$19)&gt;=1000</formula>
    </cfRule>
  </conditionalFormatting>
  <conditionalFormatting sqref="O13:O20">
    <cfRule type="expression" dxfId="3223" priority="94">
      <formula>ABS(O$16-O$19)&gt;=1000</formula>
    </cfRule>
  </conditionalFormatting>
  <conditionalFormatting sqref="P13:P20">
    <cfRule type="expression" dxfId="3222" priority="93">
      <formula>ABS(P$16-P$19)&gt;=1000</formula>
    </cfRule>
  </conditionalFormatting>
  <conditionalFormatting sqref="Q13 Q15:Q20">
    <cfRule type="expression" dxfId="3221" priority="92">
      <formula>ABS(Q$16-Q$19)&gt;=1000</formula>
    </cfRule>
  </conditionalFormatting>
  <conditionalFormatting sqref="R13:R20">
    <cfRule type="expression" dxfId="3220" priority="91">
      <formula>ABS(R$16-R$19)&gt;=1000</formula>
    </cfRule>
  </conditionalFormatting>
  <conditionalFormatting sqref="S13:S20">
    <cfRule type="expression" dxfId="3219" priority="90">
      <formula>ABS(S$16-S$19)&gt;=1000</formula>
    </cfRule>
  </conditionalFormatting>
  <conditionalFormatting sqref="T13:T20">
    <cfRule type="expression" dxfId="3218" priority="89">
      <formula>ABS(T$16-T$19)&gt;=1000</formula>
    </cfRule>
  </conditionalFormatting>
  <conditionalFormatting sqref="U13:U20">
    <cfRule type="expression" dxfId="3217" priority="88">
      <formula>ABS(U$16-U$19)&gt;=1000</formula>
    </cfRule>
  </conditionalFormatting>
  <conditionalFormatting sqref="V13:V20">
    <cfRule type="expression" dxfId="3216" priority="87">
      <formula>ABS(V$16-V$19)&gt;=1000</formula>
    </cfRule>
  </conditionalFormatting>
  <conditionalFormatting sqref="W13 W20 W15:W18">
    <cfRule type="expression" dxfId="3215" priority="86">
      <formula>ABS(W$16-W$19)&gt;=1000</formula>
    </cfRule>
  </conditionalFormatting>
  <conditionalFormatting sqref="X13 X15:X20 Y19">
    <cfRule type="expression" dxfId="3214" priority="85">
      <formula>ABS(X$16-X$19)&gt;=1000</formula>
    </cfRule>
  </conditionalFormatting>
  <conditionalFormatting sqref="Y13 Y15:Y18 Y20">
    <cfRule type="expression" dxfId="3213" priority="84">
      <formula>ABS(Y$16-Y$19)&gt;=1000</formula>
    </cfRule>
  </conditionalFormatting>
  <conditionalFormatting sqref="Z13:Z20">
    <cfRule type="expression" dxfId="3212" priority="83">
      <formula>ABS(Z$16-Z$19)&gt;=1000</formula>
    </cfRule>
  </conditionalFormatting>
  <conditionalFormatting sqref="AA13:AA20">
    <cfRule type="expression" dxfId="3211" priority="82">
      <formula>ABS(AA$16-AA$19)&gt;=1000</formula>
    </cfRule>
  </conditionalFormatting>
  <conditionalFormatting sqref="AB13 AB15:AB20">
    <cfRule type="expression" dxfId="3210" priority="81">
      <formula>ABS(AB$16-AB$19)&gt;=1000</formula>
    </cfRule>
  </conditionalFormatting>
  <conditionalFormatting sqref="AC13 AC15:AC20">
    <cfRule type="expression" dxfId="3209" priority="80">
      <formula>ABS(AC$16-AC$19)&gt;=1000</formula>
    </cfRule>
  </conditionalFormatting>
  <conditionalFormatting sqref="AD13:AD20">
    <cfRule type="expression" dxfId="3208" priority="79">
      <formula>ABS(AD$16-AD$19)&gt;=1000</formula>
    </cfRule>
  </conditionalFormatting>
  <conditionalFormatting sqref="AE13:AE20">
    <cfRule type="expression" dxfId="3207" priority="78">
      <formula>ABS(AE$16-AE$19)&gt;=1000</formula>
    </cfRule>
  </conditionalFormatting>
  <conditionalFormatting sqref="D22:D29">
    <cfRule type="expression" dxfId="3206" priority="77">
      <formula>ABS(D$25-D$28)&gt;=1000</formula>
    </cfRule>
  </conditionalFormatting>
  <conditionalFormatting sqref="E22:E29">
    <cfRule type="expression" dxfId="3205" priority="76">
      <formula>ABS(E$25-E$28)&gt;=1000</formula>
    </cfRule>
  </conditionalFormatting>
  <conditionalFormatting sqref="F22:F29">
    <cfRule type="expression" dxfId="3204" priority="75">
      <formula>ABS(F$25-F$28)&gt;=1000</formula>
    </cfRule>
  </conditionalFormatting>
  <conditionalFormatting sqref="G22:G29">
    <cfRule type="expression" dxfId="3203" priority="74">
      <formula>ABS(G$25-G$28)&gt;=1000</formula>
    </cfRule>
  </conditionalFormatting>
  <conditionalFormatting sqref="H22:H29">
    <cfRule type="expression" dxfId="3202" priority="73">
      <formula>ABS(H$25-H$28)&gt;=1000</formula>
    </cfRule>
  </conditionalFormatting>
  <conditionalFormatting sqref="I22 I24:I29">
    <cfRule type="expression" dxfId="3201" priority="72">
      <formula>ABS(I$25-I$28)&gt;=1000</formula>
    </cfRule>
  </conditionalFormatting>
  <conditionalFormatting sqref="J22:J29 K22">
    <cfRule type="expression" dxfId="3200" priority="71">
      <formula>ABS(J$25-J$28)&gt;=1000</formula>
    </cfRule>
  </conditionalFormatting>
  <conditionalFormatting sqref="K23:K29 L25 L28">
    <cfRule type="expression" dxfId="3199" priority="70">
      <formula>ABS(K$25-K$28)&gt;=1000</formula>
    </cfRule>
  </conditionalFormatting>
  <conditionalFormatting sqref="L22 L26:L27 L29 L24">
    <cfRule type="expression" dxfId="3198" priority="69">
      <formula>ABS(L$25-L$28)&gt;=1000</formula>
    </cfRule>
  </conditionalFormatting>
  <conditionalFormatting sqref="M22:M29">
    <cfRule type="expression" dxfId="3197" priority="68">
      <formula>ABS(M$25-M$28)&gt;=1000</formula>
    </cfRule>
  </conditionalFormatting>
  <conditionalFormatting sqref="N22:N29">
    <cfRule type="expression" dxfId="3196" priority="67">
      <formula>ABS(N$25-N$28)&gt;=1000</formula>
    </cfRule>
  </conditionalFormatting>
  <conditionalFormatting sqref="O22:O29">
    <cfRule type="expression" dxfId="3195" priority="66">
      <formula>ABS(O$25-O$28)&gt;=1000</formula>
    </cfRule>
  </conditionalFormatting>
  <conditionalFormatting sqref="P22:P29">
    <cfRule type="expression" dxfId="3194" priority="65">
      <formula>ABS(P$25-P$28)&gt;=1000</formula>
    </cfRule>
  </conditionalFormatting>
  <conditionalFormatting sqref="Q22:Q29">
    <cfRule type="expression" dxfId="3193" priority="64">
      <formula>ABS(Q$25-Q$28)&gt;=1000</formula>
    </cfRule>
  </conditionalFormatting>
  <conditionalFormatting sqref="R22:R29">
    <cfRule type="expression" dxfId="3192" priority="63">
      <formula>ABS(R$25-R$28)&gt;=1000</formula>
    </cfRule>
  </conditionalFormatting>
  <conditionalFormatting sqref="S22:S29">
    <cfRule type="expression" dxfId="3191" priority="62">
      <formula>ABS(S$25-S$28)&gt;=1000</formula>
    </cfRule>
  </conditionalFormatting>
  <conditionalFormatting sqref="T22:T29">
    <cfRule type="expression" dxfId="3190" priority="61">
      <formula>ABS(T$25-T$28)&gt;=1000</formula>
    </cfRule>
  </conditionalFormatting>
  <conditionalFormatting sqref="U22:U29">
    <cfRule type="expression" dxfId="3189" priority="60">
      <formula>ABS(U$25-U$28)&gt;=1000</formula>
    </cfRule>
  </conditionalFormatting>
  <conditionalFormatting sqref="V22:V29">
    <cfRule type="expression" dxfId="3188" priority="59">
      <formula>ABS(V$25-V$28)&gt;=1000</formula>
    </cfRule>
  </conditionalFormatting>
  <conditionalFormatting sqref="W22:W29">
    <cfRule type="expression" dxfId="3187" priority="58">
      <formula>ABS(W$25-W$28)&gt;=1000</formula>
    </cfRule>
  </conditionalFormatting>
  <conditionalFormatting sqref="X22:X29">
    <cfRule type="expression" dxfId="3186" priority="57">
      <formula>ABS(X$25-X$28)&gt;=1000</formula>
    </cfRule>
  </conditionalFormatting>
  <conditionalFormatting sqref="Y22:Y29">
    <cfRule type="expression" dxfId="3185" priority="56">
      <formula>ABS(Y$25-Y$28)&gt;=1000</formula>
    </cfRule>
  </conditionalFormatting>
  <conditionalFormatting sqref="I23">
    <cfRule type="expression" dxfId="3184" priority="55">
      <formula>ABS(I$25-I$28)&gt;=1000</formula>
    </cfRule>
  </conditionalFormatting>
  <conditionalFormatting sqref="Q14">
    <cfRule type="expression" dxfId="3183" priority="54">
      <formula>ABS(Q$16-Q$19)&gt;=1000</formula>
    </cfRule>
  </conditionalFormatting>
  <conditionalFormatting sqref="W14">
    <cfRule type="expression" dxfId="3182" priority="53">
      <formula>ABS(W$16-W$19)&gt;=1000</formula>
    </cfRule>
  </conditionalFormatting>
  <conditionalFormatting sqref="X14">
    <cfRule type="expression" dxfId="3181" priority="52">
      <formula>ABS(X$16-X$19)&gt;=1000</formula>
    </cfRule>
  </conditionalFormatting>
  <conditionalFormatting sqref="T10:Y10">
    <cfRule type="expression" dxfId="3180" priority="51">
      <formula>ABS(T$7-T$10)&gt;=1000</formula>
    </cfRule>
  </conditionalFormatting>
  <conditionalFormatting sqref="W19">
    <cfRule type="expression" dxfId="3179" priority="50">
      <formula>ABS(W$16-W$19)&gt;=1000</formula>
    </cfRule>
  </conditionalFormatting>
  <conditionalFormatting sqref="AC5">
    <cfRule type="expression" dxfId="3178" priority="49">
      <formula>ABS(AC$7-AC$10)&gt;=1000</formula>
    </cfRule>
  </conditionalFormatting>
  <conditionalFormatting sqref="M14">
    <cfRule type="expression" dxfId="3177" priority="48">
      <formula>ABS(M$16-M$19)&gt;=1000</formula>
    </cfRule>
  </conditionalFormatting>
  <conditionalFormatting sqref="M16">
    <cfRule type="expression" dxfId="3176" priority="47">
      <formula>ABS(M$16-M$19)&gt;=1000</formula>
    </cfRule>
  </conditionalFormatting>
  <conditionalFormatting sqref="M19">
    <cfRule type="expression" dxfId="3175" priority="46">
      <formula>ABS(M$16-M$19)&gt;=1000</formula>
    </cfRule>
  </conditionalFormatting>
  <conditionalFormatting sqref="K13:K20">
    <cfRule type="expression" dxfId="3174" priority="45">
      <formula>ABS(K$16-K$19)&gt;=1000</formula>
    </cfRule>
  </conditionalFormatting>
  <conditionalFormatting sqref="AB14:AC14">
    <cfRule type="expression" dxfId="3173" priority="44">
      <formula>ABS(AB$16-AB$19)&gt;=1000</formula>
    </cfRule>
  </conditionalFormatting>
  <conditionalFormatting sqref="M5">
    <cfRule type="expression" dxfId="3172" priority="43">
      <formula>ABS(M$7-M$10)&gt;=1000</formula>
    </cfRule>
  </conditionalFormatting>
  <conditionalFormatting sqref="N5">
    <cfRule type="expression" dxfId="3171" priority="42">
      <formula>ABS(N$7-N$10)&gt;=1000</formula>
    </cfRule>
  </conditionalFormatting>
  <conditionalFormatting sqref="L23">
    <cfRule type="expression" dxfId="3170" priority="41">
      <formula>ABS(L$25-L$28)&gt;=1000</formula>
    </cfRule>
  </conditionalFormatting>
  <conditionalFormatting sqref="Y14">
    <cfRule type="expression" dxfId="3169" priority="40">
      <formula>ABS(Y$16-Y$19)&gt;=1000</formula>
    </cfRule>
  </conditionalFormatting>
  <conditionalFormatting sqref="F14">
    <cfRule type="expression" dxfId="3168" priority="39">
      <formula>ABS(F$16-F$19)&gt;=1000</formula>
    </cfRule>
  </conditionalFormatting>
  <conditionalFormatting sqref="H14">
    <cfRule type="expression" dxfId="3167" priority="38">
      <formula>ABS(H$16-H$19)&gt;=1000</formula>
    </cfRule>
  </conditionalFormatting>
  <conditionalFormatting sqref="AD5">
    <cfRule type="expression" dxfId="3166" priority="37">
      <formula>ABS(AD$7-AD$10)&gt;=1000</formula>
    </cfRule>
  </conditionalFormatting>
  <conditionalFormatting sqref="AE5">
    <cfRule type="expression" dxfId="3165" priority="36">
      <formula>ABS(AE$7-AE$10)&gt;=1000</formula>
    </cfRule>
  </conditionalFormatting>
  <conditionalFormatting sqref="D5">
    <cfRule type="expression" dxfId="3164" priority="35">
      <formula>ABS(D$7-D$10)&gt;=1000</formula>
    </cfRule>
  </conditionalFormatting>
  <conditionalFormatting sqref="E5:G5">
    <cfRule type="expression" dxfId="3163" priority="34">
      <formula>ABS(E$7-E$10)&gt;=1000</formula>
    </cfRule>
  </conditionalFormatting>
  <conditionalFormatting sqref="H5">
    <cfRule type="expression" dxfId="3162" priority="33">
      <formula>ABS(H$7-H$10)&gt;=1000</formula>
    </cfRule>
  </conditionalFormatting>
  <conditionalFormatting sqref="O4:P4">
    <cfRule type="expression" dxfId="3161" priority="32">
      <formula>ABS(O$7-O$10)&gt;=1000</formula>
    </cfRule>
  </conditionalFormatting>
  <conditionalFormatting sqref="O5:O6 O8:O9 O11">
    <cfRule type="expression" dxfId="3160" priority="31">
      <formula>ABS(O$7-O$10)&gt;=1000</formula>
    </cfRule>
  </conditionalFormatting>
  <conditionalFormatting sqref="P6 P8:P9 P11">
    <cfRule type="expression" dxfId="3159" priority="30">
      <formula>ABS(P$7-P$10)&gt;=1000</formula>
    </cfRule>
  </conditionalFormatting>
  <conditionalFormatting sqref="I5">
    <cfRule type="expression" dxfId="3158" priority="29">
      <formula>ABS(I$7-I$10)&gt;=1000</formula>
    </cfRule>
  </conditionalFormatting>
  <conditionalFormatting sqref="J5">
    <cfRule type="expression" dxfId="3157" priority="28">
      <formula>ABS(J$7-J$10)&gt;=1000</formula>
    </cfRule>
  </conditionalFormatting>
  <conditionalFormatting sqref="K5">
    <cfRule type="expression" dxfId="3156" priority="27">
      <formula>ABS(K$7-K$10)&gt;=1000</formula>
    </cfRule>
  </conditionalFormatting>
  <conditionalFormatting sqref="P5">
    <cfRule type="expression" dxfId="3155" priority="26">
      <formula>ABS(P$7-P$10)&gt;=1000</formula>
    </cfRule>
  </conditionalFormatting>
  <conditionalFormatting sqref="L7:M7">
    <cfRule type="expression" dxfId="3154" priority="20">
      <formula>ABS(L$7-L$10)&gt;=1000</formula>
    </cfRule>
  </conditionalFormatting>
  <conditionalFormatting sqref="L10">
    <cfRule type="expression" dxfId="3153" priority="19">
      <formula>ABS(L$7-L$10)&gt;=1000</formula>
    </cfRule>
  </conditionalFormatting>
  <conditionalFormatting sqref="M10">
    <cfRule type="expression" dxfId="3152" priority="18">
      <formula>ABS(M$7-M$10)&gt;=1000</formula>
    </cfRule>
  </conditionalFormatting>
  <conditionalFormatting sqref="N7">
    <cfRule type="expression" dxfId="3151" priority="17">
      <formula>ABS(N$7-N$10)&gt;=1000</formula>
    </cfRule>
  </conditionalFormatting>
  <conditionalFormatting sqref="N10">
    <cfRule type="expression" dxfId="3150" priority="16">
      <formula>ABS(N$7-N$10)&gt;=1000</formula>
    </cfRule>
  </conditionalFormatting>
  <conditionalFormatting sqref="O7">
    <cfRule type="expression" dxfId="3149" priority="15">
      <formula>ABS(O$7-O$10)&gt;=1000</formula>
    </cfRule>
  </conditionalFormatting>
  <conditionalFormatting sqref="O10">
    <cfRule type="expression" dxfId="3148" priority="14">
      <formula>ABS(O$7-O$10)&gt;=1000</formula>
    </cfRule>
  </conditionalFormatting>
  <conditionalFormatting sqref="P7">
    <cfRule type="expression" dxfId="3147" priority="13">
      <formula>ABS(P$7-P$10)&gt;=1000</formula>
    </cfRule>
  </conditionalFormatting>
  <conditionalFormatting sqref="P10">
    <cfRule type="expression" dxfId="3146" priority="12">
      <formula>ABS(P$7-P$10)&gt;=1000</formula>
    </cfRule>
  </conditionalFormatting>
  <conditionalFormatting sqref="H7:K7">
    <cfRule type="expression" dxfId="3145" priority="11">
      <formula>ABS(H$7-H$10)&gt;=1000</formula>
    </cfRule>
  </conditionalFormatting>
  <conditionalFormatting sqref="D7">
    <cfRule type="expression" dxfId="3144" priority="10">
      <formula>ABS(D$7-D$10)&gt;=1000</formula>
    </cfRule>
  </conditionalFormatting>
  <conditionalFormatting sqref="E7">
    <cfRule type="expression" dxfId="3143" priority="9">
      <formula>ABS(E$7-E$10)&gt;=1000</formula>
    </cfRule>
  </conditionalFormatting>
  <conditionalFormatting sqref="F7">
    <cfRule type="expression" dxfId="3142" priority="8">
      <formula>ABS(F$7-F$10)&gt;=1000</formula>
    </cfRule>
  </conditionalFormatting>
  <conditionalFormatting sqref="G7">
    <cfRule type="expression" dxfId="3141" priority="7">
      <formula>ABS(G$7-G$10)&gt;=1000</formula>
    </cfRule>
  </conditionalFormatting>
  <conditionalFormatting sqref="D10">
    <cfRule type="expression" dxfId="3140" priority="5">
      <formula>ABS(D$7-D$10)&gt;=1000</formula>
    </cfRule>
  </conditionalFormatting>
  <conditionalFormatting sqref="E10">
    <cfRule type="expression" dxfId="3139" priority="4">
      <formula>ABS(E$7-E$10)&gt;=1000</formula>
    </cfRule>
  </conditionalFormatting>
  <conditionalFormatting sqref="F10">
    <cfRule type="expression" dxfId="3138" priority="3">
      <formula>ABS(F$7-F$10)&gt;=1000</formula>
    </cfRule>
  </conditionalFormatting>
  <conditionalFormatting sqref="G10">
    <cfRule type="expression" dxfId="3137" priority="2">
      <formula>ABS(G$7-G$10)&gt;=1000</formula>
    </cfRule>
  </conditionalFormatting>
  <conditionalFormatting sqref="H10:K10">
    <cfRule type="expression" dxfId="3136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63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9">
    <pageSetUpPr fitToPage="1"/>
  </sheetPr>
  <dimension ref="A1:BA223"/>
  <sheetViews>
    <sheetView view="pageBreakPreview" topLeftCell="B1" zoomScale="110" zoomScaleNormal="100" zoomScaleSheetLayoutView="110" workbookViewId="0">
      <selection activeCell="H7" sqref="H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123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46141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124</v>
      </c>
      <c r="C4" s="66" t="s" ph="1">
        <v>125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131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132</v>
      </c>
      <c r="D5" s="141" t="s" ph="1">
        <v>117</v>
      </c>
      <c r="E5" s="141" t="s" ph="1">
        <v>117</v>
      </c>
      <c r="F5" s="141" t="s" ph="1">
        <v>121</v>
      </c>
      <c r="G5" s="141" t="s" ph="1">
        <v>121</v>
      </c>
      <c r="H5" s="141" t="s" ph="1">
        <v>117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136</v>
      </c>
      <c r="N5" s="69" t="s" ph="1">
        <v>64</v>
      </c>
      <c r="O5" s="69" t="s" ph="1">
        <v>137</v>
      </c>
      <c r="P5" s="141" t="s" ph="1">
        <v>138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62" t="s" ph="1">
        <v>54</v>
      </c>
      <c r="D6" s="151">
        <v>0.99670000000000003</v>
      </c>
      <c r="E6" s="151">
        <v>0.26889999999999997</v>
      </c>
      <c r="F6" s="151">
        <v>0.73</v>
      </c>
      <c r="G6" s="151">
        <v>0.23</v>
      </c>
      <c r="H6" s="151">
        <v>0.41830000000000001</v>
      </c>
      <c r="I6" s="151">
        <v>0</v>
      </c>
      <c r="J6" s="151">
        <v>0</v>
      </c>
      <c r="K6" s="151">
        <v>0</v>
      </c>
      <c r="L6" s="151">
        <v>0.31169999999999998</v>
      </c>
      <c r="M6" s="151">
        <v>9.4399999999999998E-2</v>
      </c>
      <c r="N6" s="151">
        <v>0.74890000000000001</v>
      </c>
      <c r="O6" s="151">
        <v>0.1123</v>
      </c>
      <c r="P6" s="151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140</v>
      </c>
      <c r="D7" s="72" ph="1">
        <f>((D6*5885)*4.48)*LOOKUP(D8,密度!$A$2:$A$50,密度!$B$2:$B$50)</f>
        <v>20486.169886336</v>
      </c>
      <c r="E7" s="72" ph="1">
        <f>((E6*5885)*4.48)*LOOKUP(E8,密度!$A$2:$A$50,密度!$B$2:$B$50)</f>
        <v>5580.8502435840001</v>
      </c>
      <c r="F7" s="72" ph="1">
        <f>((F6*5885)*4.48)*LOOKUP(F8,密度!$A$2:$A$50,密度!$B$2:$B$50)</f>
        <v>15150.690508800004</v>
      </c>
      <c r="G7" s="72" ph="1">
        <f>((G6*5885)*4.48)*LOOKUP(G8,密度!$A$2:$A$50,密度!$B$2:$B$50)</f>
        <v>4773.5052288000006</v>
      </c>
      <c r="H7" s="72" ph="1">
        <f>IF(H6=0, 0, IF(H6*6.3&lt;=1.1, 13.823*(H6*6.3)^2-4.189*(H6*6.3)^3, 11.151+15.2058*(H6*6.3-1.1))) * LOOKUP(H8, 密度!$A$2:$A$50, 密度!$B$2:$B$50)*1000</f>
        <v>26893.325366887198</v>
      </c>
      <c r="I7" s="72" ph="1">
        <f>IF(I6=0, 0, IF(I6*6.3&lt;=1.1, 13.823*(I6*6.3)^2-4.189*(I6*6.3)^3, 11.151+15.2058*(I6*6.3-1.1))) * LOOKUP(I8, 密度!$A$2:$A$50, 密度!$B$2:$B$50)*1000</f>
        <v>0</v>
      </c>
      <c r="J7" s="72" ph="1">
        <f>IF(J6=0, 0, IF(J6*6.3&lt;=1.1, 13.823*(J6*6.3)^2-4.189*(J6*6.3)^3, 11.151+15.2058*(J6*6.3-1.1))) * LOOKUP(J8, 密度!$A$2:$A$50, 密度!$B$2:$B$50)*1000</f>
        <v>0</v>
      </c>
      <c r="K7" s="72" ph="1">
        <f>IF(K6=0, 0, IF(K6*6.3&lt;=1.1, 13.823*(K6*6.3)^2-4.189*(K6*6.3)^3, 11.151+15.2058*(K6*6.3-1.1))) * LOOKUP(K8, 密度!$A$2:$A$50, 密度!$B$2:$B$50)*1000</f>
        <v>0</v>
      </c>
      <c r="L7" s="72" ph="1">
        <f>(L6*6650)*26.42*LOOKUP(L8,密度!$A$2:$A$50,密度!$B$2:$B$50)</f>
        <v>42693.630914759997</v>
      </c>
      <c r="M7" s="72" ph="1">
        <f>(M6*6650)*26.42*LOOKUP(M8,密度!$A$2:$A$50,密度!$B$2:$B$50)</f>
        <v>13056.04199424</v>
      </c>
      <c r="N7" s="72" ph="1">
        <f>(N6*5150)*18.32*LOOKUP(N8,密度!$A$2:$A$50,密度!$B$2:$B$50)</f>
        <v>55515.375554039994</v>
      </c>
      <c r="O7" s="72" ph="1">
        <f>(O6*12400)*81.71*LOOKUP(O8,密度!$A$2:$A$50,密度!$B$2:$B$50)</f>
        <v>88705.078052319994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118</v>
      </c>
      <c r="D8" s="73">
        <v>25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62" t="s" ph="1">
        <v>141</v>
      </c>
      <c r="D9" s="151">
        <v>0</v>
      </c>
      <c r="E9" s="151">
        <v>0.41420000000000001</v>
      </c>
      <c r="F9" s="151">
        <v>0</v>
      </c>
      <c r="G9" s="151">
        <v>0.214</v>
      </c>
      <c r="H9" s="151">
        <v>0.26719999999999999</v>
      </c>
      <c r="I9" s="151">
        <v>0.14910000000000001</v>
      </c>
      <c r="J9" s="151">
        <v>0</v>
      </c>
      <c r="K9" s="151">
        <v>0</v>
      </c>
      <c r="L9" s="151">
        <v>0.31850000000000001</v>
      </c>
      <c r="M9" s="151">
        <v>9.4399999999999998E-2</v>
      </c>
      <c r="N9" s="151">
        <v>0.81940000000000002</v>
      </c>
      <c r="O9" s="151">
        <v>0.1893</v>
      </c>
      <c r="P9" s="151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62" t="s" ph="1">
        <v>140</v>
      </c>
      <c r="D10" s="72" ph="1">
        <f>((D9*5885)*4.48)*LOOKUP(D11,密度!$A$2:$A$50,密度!$B$2:$B$50)</f>
        <v>0</v>
      </c>
      <c r="E10" s="72" ph="1">
        <f>((E9*5885)*4.48)*LOOKUP(E11,密度!$A$2:$A$50,密度!$B$2:$B$50)</f>
        <v>8580.0798357120002</v>
      </c>
      <c r="F10" s="72" ph="1">
        <f>((F9*5885)*4.48)*LOOKUP(F11,密度!$A$2:$A$50,密度!$B$2:$B$50)</f>
        <v>0</v>
      </c>
      <c r="G10" s="72" ph="1">
        <f>((G9*5885)*4.48)*LOOKUP(G11,密度!$A$2:$A$50,密度!$B$2:$B$50)</f>
        <v>4432.9721990400003</v>
      </c>
      <c r="H10" s="72" ph="1">
        <f>IF(H9=0, 0, IF(H9*6.3&lt;=1.1, 13.823*(H9*6.3)^2-4.189*(H9*6.3)^3, 11.151+15.2058*(H9*6.3-1.1))) * LOOKUP(H11, 密度!$A$2:$A$50, 密度!$B$2:$B$50)*1000</f>
        <v>15608.726698444798</v>
      </c>
      <c r="I10" s="72" ph="1">
        <f>IF(I9=0, 0, IF(I9*6.3&lt;=1.1, 13.823*(I9*6.3)^2-4.189*(I9*6.3)^3, 11.151+15.2058*(I9*6.3-1.1))) * LOOKUP(I11, 密度!$A$2:$A$50, 密度!$B$2:$B$50)*1000</f>
        <v>6801.7883531416373</v>
      </c>
      <c r="J10" s="72" ph="1">
        <f>IF(J9=0, 0, IF(J9*6.3&lt;=1.1, 13.823*(J9*6.3)^2-4.189*(J9*6.3)^3, 11.151+15.2058*(J9*6.3-1.1))) * LOOKUP(J11, 密度!$A$2:$A$50, 密度!$B$2:$B$50)*1000</f>
        <v>0</v>
      </c>
      <c r="K10" s="72" ph="1">
        <f>IF(K9=0, 0, IF(K9*6.3&lt;=1.1, 13.823*(K9*6.3)^2-4.189*(K9*6.3)^3, 11.151+15.2058*(K9*6.3-1.1))) * LOOKUP(K11, 密度!$A$2:$A$50, 密度!$B$2:$B$50)*1000</f>
        <v>0</v>
      </c>
      <c r="L10" s="72" ph="1">
        <f>(L9*6650)*26.42*LOOKUP(L11,密度!$A$2:$A$50,密度!$B$2:$B$50)</f>
        <v>43625.028701800002</v>
      </c>
      <c r="M10" s="72" ph="1">
        <f>(M9*6650)*26.42*LOOKUP(M11,密度!$A$2:$A$50,密度!$B$2:$B$50)</f>
        <v>13017.895530080001</v>
      </c>
      <c r="N10" s="72" ph="1">
        <f>(N9*5150)*18.32*LOOKUP(N11,密度!$A$2:$A$50,密度!$B$2:$B$50)</f>
        <v>60679.638816880004</v>
      </c>
      <c r="O10" s="72" ph="1">
        <f>(O9*12400)*81.71*LOOKUP(O11,密度!$A$2:$A$50,密度!$B$2:$B$50)</f>
        <v>149526.90360912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142</v>
      </c>
      <c r="B11" s="296" ph="1"/>
      <c r="C11" s="162" t="s" ph="1">
        <v>118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124</v>
      </c>
      <c r="C13" s="162" t="s" ph="1">
        <v>143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62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62" t="s" ph="1">
        <v>145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146</v>
      </c>
      <c r="B17" s="277" ph="1"/>
      <c r="C17" s="78" t="s" ph="1">
        <v>147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148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62" t="s" ph="1">
        <v>149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118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124</v>
      </c>
      <c r="C22" s="84" t="s" ph="1">
        <v>143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151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152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62" t="s" ph="1">
        <v>153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62" t="s" ph="1">
        <v>148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62" t="s" ph="1">
        <v>149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62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156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157</v>
      </c>
      <c r="E32" s="162" t="s" ph="1">
        <v>1</v>
      </c>
      <c r="F32" s="161" t="s" ph="1">
        <v>159</v>
      </c>
      <c r="G32" s="96" t="s" ph="1">
        <v>157</v>
      </c>
      <c r="H32" s="162" t="s" ph="1">
        <v>1</v>
      </c>
      <c r="I32" s="161" t="s" ph="1">
        <v>159</v>
      </c>
      <c r="J32" s="96" t="s" ph="1">
        <v>157</v>
      </c>
      <c r="K32" s="162" t="s" ph="1">
        <v>1</v>
      </c>
      <c r="L32" s="161" t="s" ph="1">
        <v>159</v>
      </c>
      <c r="M32" s="96" t="s" ph="1">
        <v>157</v>
      </c>
      <c r="N32" s="162" t="s" ph="1">
        <v>1</v>
      </c>
      <c r="O32" s="161" t="s" ph="1">
        <v>159</v>
      </c>
      <c r="P32" s="96" t="s" ph="1">
        <v>157</v>
      </c>
      <c r="Q32" s="97" t="s" ph="1">
        <v>1</v>
      </c>
      <c r="R32" s="98" t="s" ph="1">
        <v>159</v>
      </c>
      <c r="S32" s="96" t="s" ph="1">
        <v>119</v>
      </c>
      <c r="T32" s="162" t="s" ph="1">
        <v>1</v>
      </c>
      <c r="U32" s="98" t="s" ph="1">
        <v>159</v>
      </c>
      <c r="V32" s="96" t="s" ph="1">
        <v>163</v>
      </c>
      <c r="W32" s="162" t="s" ph="1">
        <v>1</v>
      </c>
      <c r="X32" s="98" t="s" ph="1">
        <v>159</v>
      </c>
      <c r="Y32" s="99" t="s" ph="1">
        <v>157</v>
      </c>
      <c r="Z32" s="162" t="s" ph="1">
        <v>1</v>
      </c>
      <c r="AA32" s="161" t="s" ph="1">
        <v>159</v>
      </c>
      <c r="AB32" s="96" t="s" ph="1">
        <v>164</v>
      </c>
      <c r="AC32" s="162" t="s" ph="1">
        <v>165</v>
      </c>
      <c r="AD32" s="263" t="s" ph="1">
        <v>166</v>
      </c>
      <c r="AE32" s="264"/>
    </row>
    <row r="33" spans="1:31" ph="1">
      <c r="A33" s="63"/>
      <c r="B33" s="265" t="s" ph="1">
        <v>167</v>
      </c>
      <c r="C33" s="266" ph="1"/>
      <c r="D33" s="245" ph="1">
        <f>O10+P10</f>
        <v>149526.90360912</v>
      </c>
      <c r="E33" s="245" ph="1">
        <f>H10+I10+J10+K10</f>
        <v>22410.515051586437</v>
      </c>
      <c r="F33" s="269" ph="1">
        <f>L10+N10</f>
        <v>104304.66751868001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168</v>
      </c>
      <c r="AD35" s="244"/>
      <c r="AE35" s="244"/>
    </row>
    <row r="36" spans="1:31" ht="28.2" ph="1">
      <c r="A36" s="63"/>
      <c r="B36" s="102" t="s" ph="1">
        <v>169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60" t="s" ph="1">
        <v>171</v>
      </c>
      <c r="AA36" s="160" ph="1"/>
      <c r="AB36" s="231" t="s" ph="1">
        <v>172</v>
      </c>
      <c r="AC36" s="231" ph="1"/>
      <c r="AD36" s="231" ph="1"/>
      <c r="AE36" s="231" ph="1"/>
    </row>
    <row r="37" spans="1:31" s="160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3135" priority="131">
      <formula>ABS(D$7-D$10)&gt;=1000</formula>
    </cfRule>
  </conditionalFormatting>
  <conditionalFormatting sqref="E4 E6 E8:E9 E11">
    <cfRule type="expression" dxfId="3134" priority="130">
      <formula>ABS(E$7-E$10)&gt;=1000</formula>
    </cfRule>
  </conditionalFormatting>
  <conditionalFormatting sqref="F4 F6 F8:F9 F11">
    <cfRule type="expression" dxfId="3133" priority="129">
      <formula>ABS(F$7-F$10)&gt;=1000</formula>
    </cfRule>
  </conditionalFormatting>
  <conditionalFormatting sqref="G4 G6 G8:G9 G11">
    <cfRule type="expression" dxfId="3132" priority="128">
      <formula>ABS(G$7-G$10)&gt;=1000</formula>
    </cfRule>
  </conditionalFormatting>
  <conditionalFormatting sqref="H4:K4 H6 H8:H9 H11">
    <cfRule type="expression" dxfId="3131" priority="127">
      <formula>ABS(H$7-H$10)&gt;=1000</formula>
    </cfRule>
  </conditionalFormatting>
  <conditionalFormatting sqref="I6 I8:I9 I11">
    <cfRule type="expression" dxfId="3130" priority="126">
      <formula>ABS(I$7-I$10)&gt;=1000</formula>
    </cfRule>
  </conditionalFormatting>
  <conditionalFormatting sqref="J6 J8:J9 J11">
    <cfRule type="expression" dxfId="3129" priority="125">
      <formula>ABS(J$7-J$10)&gt;=1000</formula>
    </cfRule>
  </conditionalFormatting>
  <conditionalFormatting sqref="K6 K8:K9 K11">
    <cfRule type="expression" dxfId="3128" priority="124">
      <formula>ABS(K$7-K$10)&gt;=1000</formula>
    </cfRule>
  </conditionalFormatting>
  <conditionalFormatting sqref="L4:L6 M4:N4 Q4:S4 L8:L9 L11">
    <cfRule type="expression" dxfId="3127" priority="123">
      <formula>ABS(L$7-L$10)&gt;=1000</formula>
    </cfRule>
  </conditionalFormatting>
  <conditionalFormatting sqref="M6 M8:M9 M11">
    <cfRule type="expression" dxfId="3126" priority="122">
      <formula>ABS(M$7-M$10)&gt;=1000</formula>
    </cfRule>
  </conditionalFormatting>
  <conditionalFormatting sqref="N6 N8:N9 N11">
    <cfRule type="expression" dxfId="3125" priority="121">
      <formula>ABS(N$7-N$10)&gt;=1000</formula>
    </cfRule>
  </conditionalFormatting>
  <conditionalFormatting sqref="Q5:Q11">
    <cfRule type="expression" dxfId="3124" priority="120">
      <formula>ABS(Q$7-Q$10)&gt;=1000</formula>
    </cfRule>
  </conditionalFormatting>
  <conditionalFormatting sqref="R5:R11">
    <cfRule type="expression" dxfId="3123" priority="119">
      <formula>ABS(R$7-R$10)&gt;=1000</formula>
    </cfRule>
  </conditionalFormatting>
  <conditionalFormatting sqref="S5:S11">
    <cfRule type="expression" dxfId="3122" priority="118">
      <formula>ABS(S$7-S$10)&gt;=1000</formula>
    </cfRule>
  </conditionalFormatting>
  <conditionalFormatting sqref="T4:T9 T11">
    <cfRule type="expression" dxfId="3121" priority="117">
      <formula>ABS(T$7-T$10)&gt;=1000</formula>
    </cfRule>
  </conditionalFormatting>
  <conditionalFormatting sqref="U4:U9 U11">
    <cfRule type="expression" dxfId="3120" priority="116">
      <formula>ABS(U$7-U$10)&gt;=1000</formula>
    </cfRule>
  </conditionalFormatting>
  <conditionalFormatting sqref="V4:V9 V11">
    <cfRule type="expression" dxfId="3119" priority="115">
      <formula>ABS(V$7-V$10)&gt;=1000</formula>
    </cfRule>
  </conditionalFormatting>
  <conditionalFormatting sqref="W4:W9 W11">
    <cfRule type="expression" dxfId="3118" priority="114">
      <formula>ABS(W$7-W$10)&gt;=1000</formula>
    </cfRule>
  </conditionalFormatting>
  <conditionalFormatting sqref="X4:X9 X11">
    <cfRule type="expression" dxfId="3117" priority="113">
      <formula>ABS(X$7-X$10)&gt;=1000</formula>
    </cfRule>
  </conditionalFormatting>
  <conditionalFormatting sqref="Y4:Y9 Y11">
    <cfRule type="expression" dxfId="3116" priority="112">
      <formula>ABS(Y$7-Y$10)&gt;=1000</formula>
    </cfRule>
  </conditionalFormatting>
  <conditionalFormatting sqref="Z4:Z11">
    <cfRule type="expression" dxfId="3115" priority="111">
      <formula>ABS(Z$7-Z$10)&gt;=1000</formula>
    </cfRule>
  </conditionalFormatting>
  <conditionalFormatting sqref="AA4:AA11">
    <cfRule type="expression" dxfId="3114" priority="110">
      <formula>ABS(AA$7-AA$10)&gt;=1000</formula>
    </cfRule>
  </conditionalFormatting>
  <conditionalFormatting sqref="AB4:AB11">
    <cfRule type="expression" dxfId="3113" priority="109">
      <formula>ABS(AB$7-AB$10)&gt;=1000</formula>
    </cfRule>
  </conditionalFormatting>
  <conditionalFormatting sqref="AC4 AC6:AC11">
    <cfRule type="expression" dxfId="3112" priority="108">
      <formula>ABS(AC$7-AC$10)&gt;=1000</formula>
    </cfRule>
  </conditionalFormatting>
  <conditionalFormatting sqref="AD4 AD6:AD11">
    <cfRule type="expression" dxfId="3111" priority="107">
      <formula>ABS(AD$7-AD$10)&gt;=1000</formula>
    </cfRule>
  </conditionalFormatting>
  <conditionalFormatting sqref="AE4 AE6:AE11">
    <cfRule type="expression" dxfId="3110" priority="106">
      <formula>ABS(AE$7-AE$10)&gt;=1000</formula>
    </cfRule>
  </conditionalFormatting>
  <conditionalFormatting sqref="D13:D20">
    <cfRule type="expression" dxfId="3109" priority="105">
      <formula>ABS(D$16-D$19)&gt;=1000</formula>
    </cfRule>
  </conditionalFormatting>
  <conditionalFormatting sqref="E13:E20">
    <cfRule type="expression" dxfId="3108" priority="104">
      <formula>ABS(E$16-E$19)&gt;=1000</formula>
    </cfRule>
  </conditionalFormatting>
  <conditionalFormatting sqref="F13 F15:F20">
    <cfRule type="expression" dxfId="3107" priority="103">
      <formula>ABS(F$16-F$19)&gt;=1000</formula>
    </cfRule>
  </conditionalFormatting>
  <conditionalFormatting sqref="G13:G20">
    <cfRule type="expression" dxfId="3106" priority="102">
      <formula>ABS(G$16-G$19)&gt;=1000</formula>
    </cfRule>
  </conditionalFormatting>
  <conditionalFormatting sqref="H13 H15:H20">
    <cfRule type="expression" dxfId="3105" priority="101">
      <formula>ABS(H$16-H$19)&gt;=1000</formula>
    </cfRule>
  </conditionalFormatting>
  <conditionalFormatting sqref="I13:I20">
    <cfRule type="expression" dxfId="3104" priority="100">
      <formula>ABS(I$16-I$19)&gt;=1000</formula>
    </cfRule>
  </conditionalFormatting>
  <conditionalFormatting sqref="J13:J20">
    <cfRule type="expression" dxfId="3103" priority="99">
      <formula>ABS(J$16-J$19)&gt;=1000</formula>
    </cfRule>
  </conditionalFormatting>
  <conditionalFormatting sqref="L13:L20">
    <cfRule type="expression" dxfId="3102" priority="98">
      <formula>ABS(L$16-L$19)&gt;=1000</formula>
    </cfRule>
  </conditionalFormatting>
  <conditionalFormatting sqref="M13 M15 M17:M18 M20">
    <cfRule type="expression" dxfId="3101" priority="97">
      <formula>ABS(M$16-M$19)&gt;=1000</formula>
    </cfRule>
  </conditionalFormatting>
  <conditionalFormatting sqref="N13:N20">
    <cfRule type="expression" dxfId="3100" priority="96">
      <formula>ABS(N$16-N$19)&gt;=1000</formula>
    </cfRule>
  </conditionalFormatting>
  <conditionalFormatting sqref="O13:O20">
    <cfRule type="expression" dxfId="3099" priority="95">
      <formula>ABS(O$16-O$19)&gt;=1000</formula>
    </cfRule>
  </conditionalFormatting>
  <conditionalFormatting sqref="P13:P20">
    <cfRule type="expression" dxfId="3098" priority="94">
      <formula>ABS(P$16-P$19)&gt;=1000</formula>
    </cfRule>
  </conditionalFormatting>
  <conditionalFormatting sqref="Q13 Q15:Q20">
    <cfRule type="expression" dxfId="3097" priority="93">
      <formula>ABS(Q$16-Q$19)&gt;=1000</formula>
    </cfRule>
  </conditionalFormatting>
  <conditionalFormatting sqref="R13:R20">
    <cfRule type="expression" dxfId="3096" priority="92">
      <formula>ABS(R$16-R$19)&gt;=1000</formula>
    </cfRule>
  </conditionalFormatting>
  <conditionalFormatting sqref="S13:S20">
    <cfRule type="expression" dxfId="3095" priority="91">
      <formula>ABS(S$16-S$19)&gt;=1000</formula>
    </cfRule>
  </conditionalFormatting>
  <conditionalFormatting sqref="T13:T20">
    <cfRule type="expression" dxfId="3094" priority="90">
      <formula>ABS(T$16-T$19)&gt;=1000</formula>
    </cfRule>
  </conditionalFormatting>
  <conditionalFormatting sqref="U13:U20">
    <cfRule type="expression" dxfId="3093" priority="89">
      <formula>ABS(U$16-U$19)&gt;=1000</formula>
    </cfRule>
  </conditionalFormatting>
  <conditionalFormatting sqref="V13:V20">
    <cfRule type="expression" dxfId="3092" priority="88">
      <formula>ABS(V$16-V$19)&gt;=1000</formula>
    </cfRule>
  </conditionalFormatting>
  <conditionalFormatting sqref="W13 W20 W15:W18">
    <cfRule type="expression" dxfId="3091" priority="87">
      <formula>ABS(W$16-W$19)&gt;=1000</formula>
    </cfRule>
  </conditionalFormatting>
  <conditionalFormatting sqref="X13 X15:X20 Y19">
    <cfRule type="expression" dxfId="3090" priority="86">
      <formula>ABS(X$16-X$19)&gt;=1000</formula>
    </cfRule>
  </conditionalFormatting>
  <conditionalFormatting sqref="Y13 Y15:Y18 Y20">
    <cfRule type="expression" dxfId="3089" priority="85">
      <formula>ABS(Y$16-Y$19)&gt;=1000</formula>
    </cfRule>
  </conditionalFormatting>
  <conditionalFormatting sqref="Z13:Z20">
    <cfRule type="expression" dxfId="3088" priority="84">
      <formula>ABS(Z$16-Z$19)&gt;=1000</formula>
    </cfRule>
  </conditionalFormatting>
  <conditionalFormatting sqref="AA13:AA20">
    <cfRule type="expression" dxfId="3087" priority="83">
      <formula>ABS(AA$16-AA$19)&gt;=1000</formula>
    </cfRule>
  </conditionalFormatting>
  <conditionalFormatting sqref="AB13 AB15:AB20">
    <cfRule type="expression" dxfId="3086" priority="82">
      <formula>ABS(AB$16-AB$19)&gt;=1000</formula>
    </cfRule>
  </conditionalFormatting>
  <conditionalFormatting sqref="AC13 AC15:AC20">
    <cfRule type="expression" dxfId="3085" priority="81">
      <formula>ABS(AC$16-AC$19)&gt;=1000</formula>
    </cfRule>
  </conditionalFormatting>
  <conditionalFormatting sqref="AD13:AD20">
    <cfRule type="expression" dxfId="3084" priority="80">
      <formula>ABS(AD$16-AD$19)&gt;=1000</formula>
    </cfRule>
  </conditionalFormatting>
  <conditionalFormatting sqref="AE13:AE20">
    <cfRule type="expression" dxfId="3083" priority="79">
      <formula>ABS(AE$16-AE$19)&gt;=1000</formula>
    </cfRule>
  </conditionalFormatting>
  <conditionalFormatting sqref="D22:D29">
    <cfRule type="expression" dxfId="3082" priority="78">
      <formula>ABS(D$25-D$28)&gt;=1000</formula>
    </cfRule>
  </conditionalFormatting>
  <conditionalFormatting sqref="E22:E29">
    <cfRule type="expression" dxfId="3081" priority="77">
      <formula>ABS(E$25-E$28)&gt;=1000</formula>
    </cfRule>
  </conditionalFormatting>
  <conditionalFormatting sqref="F22:F29">
    <cfRule type="expression" dxfId="3080" priority="76">
      <formula>ABS(F$25-F$28)&gt;=1000</formula>
    </cfRule>
  </conditionalFormatting>
  <conditionalFormatting sqref="G22:G29">
    <cfRule type="expression" dxfId="3079" priority="75">
      <formula>ABS(G$25-G$28)&gt;=1000</formula>
    </cfRule>
  </conditionalFormatting>
  <conditionalFormatting sqref="H22:H29">
    <cfRule type="expression" dxfId="3078" priority="74">
      <formula>ABS(H$25-H$28)&gt;=1000</formula>
    </cfRule>
  </conditionalFormatting>
  <conditionalFormatting sqref="I22 I24:I29">
    <cfRule type="expression" dxfId="3077" priority="73">
      <formula>ABS(I$25-I$28)&gt;=1000</formula>
    </cfRule>
  </conditionalFormatting>
  <conditionalFormatting sqref="J22:J29 K22">
    <cfRule type="expression" dxfId="3076" priority="72">
      <formula>ABS(J$25-J$28)&gt;=1000</formula>
    </cfRule>
  </conditionalFormatting>
  <conditionalFormatting sqref="K23:K29 L25 L28">
    <cfRule type="expression" dxfId="3075" priority="71">
      <formula>ABS(K$25-K$28)&gt;=1000</formula>
    </cfRule>
  </conditionalFormatting>
  <conditionalFormatting sqref="L22 L26:L27 L29 L24">
    <cfRule type="expression" dxfId="3074" priority="70">
      <formula>ABS(L$25-L$28)&gt;=1000</formula>
    </cfRule>
  </conditionalFormatting>
  <conditionalFormatting sqref="M22:M29">
    <cfRule type="expression" dxfId="3073" priority="69">
      <formula>ABS(M$25-M$28)&gt;=1000</formula>
    </cfRule>
  </conditionalFormatting>
  <conditionalFormatting sqref="N22:N29">
    <cfRule type="expression" dxfId="3072" priority="68">
      <formula>ABS(N$25-N$28)&gt;=1000</formula>
    </cfRule>
  </conditionalFormatting>
  <conditionalFormatting sqref="O22:O29">
    <cfRule type="expression" dxfId="3071" priority="67">
      <formula>ABS(O$25-O$28)&gt;=1000</formula>
    </cfRule>
  </conditionalFormatting>
  <conditionalFormatting sqref="P22:P29">
    <cfRule type="expression" dxfId="3070" priority="66">
      <formula>ABS(P$25-P$28)&gt;=1000</formula>
    </cfRule>
  </conditionalFormatting>
  <conditionalFormatting sqref="Q22:Q29">
    <cfRule type="expression" dxfId="3069" priority="65">
      <formula>ABS(Q$25-Q$28)&gt;=1000</formula>
    </cfRule>
  </conditionalFormatting>
  <conditionalFormatting sqref="R22:R29">
    <cfRule type="expression" dxfId="3068" priority="64">
      <formula>ABS(R$25-R$28)&gt;=1000</formula>
    </cfRule>
  </conditionalFormatting>
  <conditionalFormatting sqref="S22:S29">
    <cfRule type="expression" dxfId="3067" priority="63">
      <formula>ABS(S$25-S$28)&gt;=1000</formula>
    </cfRule>
  </conditionalFormatting>
  <conditionalFormatting sqref="T22:T29">
    <cfRule type="expression" dxfId="3066" priority="62">
      <formula>ABS(T$25-T$28)&gt;=1000</formula>
    </cfRule>
  </conditionalFormatting>
  <conditionalFormatting sqref="U22:U29">
    <cfRule type="expression" dxfId="3065" priority="61">
      <formula>ABS(U$25-U$28)&gt;=1000</formula>
    </cfRule>
  </conditionalFormatting>
  <conditionalFormatting sqref="V22:V29">
    <cfRule type="expression" dxfId="3064" priority="60">
      <formula>ABS(V$25-V$28)&gt;=1000</formula>
    </cfRule>
  </conditionalFormatting>
  <conditionalFormatting sqref="W22:W29">
    <cfRule type="expression" dxfId="3063" priority="59">
      <formula>ABS(W$25-W$28)&gt;=1000</formula>
    </cfRule>
  </conditionalFormatting>
  <conditionalFormatting sqref="X22:X29">
    <cfRule type="expression" dxfId="3062" priority="58">
      <formula>ABS(X$25-X$28)&gt;=1000</formula>
    </cfRule>
  </conditionalFormatting>
  <conditionalFormatting sqref="Y22:Y29">
    <cfRule type="expression" dxfId="3061" priority="57">
      <formula>ABS(Y$25-Y$28)&gt;=1000</formula>
    </cfRule>
  </conditionalFormatting>
  <conditionalFormatting sqref="I23">
    <cfRule type="expression" dxfId="3060" priority="56">
      <formula>ABS(I$25-I$28)&gt;=1000</formula>
    </cfRule>
  </conditionalFormatting>
  <conditionalFormatting sqref="Q14">
    <cfRule type="expression" dxfId="3059" priority="55">
      <formula>ABS(Q$16-Q$19)&gt;=1000</formula>
    </cfRule>
  </conditionalFormatting>
  <conditionalFormatting sqref="W14">
    <cfRule type="expression" dxfId="3058" priority="54">
      <formula>ABS(W$16-W$19)&gt;=1000</formula>
    </cfRule>
  </conditionalFormatting>
  <conditionalFormatting sqref="X14">
    <cfRule type="expression" dxfId="3057" priority="53">
      <formula>ABS(X$16-X$19)&gt;=1000</formula>
    </cfRule>
  </conditionalFormatting>
  <conditionalFormatting sqref="T10:Y10">
    <cfRule type="expression" dxfId="3056" priority="52">
      <formula>ABS(T$7-T$10)&gt;=1000</formula>
    </cfRule>
  </conditionalFormatting>
  <conditionalFormatting sqref="W19">
    <cfRule type="expression" dxfId="3055" priority="51">
      <formula>ABS(W$16-W$19)&gt;=1000</formula>
    </cfRule>
  </conditionalFormatting>
  <conditionalFormatting sqref="AC5">
    <cfRule type="expression" dxfId="3054" priority="50">
      <formula>ABS(AC$7-AC$10)&gt;=1000</formula>
    </cfRule>
  </conditionalFormatting>
  <conditionalFormatting sqref="M14">
    <cfRule type="expression" dxfId="3053" priority="49">
      <formula>ABS(M$16-M$19)&gt;=1000</formula>
    </cfRule>
  </conditionalFormatting>
  <conditionalFormatting sqref="M16">
    <cfRule type="expression" dxfId="3052" priority="48">
      <formula>ABS(M$16-M$19)&gt;=1000</formula>
    </cfRule>
  </conditionalFormatting>
  <conditionalFormatting sqref="M19">
    <cfRule type="expression" dxfId="3051" priority="47">
      <formula>ABS(M$16-M$19)&gt;=1000</formula>
    </cfRule>
  </conditionalFormatting>
  <conditionalFormatting sqref="K13:K20">
    <cfRule type="expression" dxfId="3050" priority="46">
      <formula>ABS(K$16-K$19)&gt;=1000</formula>
    </cfRule>
  </conditionalFormatting>
  <conditionalFormatting sqref="AB14:AC14">
    <cfRule type="expression" dxfId="3049" priority="45">
      <formula>ABS(AB$16-AB$19)&gt;=1000</formula>
    </cfRule>
  </conditionalFormatting>
  <conditionalFormatting sqref="M5">
    <cfRule type="expression" dxfId="3048" priority="44">
      <formula>ABS(M$7-M$10)&gt;=1000</formula>
    </cfRule>
  </conditionalFormatting>
  <conditionalFormatting sqref="N5">
    <cfRule type="expression" dxfId="3047" priority="43">
      <formula>ABS(N$7-N$10)&gt;=1000</formula>
    </cfRule>
  </conditionalFormatting>
  <conditionalFormatting sqref="L23">
    <cfRule type="expression" dxfId="3046" priority="42">
      <formula>ABS(L$25-L$28)&gt;=1000</formula>
    </cfRule>
  </conditionalFormatting>
  <conditionalFormatting sqref="Y14">
    <cfRule type="expression" dxfId="3045" priority="41">
      <formula>ABS(Y$16-Y$19)&gt;=1000</formula>
    </cfRule>
  </conditionalFormatting>
  <conditionalFormatting sqref="F14">
    <cfRule type="expression" dxfId="3044" priority="40">
      <formula>ABS(F$16-F$19)&gt;=1000</formula>
    </cfRule>
  </conditionalFormatting>
  <conditionalFormatting sqref="H14">
    <cfRule type="expression" dxfId="3043" priority="39">
      <formula>ABS(H$16-H$19)&gt;=1000</formula>
    </cfRule>
  </conditionalFormatting>
  <conditionalFormatting sqref="AD5">
    <cfRule type="expression" dxfId="3042" priority="38">
      <formula>ABS(AD$7-AD$10)&gt;=1000</formula>
    </cfRule>
  </conditionalFormatting>
  <conditionalFormatting sqref="AE5">
    <cfRule type="expression" dxfId="3041" priority="37">
      <formula>ABS(AE$7-AE$10)&gt;=1000</formula>
    </cfRule>
  </conditionalFormatting>
  <conditionalFormatting sqref="D5">
    <cfRule type="expression" dxfId="3040" priority="36">
      <formula>ABS(D$7-D$10)&gt;=1000</formula>
    </cfRule>
  </conditionalFormatting>
  <conditionalFormatting sqref="E5:G5">
    <cfRule type="expression" dxfId="3039" priority="35">
      <formula>ABS(E$7-E$10)&gt;=1000</formula>
    </cfRule>
  </conditionalFormatting>
  <conditionalFormatting sqref="H5">
    <cfRule type="expression" dxfId="3038" priority="34">
      <formula>ABS(H$7-H$10)&gt;=1000</formula>
    </cfRule>
  </conditionalFormatting>
  <conditionalFormatting sqref="O4:P4">
    <cfRule type="expression" dxfId="3037" priority="33">
      <formula>ABS(O$7-O$10)&gt;=1000</formula>
    </cfRule>
  </conditionalFormatting>
  <conditionalFormatting sqref="O5:O6 O8:O9 O11">
    <cfRule type="expression" dxfId="3036" priority="32">
      <formula>ABS(O$7-O$10)&gt;=1000</formula>
    </cfRule>
  </conditionalFormatting>
  <conditionalFormatting sqref="P6 P8:P9 P11">
    <cfRule type="expression" dxfId="3035" priority="31">
      <formula>ABS(P$7-P$10)&gt;=1000</formula>
    </cfRule>
  </conditionalFormatting>
  <conditionalFormatting sqref="I5">
    <cfRule type="expression" dxfId="3034" priority="30">
      <formula>ABS(I$7-I$10)&gt;=1000</formula>
    </cfRule>
  </conditionalFormatting>
  <conditionalFormatting sqref="J5">
    <cfRule type="expression" dxfId="3033" priority="29">
      <formula>ABS(J$7-J$10)&gt;=1000</formula>
    </cfRule>
  </conditionalFormatting>
  <conditionalFormatting sqref="K5">
    <cfRule type="expression" dxfId="3032" priority="28">
      <formula>ABS(K$7-K$10)&gt;=1000</formula>
    </cfRule>
  </conditionalFormatting>
  <conditionalFormatting sqref="P5">
    <cfRule type="expression" dxfId="3031" priority="27">
      <formula>ABS(P$7-P$10)&gt;=1000</formula>
    </cfRule>
  </conditionalFormatting>
  <conditionalFormatting sqref="L7:M7">
    <cfRule type="expression" dxfId="3030" priority="21">
      <formula>ABS(L$7-L$10)&gt;=1000</formula>
    </cfRule>
  </conditionalFormatting>
  <conditionalFormatting sqref="L10">
    <cfRule type="expression" dxfId="3029" priority="20">
      <formula>ABS(L$7-L$10)&gt;=1000</formula>
    </cfRule>
  </conditionalFormatting>
  <conditionalFormatting sqref="M10">
    <cfRule type="expression" dxfId="3028" priority="19">
      <formula>ABS(M$7-M$10)&gt;=1000</formula>
    </cfRule>
  </conditionalFormatting>
  <conditionalFormatting sqref="N7">
    <cfRule type="expression" dxfId="3027" priority="18">
      <formula>ABS(N$7-N$10)&gt;=1000</formula>
    </cfRule>
  </conditionalFormatting>
  <conditionalFormatting sqref="N10">
    <cfRule type="expression" dxfId="3026" priority="17">
      <formula>ABS(N$7-N$10)&gt;=1000</formula>
    </cfRule>
  </conditionalFormatting>
  <conditionalFormatting sqref="O7">
    <cfRule type="expression" dxfId="3025" priority="16">
      <formula>ABS(O$7-O$10)&gt;=1000</formula>
    </cfRule>
  </conditionalFormatting>
  <conditionalFormatting sqref="O10">
    <cfRule type="expression" dxfId="3024" priority="15">
      <formula>ABS(O$7-O$10)&gt;=1000</formula>
    </cfRule>
  </conditionalFormatting>
  <conditionalFormatting sqref="P7">
    <cfRule type="expression" dxfId="3023" priority="14">
      <formula>ABS(P$7-P$10)&gt;=1000</formula>
    </cfRule>
  </conditionalFormatting>
  <conditionalFormatting sqref="P10">
    <cfRule type="expression" dxfId="3022" priority="13">
      <formula>ABS(P$7-P$10)&gt;=1000</formula>
    </cfRule>
  </conditionalFormatting>
  <conditionalFormatting sqref="D7">
    <cfRule type="expression" dxfId="3021" priority="11">
      <formula>ABS(D$7-D$10)&gt;=1000</formula>
    </cfRule>
  </conditionalFormatting>
  <conditionalFormatting sqref="E7">
    <cfRule type="expression" dxfId="3020" priority="10">
      <formula>ABS(E$7-E$10)&gt;=1000</formula>
    </cfRule>
  </conditionalFormatting>
  <conditionalFormatting sqref="F7">
    <cfRule type="expression" dxfId="3019" priority="9">
      <formula>ABS(F$7-F$10)&gt;=1000</formula>
    </cfRule>
  </conditionalFormatting>
  <conditionalFormatting sqref="G7">
    <cfRule type="expression" dxfId="3018" priority="8">
      <formula>ABS(G$7-G$10)&gt;=1000</formula>
    </cfRule>
  </conditionalFormatting>
  <conditionalFormatting sqref="D10">
    <cfRule type="expression" dxfId="3017" priority="6">
      <formula>ABS(D$7-D$10)&gt;=1000</formula>
    </cfRule>
  </conditionalFormatting>
  <conditionalFormatting sqref="E10">
    <cfRule type="expression" dxfId="3016" priority="5">
      <formula>ABS(E$7-E$10)&gt;=1000</formula>
    </cfRule>
  </conditionalFormatting>
  <conditionalFormatting sqref="F10">
    <cfRule type="expression" dxfId="3015" priority="4">
      <formula>ABS(F$7-F$10)&gt;=1000</formula>
    </cfRule>
  </conditionalFormatting>
  <conditionalFormatting sqref="G10">
    <cfRule type="expression" dxfId="3014" priority="3">
      <formula>ABS(G$7-G$10)&gt;=1000</formula>
    </cfRule>
  </conditionalFormatting>
  <conditionalFormatting sqref="H7:K7">
    <cfRule type="expression" dxfId="3013" priority="2">
      <formula>ABS(H$7-H$10)&gt;=1000</formula>
    </cfRule>
  </conditionalFormatting>
  <conditionalFormatting sqref="H10:K10">
    <cfRule type="expression" dxfId="3012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73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0">
    <pageSetUpPr fitToPage="1"/>
  </sheetPr>
  <dimension ref="A1:BA223"/>
  <sheetViews>
    <sheetView view="pageBreakPreview" topLeftCell="B1" zoomScale="110" zoomScaleNormal="100" zoomScaleSheetLayoutView="110" workbookViewId="0">
      <selection activeCell="H10" sqref="H10:K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46141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124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137</v>
      </c>
      <c r="P5" s="141" t="s" ph="1">
        <v>121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63" t="s" ph="1">
        <v>54</v>
      </c>
      <c r="D6" s="151">
        <v>0.42149999999999999</v>
      </c>
      <c r="E6" s="151">
        <v>0</v>
      </c>
      <c r="F6" s="151">
        <v>0</v>
      </c>
      <c r="G6" s="151">
        <v>0</v>
      </c>
      <c r="H6" s="151">
        <v>0.53010000000000002</v>
      </c>
      <c r="I6" s="151">
        <v>0</v>
      </c>
      <c r="J6" s="151">
        <v>0</v>
      </c>
      <c r="K6" s="151">
        <v>0</v>
      </c>
      <c r="L6" s="151">
        <v>0.31809999999999999</v>
      </c>
      <c r="M6" s="151">
        <v>9.4500000000000001E-2</v>
      </c>
      <c r="N6" s="151">
        <v>0.83989999999999998</v>
      </c>
      <c r="O6" s="151">
        <v>0.1628</v>
      </c>
      <c r="P6" s="151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8703.5161382400001</v>
      </c>
      <c r="E7" s="72" ph="1">
        <f>((E6*5885)*4.48)*LOOKUP(E8,密度!$A$2:$A$50,密度!$B$2:$B$50)</f>
        <v>0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IF(H6=0, 0, IF(H6*6.3&lt;=1.1, 13.823*(H6*6.3)^2-4.189*(H6*6.3)^3, 11.151+15.2058*(H6*6.3-1.1))) * LOOKUP(H8, 密度!$A$2:$A$50, 密度!$B$2:$B$50)*1000</f>
        <v>35242.882819778395</v>
      </c>
      <c r="I7" s="72" ph="1">
        <f>IF(I6=0, 0, IF(I6*6.3&lt;=1.1, 13.823*(I6*6.3)^2-4.189*(I6*6.3)^3, 11.151+15.2058*(I6*6.3-1.1))) * LOOKUP(I8, 密度!$A$2:$A$50, 密度!$B$2:$B$50)*1000</f>
        <v>0</v>
      </c>
      <c r="J7" s="72" ph="1">
        <f>IF(J6=0, 0, IF(J6*6.3&lt;=1.1, 13.823*(J6*6.3)^2-4.189*(J6*6.3)^3, 11.151+15.2058*(J6*6.3-1.1))) * LOOKUP(J8, 密度!$A$2:$A$50, 密度!$B$2:$B$50)*1000</f>
        <v>0</v>
      </c>
      <c r="K7" s="72" ph="1">
        <f>IF(K6=0, 0, IF(K6*6.3&lt;=1.1, 13.823*(K6*6.3)^2-4.189*(K6*6.3)^3, 11.151+15.2058*(K6*6.3-1.1))) * LOOKUP(K8, 密度!$A$2:$A$50, 密度!$B$2:$B$50)*1000</f>
        <v>0</v>
      </c>
      <c r="L7" s="72" ph="1">
        <f>(L6*6650)*26.42*LOOKUP(L8,密度!$A$2:$A$50,密度!$B$2:$B$50)</f>
        <v>43570.24059668</v>
      </c>
      <c r="M7" s="72" ph="1">
        <f>(M6*6650)*26.42*LOOKUP(M8,密度!$A$2:$A$50,密度!$B$2:$B$50)</f>
        <v>13069.872547200001</v>
      </c>
      <c r="N7" s="72" ph="1">
        <f>(N6*5150)*18.32*LOOKUP(N8,密度!$A$2:$A$50,密度!$B$2:$B$50)</f>
        <v>62261.134901639991</v>
      </c>
      <c r="O7" s="72" ph="1">
        <f>(O6*12400)*81.71*LOOKUP(O8,密度!$A$2:$A$50,密度!$B$2:$B$50)</f>
        <v>128594.71689151999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63" t="s" ph="1">
        <v>57</v>
      </c>
      <c r="D9" s="151">
        <v>0.92949999999999999</v>
      </c>
      <c r="E9" s="151">
        <v>0</v>
      </c>
      <c r="F9" s="151">
        <v>0</v>
      </c>
      <c r="G9" s="151">
        <v>0</v>
      </c>
      <c r="H9" s="151">
        <v>0.157</v>
      </c>
      <c r="I9" s="151">
        <v>0</v>
      </c>
      <c r="J9" s="151">
        <v>0</v>
      </c>
      <c r="K9" s="151">
        <v>0</v>
      </c>
      <c r="L9" s="151">
        <v>0.35959999999999998</v>
      </c>
      <c r="M9" s="151">
        <v>9.4500000000000001E-2</v>
      </c>
      <c r="N9" s="151">
        <v>0.6512</v>
      </c>
      <c r="O9" s="151">
        <v>0.1779</v>
      </c>
      <c r="P9" s="151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63" t="s" ph="1">
        <v>55</v>
      </c>
      <c r="D10" s="72" ph="1">
        <f>((D9*5885)*4.48)*LOOKUP(D11,密度!$A$2:$A$50,密度!$B$2:$B$50)</f>
        <v>19193.16310912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IF(H9=0, 0, IF(H9*6.3&lt;=1.1, 13.823*(H9*6.3)^2-4.189*(H9*6.3)^3, 11.151+15.2058*(H9*6.3-1.1))) * LOOKUP(H11, 密度!$A$2:$A$50, 密度!$B$2:$B$50)*1000</f>
        <v>7382.651051764361</v>
      </c>
      <c r="I10" s="72" ph="1">
        <f>IF(I9=0, 0, IF(I9*6.3&lt;=1.1, 13.823*(I9*6.3)^2-4.189*(I9*6.3)^3, 11.151+15.2058*(I9*6.3-1.1))) * LOOKUP(I11, 密度!$A$2:$A$50, 密度!$B$2:$B$50)*1000</f>
        <v>0</v>
      </c>
      <c r="J10" s="72" ph="1">
        <f>IF(J9=0, 0, IF(J9*6.3&lt;=1.1, 13.823*(J9*6.3)^2-4.189*(J9*6.3)^3, 11.151+15.2058*(J9*6.3-1.1))) * LOOKUP(J11, 密度!$A$2:$A$50, 密度!$B$2:$B$50)*1000</f>
        <v>0</v>
      </c>
      <c r="K10" s="72" ph="1">
        <f>IF(K9=0, 0, IF(K9*6.3&lt;=1.1, 13.823*(K9*6.3)^2-4.189*(K9*6.3)^3, 11.151+15.2058*(K9*6.3-1.1))) * LOOKUP(K11, 密度!$A$2:$A$50, 密度!$B$2:$B$50)*1000</f>
        <v>0</v>
      </c>
      <c r="L10" s="72" ph="1">
        <f>(L9*6650)*26.42*LOOKUP(L11,密度!$A$2:$A$50,密度!$B$2:$B$50)</f>
        <v>49254.506502879995</v>
      </c>
      <c r="M10" s="72" ph="1">
        <f>(M9*6650)*26.42*LOOKUP(M11,密度!$A$2:$A$50,密度!$B$2:$B$50)</f>
        <v>13031.685673649999</v>
      </c>
      <c r="N10" s="72" ph="1">
        <f>(N9*5150)*18.32*LOOKUP(N11,密度!$A$2:$A$50,密度!$B$2:$B$50)</f>
        <v>48223.798874240005</v>
      </c>
      <c r="O10" s="72" ph="1">
        <f>(O9*12400)*81.71*LOOKUP(O11,密度!$A$2:$A$50,密度!$B$2:$B$50)</f>
        <v>140522.11385135999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63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124</v>
      </c>
      <c r="C13" s="163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63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63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63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124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151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152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63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63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63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63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156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157</v>
      </c>
      <c r="E32" s="163" t="s" ph="1">
        <v>1</v>
      </c>
      <c r="F32" s="164" t="s" ph="1">
        <v>159</v>
      </c>
      <c r="G32" s="96" t="s" ph="1">
        <v>157</v>
      </c>
      <c r="H32" s="163" t="s" ph="1">
        <v>1</v>
      </c>
      <c r="I32" s="164" t="s" ph="1">
        <v>159</v>
      </c>
      <c r="J32" s="96" t="s" ph="1">
        <v>157</v>
      </c>
      <c r="K32" s="163" t="s" ph="1">
        <v>1</v>
      </c>
      <c r="L32" s="164" t="s" ph="1">
        <v>159</v>
      </c>
      <c r="M32" s="96" t="s" ph="1">
        <v>157</v>
      </c>
      <c r="N32" s="163" t="s" ph="1">
        <v>1</v>
      </c>
      <c r="O32" s="164" t="s" ph="1">
        <v>159</v>
      </c>
      <c r="P32" s="96" t="s" ph="1">
        <v>157</v>
      </c>
      <c r="Q32" s="97" t="s" ph="1">
        <v>1</v>
      </c>
      <c r="R32" s="98" t="s" ph="1">
        <v>159</v>
      </c>
      <c r="S32" s="96" t="s" ph="1">
        <v>0</v>
      </c>
      <c r="T32" s="163" t="s" ph="1">
        <v>1</v>
      </c>
      <c r="U32" s="98" t="s" ph="1">
        <v>159</v>
      </c>
      <c r="V32" s="96" t="s" ph="1">
        <v>0</v>
      </c>
      <c r="W32" s="163" t="s" ph="1">
        <v>1</v>
      </c>
      <c r="X32" s="98" t="s" ph="1">
        <v>159</v>
      </c>
      <c r="Y32" s="99" t="s" ph="1">
        <v>157</v>
      </c>
      <c r="Z32" s="163" t="s" ph="1">
        <v>1</v>
      </c>
      <c r="AA32" s="164" t="s" ph="1">
        <v>159</v>
      </c>
      <c r="AB32" s="96" t="s" ph="1">
        <v>164</v>
      </c>
      <c r="AC32" s="163" t="s" ph="1">
        <v>165</v>
      </c>
      <c r="AD32" s="263" t="s" ph="1">
        <v>166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140522.11385135999</v>
      </c>
      <c r="E33" s="245" ph="1">
        <f>H10+I10+J10+K10</f>
        <v>7382.651051764361</v>
      </c>
      <c r="F33" s="269" ph="1">
        <f>L10+N10</f>
        <v>97478.305377120007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169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65" t="s" ph="1">
        <v>171</v>
      </c>
      <c r="AA36" s="165" ph="1"/>
      <c r="AB36" s="231" t="s" ph="1">
        <v>67</v>
      </c>
      <c r="AC36" s="231" ph="1"/>
      <c r="AD36" s="231" ph="1"/>
      <c r="AE36" s="231" ph="1"/>
    </row>
    <row r="37" spans="1:31" s="165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3011" priority="131">
      <formula>ABS(D$7-D$10)&gt;=1000</formula>
    </cfRule>
  </conditionalFormatting>
  <conditionalFormatting sqref="E4 E6 E8:E9 E11">
    <cfRule type="expression" dxfId="3010" priority="130">
      <formula>ABS(E$7-E$10)&gt;=1000</formula>
    </cfRule>
  </conditionalFormatting>
  <conditionalFormatting sqref="F4 F6 F8:F9 F11">
    <cfRule type="expression" dxfId="3009" priority="129">
      <formula>ABS(F$7-F$10)&gt;=1000</formula>
    </cfRule>
  </conditionalFormatting>
  <conditionalFormatting sqref="G4 G6 G8:G9 G11">
    <cfRule type="expression" dxfId="3008" priority="128">
      <formula>ABS(G$7-G$10)&gt;=1000</formula>
    </cfRule>
  </conditionalFormatting>
  <conditionalFormatting sqref="H4:K4 H6 H8:H9 H11">
    <cfRule type="expression" dxfId="3007" priority="127">
      <formula>ABS(H$7-H$10)&gt;=1000</formula>
    </cfRule>
  </conditionalFormatting>
  <conditionalFormatting sqref="I6 I8:I9 I11">
    <cfRule type="expression" dxfId="3006" priority="126">
      <formula>ABS(I$7-I$10)&gt;=1000</formula>
    </cfRule>
  </conditionalFormatting>
  <conditionalFormatting sqref="J6 J8:J9 J11">
    <cfRule type="expression" dxfId="3005" priority="125">
      <formula>ABS(J$7-J$10)&gt;=1000</formula>
    </cfRule>
  </conditionalFormatting>
  <conditionalFormatting sqref="K6 K8:K9 K11">
    <cfRule type="expression" dxfId="3004" priority="124">
      <formula>ABS(K$7-K$10)&gt;=1000</formula>
    </cfRule>
  </conditionalFormatting>
  <conditionalFormatting sqref="L4:L6 M4:N4 Q4:S4 L8:L9 L11">
    <cfRule type="expression" dxfId="3003" priority="123">
      <formula>ABS(L$7-L$10)&gt;=1000</formula>
    </cfRule>
  </conditionalFormatting>
  <conditionalFormatting sqref="M6 M8:M9 M11">
    <cfRule type="expression" dxfId="3002" priority="122">
      <formula>ABS(M$7-M$10)&gt;=1000</formula>
    </cfRule>
  </conditionalFormatting>
  <conditionalFormatting sqref="N6 N8:N9 N11">
    <cfRule type="expression" dxfId="3001" priority="121">
      <formula>ABS(N$7-N$10)&gt;=1000</formula>
    </cfRule>
  </conditionalFormatting>
  <conditionalFormatting sqref="Q5:Q11">
    <cfRule type="expression" dxfId="3000" priority="120">
      <formula>ABS(Q$7-Q$10)&gt;=1000</formula>
    </cfRule>
  </conditionalFormatting>
  <conditionalFormatting sqref="R5:R11">
    <cfRule type="expression" dxfId="2999" priority="119">
      <formula>ABS(R$7-R$10)&gt;=1000</formula>
    </cfRule>
  </conditionalFormatting>
  <conditionalFormatting sqref="S5:S11">
    <cfRule type="expression" dxfId="2998" priority="118">
      <formula>ABS(S$7-S$10)&gt;=1000</formula>
    </cfRule>
  </conditionalFormatting>
  <conditionalFormatting sqref="T4:T9 T11">
    <cfRule type="expression" dxfId="2997" priority="117">
      <formula>ABS(T$7-T$10)&gt;=1000</formula>
    </cfRule>
  </conditionalFormatting>
  <conditionalFormatting sqref="U4:U9 U11">
    <cfRule type="expression" dxfId="2996" priority="116">
      <formula>ABS(U$7-U$10)&gt;=1000</formula>
    </cfRule>
  </conditionalFormatting>
  <conditionalFormatting sqref="V4:V9 V11">
    <cfRule type="expression" dxfId="2995" priority="115">
      <formula>ABS(V$7-V$10)&gt;=1000</formula>
    </cfRule>
  </conditionalFormatting>
  <conditionalFormatting sqref="W4:W9 W11">
    <cfRule type="expression" dxfId="2994" priority="114">
      <formula>ABS(W$7-W$10)&gt;=1000</formula>
    </cfRule>
  </conditionalFormatting>
  <conditionalFormatting sqref="X4:X9 X11">
    <cfRule type="expression" dxfId="2993" priority="113">
      <formula>ABS(X$7-X$10)&gt;=1000</formula>
    </cfRule>
  </conditionalFormatting>
  <conditionalFormatting sqref="Y4:Y9 Y11">
    <cfRule type="expression" dxfId="2992" priority="112">
      <formula>ABS(Y$7-Y$10)&gt;=1000</formula>
    </cfRule>
  </conditionalFormatting>
  <conditionalFormatting sqref="Z4:Z11">
    <cfRule type="expression" dxfId="2991" priority="111">
      <formula>ABS(Z$7-Z$10)&gt;=1000</formula>
    </cfRule>
  </conditionalFormatting>
  <conditionalFormatting sqref="AA4:AA11">
    <cfRule type="expression" dxfId="2990" priority="110">
      <formula>ABS(AA$7-AA$10)&gt;=1000</formula>
    </cfRule>
  </conditionalFormatting>
  <conditionalFormatting sqref="AB4:AB11">
    <cfRule type="expression" dxfId="2989" priority="109">
      <formula>ABS(AB$7-AB$10)&gt;=1000</formula>
    </cfRule>
  </conditionalFormatting>
  <conditionalFormatting sqref="AC4 AC6:AC11">
    <cfRule type="expression" dxfId="2988" priority="108">
      <formula>ABS(AC$7-AC$10)&gt;=1000</formula>
    </cfRule>
  </conditionalFormatting>
  <conditionalFormatting sqref="AD4 AD6:AD11">
    <cfRule type="expression" dxfId="2987" priority="107">
      <formula>ABS(AD$7-AD$10)&gt;=1000</formula>
    </cfRule>
  </conditionalFormatting>
  <conditionalFormatting sqref="AE4 AE6:AE11">
    <cfRule type="expression" dxfId="2986" priority="106">
      <formula>ABS(AE$7-AE$10)&gt;=1000</formula>
    </cfRule>
  </conditionalFormatting>
  <conditionalFormatting sqref="D13:D20">
    <cfRule type="expression" dxfId="2985" priority="105">
      <formula>ABS(D$16-D$19)&gt;=1000</formula>
    </cfRule>
  </conditionalFormatting>
  <conditionalFormatting sqref="E13:E20">
    <cfRule type="expression" dxfId="2984" priority="104">
      <formula>ABS(E$16-E$19)&gt;=1000</formula>
    </cfRule>
  </conditionalFormatting>
  <conditionalFormatting sqref="F13 F15:F20">
    <cfRule type="expression" dxfId="2983" priority="103">
      <formula>ABS(F$16-F$19)&gt;=1000</formula>
    </cfRule>
  </conditionalFormatting>
  <conditionalFormatting sqref="G13:G20">
    <cfRule type="expression" dxfId="2982" priority="102">
      <formula>ABS(G$16-G$19)&gt;=1000</formula>
    </cfRule>
  </conditionalFormatting>
  <conditionalFormatting sqref="H13 H15:H20">
    <cfRule type="expression" dxfId="2981" priority="101">
      <formula>ABS(H$16-H$19)&gt;=1000</formula>
    </cfRule>
  </conditionalFormatting>
  <conditionalFormatting sqref="I13:I20">
    <cfRule type="expression" dxfId="2980" priority="100">
      <formula>ABS(I$16-I$19)&gt;=1000</formula>
    </cfRule>
  </conditionalFormatting>
  <conditionalFormatting sqref="J13:J20">
    <cfRule type="expression" dxfId="2979" priority="99">
      <formula>ABS(J$16-J$19)&gt;=1000</formula>
    </cfRule>
  </conditionalFormatting>
  <conditionalFormatting sqref="L13:L20">
    <cfRule type="expression" dxfId="2978" priority="98">
      <formula>ABS(L$16-L$19)&gt;=1000</formula>
    </cfRule>
  </conditionalFormatting>
  <conditionalFormatting sqref="M13 M15 M17:M18 M20">
    <cfRule type="expression" dxfId="2977" priority="97">
      <formula>ABS(M$16-M$19)&gt;=1000</formula>
    </cfRule>
  </conditionalFormatting>
  <conditionalFormatting sqref="N13:N20">
    <cfRule type="expression" dxfId="2976" priority="96">
      <formula>ABS(N$16-N$19)&gt;=1000</formula>
    </cfRule>
  </conditionalFormatting>
  <conditionalFormatting sqref="O13:O20">
    <cfRule type="expression" dxfId="2975" priority="95">
      <formula>ABS(O$16-O$19)&gt;=1000</formula>
    </cfRule>
  </conditionalFormatting>
  <conditionalFormatting sqref="P13:P20">
    <cfRule type="expression" dxfId="2974" priority="94">
      <formula>ABS(P$16-P$19)&gt;=1000</formula>
    </cfRule>
  </conditionalFormatting>
  <conditionalFormatting sqref="Q13 Q15:Q20">
    <cfRule type="expression" dxfId="2973" priority="93">
      <formula>ABS(Q$16-Q$19)&gt;=1000</formula>
    </cfRule>
  </conditionalFormatting>
  <conditionalFormatting sqref="R13:R20">
    <cfRule type="expression" dxfId="2972" priority="92">
      <formula>ABS(R$16-R$19)&gt;=1000</formula>
    </cfRule>
  </conditionalFormatting>
  <conditionalFormatting sqref="S13:S20">
    <cfRule type="expression" dxfId="2971" priority="91">
      <formula>ABS(S$16-S$19)&gt;=1000</formula>
    </cfRule>
  </conditionalFormatting>
  <conditionalFormatting sqref="T13:T20">
    <cfRule type="expression" dxfId="2970" priority="90">
      <formula>ABS(T$16-T$19)&gt;=1000</formula>
    </cfRule>
  </conditionalFormatting>
  <conditionalFormatting sqref="U13:U20">
    <cfRule type="expression" dxfId="2969" priority="89">
      <formula>ABS(U$16-U$19)&gt;=1000</formula>
    </cfRule>
  </conditionalFormatting>
  <conditionalFormatting sqref="V13:V20">
    <cfRule type="expression" dxfId="2968" priority="88">
      <formula>ABS(V$16-V$19)&gt;=1000</formula>
    </cfRule>
  </conditionalFormatting>
  <conditionalFormatting sqref="W13 W20 W15:W18">
    <cfRule type="expression" dxfId="2967" priority="87">
      <formula>ABS(W$16-W$19)&gt;=1000</formula>
    </cfRule>
  </conditionalFormatting>
  <conditionalFormatting sqref="X13 X15:X20 Y19">
    <cfRule type="expression" dxfId="2966" priority="86">
      <formula>ABS(X$16-X$19)&gt;=1000</formula>
    </cfRule>
  </conditionalFormatting>
  <conditionalFormatting sqref="Y13 Y15:Y18 Y20">
    <cfRule type="expression" dxfId="2965" priority="85">
      <formula>ABS(Y$16-Y$19)&gt;=1000</formula>
    </cfRule>
  </conditionalFormatting>
  <conditionalFormatting sqref="Z13:Z20">
    <cfRule type="expression" dxfId="2964" priority="84">
      <formula>ABS(Z$16-Z$19)&gt;=1000</formula>
    </cfRule>
  </conditionalFormatting>
  <conditionalFormatting sqref="AA13:AA20">
    <cfRule type="expression" dxfId="2963" priority="83">
      <formula>ABS(AA$16-AA$19)&gt;=1000</formula>
    </cfRule>
  </conditionalFormatting>
  <conditionalFormatting sqref="AB13 AB15:AB20">
    <cfRule type="expression" dxfId="2962" priority="82">
      <formula>ABS(AB$16-AB$19)&gt;=1000</formula>
    </cfRule>
  </conditionalFormatting>
  <conditionalFormatting sqref="AC13 AC15:AC20">
    <cfRule type="expression" dxfId="2961" priority="81">
      <formula>ABS(AC$16-AC$19)&gt;=1000</formula>
    </cfRule>
  </conditionalFormatting>
  <conditionalFormatting sqref="AD13:AD20">
    <cfRule type="expression" dxfId="2960" priority="80">
      <formula>ABS(AD$16-AD$19)&gt;=1000</formula>
    </cfRule>
  </conditionalFormatting>
  <conditionalFormatting sqref="AE13:AE20">
    <cfRule type="expression" dxfId="2959" priority="79">
      <formula>ABS(AE$16-AE$19)&gt;=1000</formula>
    </cfRule>
  </conditionalFormatting>
  <conditionalFormatting sqref="D22:D29">
    <cfRule type="expression" dxfId="2958" priority="78">
      <formula>ABS(D$25-D$28)&gt;=1000</formula>
    </cfRule>
  </conditionalFormatting>
  <conditionalFormatting sqref="E22:E29">
    <cfRule type="expression" dxfId="2957" priority="77">
      <formula>ABS(E$25-E$28)&gt;=1000</formula>
    </cfRule>
  </conditionalFormatting>
  <conditionalFormatting sqref="F22:F29">
    <cfRule type="expression" dxfId="2956" priority="76">
      <formula>ABS(F$25-F$28)&gt;=1000</formula>
    </cfRule>
  </conditionalFormatting>
  <conditionalFormatting sqref="G22:G29">
    <cfRule type="expression" dxfId="2955" priority="75">
      <formula>ABS(G$25-G$28)&gt;=1000</formula>
    </cfRule>
  </conditionalFormatting>
  <conditionalFormatting sqref="H22:H29">
    <cfRule type="expression" dxfId="2954" priority="74">
      <formula>ABS(H$25-H$28)&gt;=1000</formula>
    </cfRule>
  </conditionalFormatting>
  <conditionalFormatting sqref="I22 I24:I29">
    <cfRule type="expression" dxfId="2953" priority="73">
      <formula>ABS(I$25-I$28)&gt;=1000</formula>
    </cfRule>
  </conditionalFormatting>
  <conditionalFormatting sqref="J22:J29 K22">
    <cfRule type="expression" dxfId="2952" priority="72">
      <formula>ABS(J$25-J$28)&gt;=1000</formula>
    </cfRule>
  </conditionalFormatting>
  <conditionalFormatting sqref="K23:K29 L25 L28">
    <cfRule type="expression" dxfId="2951" priority="71">
      <formula>ABS(K$25-K$28)&gt;=1000</formula>
    </cfRule>
  </conditionalFormatting>
  <conditionalFormatting sqref="L22 L26:L27 L29 L24">
    <cfRule type="expression" dxfId="2950" priority="70">
      <formula>ABS(L$25-L$28)&gt;=1000</formula>
    </cfRule>
  </conditionalFormatting>
  <conditionalFormatting sqref="M22:M29">
    <cfRule type="expression" dxfId="2949" priority="69">
      <formula>ABS(M$25-M$28)&gt;=1000</formula>
    </cfRule>
  </conditionalFormatting>
  <conditionalFormatting sqref="N22:N29">
    <cfRule type="expression" dxfId="2948" priority="68">
      <formula>ABS(N$25-N$28)&gt;=1000</formula>
    </cfRule>
  </conditionalFormatting>
  <conditionalFormatting sqref="O22:O29">
    <cfRule type="expression" dxfId="2947" priority="67">
      <formula>ABS(O$25-O$28)&gt;=1000</formula>
    </cfRule>
  </conditionalFormatting>
  <conditionalFormatting sqref="P22:P29">
    <cfRule type="expression" dxfId="2946" priority="66">
      <formula>ABS(P$25-P$28)&gt;=1000</formula>
    </cfRule>
  </conditionalFormatting>
  <conditionalFormatting sqref="Q22:Q29">
    <cfRule type="expression" dxfId="2945" priority="65">
      <formula>ABS(Q$25-Q$28)&gt;=1000</formula>
    </cfRule>
  </conditionalFormatting>
  <conditionalFormatting sqref="R22:R29">
    <cfRule type="expression" dxfId="2944" priority="64">
      <formula>ABS(R$25-R$28)&gt;=1000</formula>
    </cfRule>
  </conditionalFormatting>
  <conditionalFormatting sqref="S22:S29">
    <cfRule type="expression" dxfId="2943" priority="63">
      <formula>ABS(S$25-S$28)&gt;=1000</formula>
    </cfRule>
  </conditionalFormatting>
  <conditionalFormatting sqref="T22:T29">
    <cfRule type="expression" dxfId="2942" priority="62">
      <formula>ABS(T$25-T$28)&gt;=1000</formula>
    </cfRule>
  </conditionalFormatting>
  <conditionalFormatting sqref="U22:U29">
    <cfRule type="expression" dxfId="2941" priority="61">
      <formula>ABS(U$25-U$28)&gt;=1000</formula>
    </cfRule>
  </conditionalFormatting>
  <conditionalFormatting sqref="V22:V29">
    <cfRule type="expression" dxfId="2940" priority="60">
      <formula>ABS(V$25-V$28)&gt;=1000</formula>
    </cfRule>
  </conditionalFormatting>
  <conditionalFormatting sqref="W22:W29">
    <cfRule type="expression" dxfId="2939" priority="59">
      <formula>ABS(W$25-W$28)&gt;=1000</formula>
    </cfRule>
  </conditionalFormatting>
  <conditionalFormatting sqref="X22:X29">
    <cfRule type="expression" dxfId="2938" priority="58">
      <formula>ABS(X$25-X$28)&gt;=1000</formula>
    </cfRule>
  </conditionalFormatting>
  <conditionalFormatting sqref="Y22:Y29">
    <cfRule type="expression" dxfId="2937" priority="57">
      <formula>ABS(Y$25-Y$28)&gt;=1000</formula>
    </cfRule>
  </conditionalFormatting>
  <conditionalFormatting sqref="I23">
    <cfRule type="expression" dxfId="2936" priority="56">
      <formula>ABS(I$25-I$28)&gt;=1000</formula>
    </cfRule>
  </conditionalFormatting>
  <conditionalFormatting sqref="Q14">
    <cfRule type="expression" dxfId="2935" priority="55">
      <formula>ABS(Q$16-Q$19)&gt;=1000</formula>
    </cfRule>
  </conditionalFormatting>
  <conditionalFormatting sqref="W14">
    <cfRule type="expression" dxfId="2934" priority="54">
      <formula>ABS(W$16-W$19)&gt;=1000</formula>
    </cfRule>
  </conditionalFormatting>
  <conditionalFormatting sqref="X14">
    <cfRule type="expression" dxfId="2933" priority="53">
      <formula>ABS(X$16-X$19)&gt;=1000</formula>
    </cfRule>
  </conditionalFormatting>
  <conditionalFormatting sqref="T10:Y10">
    <cfRule type="expression" dxfId="2932" priority="52">
      <formula>ABS(T$7-T$10)&gt;=1000</formula>
    </cfRule>
  </conditionalFormatting>
  <conditionalFormatting sqref="W19">
    <cfRule type="expression" dxfId="2931" priority="51">
      <formula>ABS(W$16-W$19)&gt;=1000</formula>
    </cfRule>
  </conditionalFormatting>
  <conditionalFormatting sqref="AC5">
    <cfRule type="expression" dxfId="2930" priority="50">
      <formula>ABS(AC$7-AC$10)&gt;=1000</formula>
    </cfRule>
  </conditionalFormatting>
  <conditionalFormatting sqref="M14">
    <cfRule type="expression" dxfId="2929" priority="49">
      <formula>ABS(M$16-M$19)&gt;=1000</formula>
    </cfRule>
  </conditionalFormatting>
  <conditionalFormatting sqref="M16">
    <cfRule type="expression" dxfId="2928" priority="48">
      <formula>ABS(M$16-M$19)&gt;=1000</formula>
    </cfRule>
  </conditionalFormatting>
  <conditionalFormatting sqref="M19">
    <cfRule type="expression" dxfId="2927" priority="47">
      <formula>ABS(M$16-M$19)&gt;=1000</formula>
    </cfRule>
  </conditionalFormatting>
  <conditionalFormatting sqref="K13:K20">
    <cfRule type="expression" dxfId="2926" priority="46">
      <formula>ABS(K$16-K$19)&gt;=1000</formula>
    </cfRule>
  </conditionalFormatting>
  <conditionalFormatting sqref="AB14:AC14">
    <cfRule type="expression" dxfId="2925" priority="45">
      <formula>ABS(AB$16-AB$19)&gt;=1000</formula>
    </cfRule>
  </conditionalFormatting>
  <conditionalFormatting sqref="M5">
    <cfRule type="expression" dxfId="2924" priority="44">
      <formula>ABS(M$7-M$10)&gt;=1000</formula>
    </cfRule>
  </conditionalFormatting>
  <conditionalFormatting sqref="N5">
    <cfRule type="expression" dxfId="2923" priority="43">
      <formula>ABS(N$7-N$10)&gt;=1000</formula>
    </cfRule>
  </conditionalFormatting>
  <conditionalFormatting sqref="L23">
    <cfRule type="expression" dxfId="2922" priority="42">
      <formula>ABS(L$25-L$28)&gt;=1000</formula>
    </cfRule>
  </conditionalFormatting>
  <conditionalFormatting sqref="Y14">
    <cfRule type="expression" dxfId="2921" priority="41">
      <formula>ABS(Y$16-Y$19)&gt;=1000</formula>
    </cfRule>
  </conditionalFormatting>
  <conditionalFormatting sqref="F14">
    <cfRule type="expression" dxfId="2920" priority="40">
      <formula>ABS(F$16-F$19)&gt;=1000</formula>
    </cfRule>
  </conditionalFormatting>
  <conditionalFormatting sqref="H14">
    <cfRule type="expression" dxfId="2919" priority="39">
      <formula>ABS(H$16-H$19)&gt;=1000</formula>
    </cfRule>
  </conditionalFormatting>
  <conditionalFormatting sqref="AD5">
    <cfRule type="expression" dxfId="2918" priority="38">
      <formula>ABS(AD$7-AD$10)&gt;=1000</formula>
    </cfRule>
  </conditionalFormatting>
  <conditionalFormatting sqref="AE5">
    <cfRule type="expression" dxfId="2917" priority="37">
      <formula>ABS(AE$7-AE$10)&gt;=1000</formula>
    </cfRule>
  </conditionalFormatting>
  <conditionalFormatting sqref="D5">
    <cfRule type="expression" dxfId="2916" priority="36">
      <formula>ABS(D$7-D$10)&gt;=1000</formula>
    </cfRule>
  </conditionalFormatting>
  <conditionalFormatting sqref="E5:G5">
    <cfRule type="expression" dxfId="2915" priority="35">
      <formula>ABS(E$7-E$10)&gt;=1000</formula>
    </cfRule>
  </conditionalFormatting>
  <conditionalFormatting sqref="H5">
    <cfRule type="expression" dxfId="2914" priority="34">
      <formula>ABS(H$7-H$10)&gt;=1000</formula>
    </cfRule>
  </conditionalFormatting>
  <conditionalFormatting sqref="O4:P4">
    <cfRule type="expression" dxfId="2913" priority="33">
      <formula>ABS(O$7-O$10)&gt;=1000</formula>
    </cfRule>
  </conditionalFormatting>
  <conditionalFormatting sqref="O5:O6 O8:O9 O11">
    <cfRule type="expression" dxfId="2912" priority="32">
      <formula>ABS(O$7-O$10)&gt;=1000</formula>
    </cfRule>
  </conditionalFormatting>
  <conditionalFormatting sqref="P6 P8:P9 P11">
    <cfRule type="expression" dxfId="2911" priority="31">
      <formula>ABS(P$7-P$10)&gt;=1000</formula>
    </cfRule>
  </conditionalFormatting>
  <conditionalFormatting sqref="I5">
    <cfRule type="expression" dxfId="2910" priority="30">
      <formula>ABS(I$7-I$10)&gt;=1000</formula>
    </cfRule>
  </conditionalFormatting>
  <conditionalFormatting sqref="J5">
    <cfRule type="expression" dxfId="2909" priority="29">
      <formula>ABS(J$7-J$10)&gt;=1000</formula>
    </cfRule>
  </conditionalFormatting>
  <conditionalFormatting sqref="K5">
    <cfRule type="expression" dxfId="2908" priority="28">
      <formula>ABS(K$7-K$10)&gt;=1000</formula>
    </cfRule>
  </conditionalFormatting>
  <conditionalFormatting sqref="P5">
    <cfRule type="expression" dxfId="2907" priority="27">
      <formula>ABS(P$7-P$10)&gt;=1000</formula>
    </cfRule>
  </conditionalFormatting>
  <conditionalFormatting sqref="L7:M7">
    <cfRule type="expression" dxfId="2906" priority="21">
      <formula>ABS(L$7-L$10)&gt;=1000</formula>
    </cfRule>
  </conditionalFormatting>
  <conditionalFormatting sqref="L10">
    <cfRule type="expression" dxfId="2905" priority="20">
      <formula>ABS(L$7-L$10)&gt;=1000</formula>
    </cfRule>
  </conditionalFormatting>
  <conditionalFormatting sqref="M10">
    <cfRule type="expression" dxfId="2904" priority="19">
      <formula>ABS(M$7-M$10)&gt;=1000</formula>
    </cfRule>
  </conditionalFormatting>
  <conditionalFormatting sqref="N7">
    <cfRule type="expression" dxfId="2903" priority="18">
      <formula>ABS(N$7-N$10)&gt;=1000</formula>
    </cfRule>
  </conditionalFormatting>
  <conditionalFormatting sqref="N10">
    <cfRule type="expression" dxfId="2902" priority="17">
      <formula>ABS(N$7-N$10)&gt;=1000</formula>
    </cfRule>
  </conditionalFormatting>
  <conditionalFormatting sqref="O7">
    <cfRule type="expression" dxfId="2901" priority="16">
      <formula>ABS(O$7-O$10)&gt;=1000</formula>
    </cfRule>
  </conditionalFormatting>
  <conditionalFormatting sqref="O10">
    <cfRule type="expression" dxfId="2900" priority="15">
      <formula>ABS(O$7-O$10)&gt;=1000</formula>
    </cfRule>
  </conditionalFormatting>
  <conditionalFormatting sqref="P7">
    <cfRule type="expression" dxfId="2899" priority="14">
      <formula>ABS(P$7-P$10)&gt;=1000</formula>
    </cfRule>
  </conditionalFormatting>
  <conditionalFormatting sqref="P10">
    <cfRule type="expression" dxfId="2898" priority="13">
      <formula>ABS(P$7-P$10)&gt;=1000</formula>
    </cfRule>
  </conditionalFormatting>
  <conditionalFormatting sqref="D10">
    <cfRule type="expression" dxfId="2897" priority="11">
      <formula>ABS(D$7-D$10)&gt;=1000</formula>
    </cfRule>
  </conditionalFormatting>
  <conditionalFormatting sqref="E10">
    <cfRule type="expression" dxfId="2896" priority="10">
      <formula>ABS(E$7-E$10)&gt;=1000</formula>
    </cfRule>
  </conditionalFormatting>
  <conditionalFormatting sqref="F10">
    <cfRule type="expression" dxfId="2895" priority="9">
      <formula>ABS(F$7-F$10)&gt;=1000</formula>
    </cfRule>
  </conditionalFormatting>
  <conditionalFormatting sqref="G10">
    <cfRule type="expression" dxfId="2894" priority="8">
      <formula>ABS(G$7-G$10)&gt;=1000</formula>
    </cfRule>
  </conditionalFormatting>
  <conditionalFormatting sqref="D7">
    <cfRule type="expression" dxfId="2893" priority="6">
      <formula>ABS(D$7-D$10)&gt;=1000</formula>
    </cfRule>
  </conditionalFormatting>
  <conditionalFormatting sqref="E7">
    <cfRule type="expression" dxfId="2892" priority="5">
      <formula>ABS(E$7-E$10)&gt;=1000</formula>
    </cfRule>
  </conditionalFormatting>
  <conditionalFormatting sqref="F7">
    <cfRule type="expression" dxfId="2891" priority="4">
      <formula>ABS(F$7-F$10)&gt;=1000</formula>
    </cfRule>
  </conditionalFormatting>
  <conditionalFormatting sqref="G7">
    <cfRule type="expression" dxfId="2890" priority="3">
      <formula>ABS(G$7-G$10)&gt;=1000</formula>
    </cfRule>
  </conditionalFormatting>
  <conditionalFormatting sqref="H7:K7">
    <cfRule type="expression" dxfId="2889" priority="2">
      <formula>ABS(H$7-H$10)&gt;=1000</formula>
    </cfRule>
  </conditionalFormatting>
  <conditionalFormatting sqref="H10:K10">
    <cfRule type="expression" dxfId="2888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83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1">
    <pageSetUpPr fitToPage="1"/>
  </sheetPr>
  <dimension ref="A1:BA223"/>
  <sheetViews>
    <sheetView view="pageBreakPreview" topLeftCell="B1" zoomScale="110" zoomScaleNormal="100" zoomScaleSheetLayoutView="110" workbookViewId="0">
      <selection activeCell="I7" sqref="I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46141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124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137</v>
      </c>
      <c r="P5" s="141" t="s" ph="1">
        <v>121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68" t="s" ph="1">
        <v>54</v>
      </c>
      <c r="D6" s="151">
        <v>0.99299999999999999</v>
      </c>
      <c r="E6" s="151">
        <v>0.90629999999999999</v>
      </c>
      <c r="F6" s="151">
        <v>0</v>
      </c>
      <c r="G6" s="151">
        <v>0.21440000000000001</v>
      </c>
      <c r="H6" s="151">
        <v>0.1542</v>
      </c>
      <c r="I6" s="151">
        <v>0</v>
      </c>
      <c r="J6" s="151">
        <v>0</v>
      </c>
      <c r="K6" s="151">
        <v>0</v>
      </c>
      <c r="L6" s="151">
        <v>0.35930000000000001</v>
      </c>
      <c r="M6" s="151">
        <v>9.4399999999999998E-2</v>
      </c>
      <c r="N6" s="151">
        <v>0.67290000000000005</v>
      </c>
      <c r="O6" s="151">
        <v>0.1696</v>
      </c>
      <c r="P6" s="151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20504.368980480001</v>
      </c>
      <c r="E7" s="72" ph="1">
        <f>((E6*5885)*4.48)*LOOKUP(E8,密度!$A$2:$A$50,密度!$B$2:$B$50)</f>
        <v>18809.686038528002</v>
      </c>
      <c r="F7" s="72" ph="1">
        <f>((F6*5885)*4.48)*LOOKUP(F8,密度!$A$2:$A$50,密度!$B$2:$B$50)</f>
        <v>0</v>
      </c>
      <c r="G7" s="72" ph="1">
        <f>((G6*5885)*4.48)*LOOKUP(G8,密度!$A$2:$A$50,密度!$B$2:$B$50)</f>
        <v>4449.7370480640011</v>
      </c>
      <c r="H7" s="72" ph="1">
        <f>IF(H6&lt;=0, 0, IF(H6&lt;=1100, 0.000011424*H6^2-0.000000004189*H6^3, 11.151+0.01520557*(H6-1100))) * LOOKUP(H8, 密度!$A$2:$A$50, 密度!$B$2:$B$50)*1000</f>
        <v>2.1175526410573708E-4</v>
      </c>
      <c r="I7" s="72" ph="1">
        <f>IF(I6&lt;=0, 0, IF(I6&lt;=1100, 0.000011424*I6^2-0.000000004189*I6^3, 11.151+0.01520557*(I6-1100))) * LOOKUP(I8, 密度!$A$2:$A$50, 密度!$B$2:$B$50)*1000</f>
        <v>0</v>
      </c>
      <c r="J7" s="72" ph="1">
        <f>IF(J6&lt;=0, 0, IF(J6&lt;=1100, 0.000011424*J6^2-0.000000004189*J6^3, 11.151+0.01520557*(J6-1100))) * LOOKUP(J8, 密度!$A$2:$A$50, 密度!$B$2:$B$50)*1000</f>
        <v>0</v>
      </c>
      <c r="K7" s="72" ph="1">
        <f>IF(K6&lt;=0, 0, IF(K6&lt;=1100, 0.000011424*K6^2-0.000000004189*K6^3, 11.151+0.01520557*(K6-1100))) * LOOKUP(K8, 密度!$A$2:$A$50, 密度!$B$2:$B$50)*1000</f>
        <v>0</v>
      </c>
      <c r="L7" s="72" ph="1">
        <f>(L6*6650)*26.42*LOOKUP(L8,密度!$A$2:$A$50,密度!$B$2:$B$50)</f>
        <v>49213.415424040009</v>
      </c>
      <c r="M7" s="72" ph="1">
        <f>(M6*6650)*26.42*LOOKUP(M8,密度!$A$2:$A$50,密度!$B$2:$B$50)</f>
        <v>13056.04199424</v>
      </c>
      <c r="N7" s="72" ph="1">
        <f>(N6*5150)*18.32*LOOKUP(N8,密度!$A$2:$A$50,密度!$B$2:$B$50)</f>
        <v>49881.554560440003</v>
      </c>
      <c r="O7" s="72" ph="1">
        <f>(O6*12400)*81.71*LOOKUP(O8,密度!$A$2:$A$50,密度!$B$2:$B$50)</f>
        <v>133965.99499263999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68" t="s" ph="1">
        <v>57</v>
      </c>
      <c r="D9" s="151">
        <v>0.23519999999999999</v>
      </c>
      <c r="E9" s="151">
        <v>0.99850000000000005</v>
      </c>
      <c r="F9" s="151">
        <v>0</v>
      </c>
      <c r="G9" s="151">
        <v>0.21429999999999999</v>
      </c>
      <c r="H9" s="151">
        <v>0.1346</v>
      </c>
      <c r="I9" s="151">
        <v>0</v>
      </c>
      <c r="J9" s="151">
        <v>0</v>
      </c>
      <c r="K9" s="151">
        <v>0</v>
      </c>
      <c r="L9" s="151">
        <v>0.36670000000000003</v>
      </c>
      <c r="M9" s="151">
        <v>9.4299999999999995E-2</v>
      </c>
      <c r="N9" s="151">
        <v>0.21909999999999999</v>
      </c>
      <c r="O9" s="151">
        <v>0.23430000000000001</v>
      </c>
      <c r="P9" s="151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68" t="s" ph="1">
        <v>55</v>
      </c>
      <c r="D10" s="72" ph="1">
        <f>((D9*5885)*4.48)*LOOKUP(D11,密度!$A$2:$A$50,密度!$B$2:$B$50)</f>
        <v>4856.6239518720013</v>
      </c>
      <c r="E10" s="72" ph="1">
        <f>((E9*5885)*4.48)*LOOKUP(E11,密度!$A$2:$A$50,密度!$B$2:$B$50)</f>
        <v>20683.751124960003</v>
      </c>
      <c r="F10" s="72" ph="1">
        <f>((F9*5885)*4.48)*LOOKUP(F11,密度!$A$2:$A$50,密度!$B$2:$B$50)</f>
        <v>0</v>
      </c>
      <c r="G10" s="72" ph="1">
        <f>((G9*5885)*4.48)*LOOKUP(G11,密度!$A$2:$A$50,密度!$B$2:$B$50)</f>
        <v>4439.1866460479996</v>
      </c>
      <c r="H10" s="72" ph="1">
        <f>IF(H9=0, 0, IF(H9*6.3&lt;=1.1, 13.823*(H9*6.3)^2-4.189*(H9*6.3)^3, 11.151+15.2058*(H9*6.3-1.1))) * LOOKUP(H11, 密度!$A$2:$A$50, 密度!$B$2:$B$50)*1000</f>
        <v>5757.6839195049697</v>
      </c>
      <c r="I10" s="72" ph="1">
        <f>IF(I9=0, 0, IF(I9*6.3&lt;=1.1, 13.823*(I9*6.3)^2-4.189*(I9*6.3)^3, 11.151+15.2058*(I9*6.3-1.1))) * LOOKUP(I11, 密度!$A$2:$A$50, 密度!$B$2:$B$50)*1000</f>
        <v>0</v>
      </c>
      <c r="J10" s="72" ph="1">
        <f>IF(J9=0, 0, IF(J9*6.3&lt;=1.1, 13.823*(J9*6.3)^2-4.189*(J9*6.3)^3, 11.151+15.2058*(J9*6.3-1.1))) * LOOKUP(J11, 密度!$A$2:$A$50, 密度!$B$2:$B$50)*1000</f>
        <v>0</v>
      </c>
      <c r="K10" s="72" ph="1">
        <f>IF(K9=0, 0, IF(K9*6.3&lt;=1.1, 13.823*(K9*6.3)^2-4.189*(K9*6.3)^3, 11.151+15.2058*(K9*6.3-1.1))) * LOOKUP(K11, 密度!$A$2:$A$50, 密度!$B$2:$B$50)*1000</f>
        <v>0</v>
      </c>
      <c r="L10" s="72" ph="1">
        <f>(L9*6650)*26.42*LOOKUP(L11,密度!$A$2:$A$50,密度!$B$2:$B$50)</f>
        <v>50226.995368760006</v>
      </c>
      <c r="M10" s="72" ph="1">
        <f>(M9*6650)*26.42*LOOKUP(M11,密度!$A$2:$A$50,密度!$B$2:$B$50)</f>
        <v>13004.105386509998</v>
      </c>
      <c r="N10" s="72" ph="1">
        <f>(N9*5150)*18.32*LOOKUP(N11,密度!$A$2:$A$50,密度!$B$2:$B$50)</f>
        <v>16225.175573320003</v>
      </c>
      <c r="O10" s="72" ph="1">
        <f>(O9*12400)*81.71*LOOKUP(O11,密度!$A$2:$A$50,密度!$B$2:$B$50)</f>
        <v>185072.12633711999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68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124</v>
      </c>
      <c r="C13" s="168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68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68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68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124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151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152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68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68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68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68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156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68" t="s" ph="1">
        <v>1</v>
      </c>
      <c r="F32" s="167" t="s" ph="1">
        <v>159</v>
      </c>
      <c r="G32" s="96" t="s" ph="1">
        <v>0</v>
      </c>
      <c r="H32" s="168" t="s" ph="1">
        <v>1</v>
      </c>
      <c r="I32" s="167" t="s" ph="1">
        <v>159</v>
      </c>
      <c r="J32" s="96" t="s" ph="1">
        <v>0</v>
      </c>
      <c r="K32" s="168" t="s" ph="1">
        <v>1</v>
      </c>
      <c r="L32" s="167" t="s" ph="1">
        <v>159</v>
      </c>
      <c r="M32" s="96" t="s" ph="1">
        <v>0</v>
      </c>
      <c r="N32" s="168" t="s" ph="1">
        <v>1</v>
      </c>
      <c r="O32" s="167" t="s" ph="1">
        <v>159</v>
      </c>
      <c r="P32" s="96" t="s" ph="1">
        <v>0</v>
      </c>
      <c r="Q32" s="97" t="s" ph="1">
        <v>1</v>
      </c>
      <c r="R32" s="98" t="s" ph="1">
        <v>159</v>
      </c>
      <c r="S32" s="96" t="s" ph="1">
        <v>0</v>
      </c>
      <c r="T32" s="168" t="s" ph="1">
        <v>1</v>
      </c>
      <c r="U32" s="98" t="s" ph="1">
        <v>159</v>
      </c>
      <c r="V32" s="96" t="s" ph="1">
        <v>0</v>
      </c>
      <c r="W32" s="168" t="s" ph="1">
        <v>1</v>
      </c>
      <c r="X32" s="98" t="s" ph="1">
        <v>159</v>
      </c>
      <c r="Y32" s="99" t="s" ph="1">
        <v>0</v>
      </c>
      <c r="Z32" s="168" t="s" ph="1">
        <v>1</v>
      </c>
      <c r="AA32" s="167" t="s" ph="1">
        <v>159</v>
      </c>
      <c r="AB32" s="96" t="s" ph="1">
        <v>41</v>
      </c>
      <c r="AC32" s="168" t="s" ph="1">
        <v>165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185072.12633711999</v>
      </c>
      <c r="E33" s="245" ph="1">
        <f>H10+I10+J10+K10</f>
        <v>5757.6839195049697</v>
      </c>
      <c r="F33" s="269" ph="1">
        <f>L10+N10</f>
        <v>66452.170942080003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66" t="s" ph="1">
        <v>62</v>
      </c>
      <c r="AA36" s="166" ph="1"/>
      <c r="AB36" s="231" t="s" ph="1">
        <v>67</v>
      </c>
      <c r="AC36" s="231" ph="1"/>
      <c r="AD36" s="231" ph="1"/>
      <c r="AE36" s="231" ph="1"/>
    </row>
    <row r="37" spans="1:31" s="16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2887" priority="132">
      <formula>ABS(D$7-D$10)&gt;=1000</formula>
    </cfRule>
  </conditionalFormatting>
  <conditionalFormatting sqref="E4 E6 E8:E9 E11">
    <cfRule type="expression" dxfId="2886" priority="131">
      <formula>ABS(E$7-E$10)&gt;=1000</formula>
    </cfRule>
  </conditionalFormatting>
  <conditionalFormatting sqref="F4 F6 F8:F9 F11">
    <cfRule type="expression" dxfId="2885" priority="130">
      <formula>ABS(F$7-F$10)&gt;=1000</formula>
    </cfRule>
  </conditionalFormatting>
  <conditionalFormatting sqref="G4 G6 G8:G9 G11">
    <cfRule type="expression" dxfId="2884" priority="129">
      <formula>ABS(G$7-G$10)&gt;=1000</formula>
    </cfRule>
  </conditionalFormatting>
  <conditionalFormatting sqref="H4:K4 H6 H8:H9 H11">
    <cfRule type="expression" dxfId="2883" priority="128">
      <formula>ABS(H$7-H$10)&gt;=1000</formula>
    </cfRule>
  </conditionalFormatting>
  <conditionalFormatting sqref="I6 I8:I9 I11">
    <cfRule type="expression" dxfId="2882" priority="127">
      <formula>ABS(I$7-I$10)&gt;=1000</formula>
    </cfRule>
  </conditionalFormatting>
  <conditionalFormatting sqref="J6 J8:J9 J11">
    <cfRule type="expression" dxfId="2881" priority="126">
      <formula>ABS(J$7-J$10)&gt;=1000</formula>
    </cfRule>
  </conditionalFormatting>
  <conditionalFormatting sqref="K6 K8:K9 K11">
    <cfRule type="expression" dxfId="2880" priority="125">
      <formula>ABS(K$7-K$10)&gt;=1000</formula>
    </cfRule>
  </conditionalFormatting>
  <conditionalFormatting sqref="L4:L6 M4:N4 Q4:S4 L8:L9 L11">
    <cfRule type="expression" dxfId="2879" priority="124">
      <formula>ABS(L$7-L$10)&gt;=1000</formula>
    </cfRule>
  </conditionalFormatting>
  <conditionalFormatting sqref="M6 M8:M9 M11">
    <cfRule type="expression" dxfId="2878" priority="123">
      <formula>ABS(M$7-M$10)&gt;=1000</formula>
    </cfRule>
  </conditionalFormatting>
  <conditionalFormatting sqref="N6 N8:N9 N11">
    <cfRule type="expression" dxfId="2877" priority="122">
      <formula>ABS(N$7-N$10)&gt;=1000</formula>
    </cfRule>
  </conditionalFormatting>
  <conditionalFormatting sqref="Q5:Q11">
    <cfRule type="expression" dxfId="2876" priority="121">
      <formula>ABS(Q$7-Q$10)&gt;=1000</formula>
    </cfRule>
  </conditionalFormatting>
  <conditionalFormatting sqref="R5:R11">
    <cfRule type="expression" dxfId="2875" priority="120">
      <formula>ABS(R$7-R$10)&gt;=1000</formula>
    </cfRule>
  </conditionalFormatting>
  <conditionalFormatting sqref="S5:S11">
    <cfRule type="expression" dxfId="2874" priority="119">
      <formula>ABS(S$7-S$10)&gt;=1000</formula>
    </cfRule>
  </conditionalFormatting>
  <conditionalFormatting sqref="T4:T9 T11">
    <cfRule type="expression" dxfId="2873" priority="118">
      <formula>ABS(T$7-T$10)&gt;=1000</formula>
    </cfRule>
  </conditionalFormatting>
  <conditionalFormatting sqref="U4:U9 U11">
    <cfRule type="expression" dxfId="2872" priority="117">
      <formula>ABS(U$7-U$10)&gt;=1000</formula>
    </cfRule>
  </conditionalFormatting>
  <conditionalFormatting sqref="V4:V9 V11">
    <cfRule type="expression" dxfId="2871" priority="116">
      <formula>ABS(V$7-V$10)&gt;=1000</formula>
    </cfRule>
  </conditionalFormatting>
  <conditionalFormatting sqref="W4:W9 W11">
    <cfRule type="expression" dxfId="2870" priority="115">
      <formula>ABS(W$7-W$10)&gt;=1000</formula>
    </cfRule>
  </conditionalFormatting>
  <conditionalFormatting sqref="X4:X9 X11">
    <cfRule type="expression" dxfId="2869" priority="114">
      <formula>ABS(X$7-X$10)&gt;=1000</formula>
    </cfRule>
  </conditionalFormatting>
  <conditionalFormatting sqref="Y4:Y9 Y11">
    <cfRule type="expression" dxfId="2868" priority="113">
      <formula>ABS(Y$7-Y$10)&gt;=1000</formula>
    </cfRule>
  </conditionalFormatting>
  <conditionalFormatting sqref="Z4:Z11">
    <cfRule type="expression" dxfId="2867" priority="112">
      <formula>ABS(Z$7-Z$10)&gt;=1000</formula>
    </cfRule>
  </conditionalFormatting>
  <conditionalFormatting sqref="AA4:AA11">
    <cfRule type="expression" dxfId="2866" priority="111">
      <formula>ABS(AA$7-AA$10)&gt;=1000</formula>
    </cfRule>
  </conditionalFormatting>
  <conditionalFormatting sqref="AB4:AB11">
    <cfRule type="expression" dxfId="2865" priority="110">
      <formula>ABS(AB$7-AB$10)&gt;=1000</formula>
    </cfRule>
  </conditionalFormatting>
  <conditionalFormatting sqref="AC4 AC6:AC11">
    <cfRule type="expression" dxfId="2864" priority="109">
      <formula>ABS(AC$7-AC$10)&gt;=1000</formula>
    </cfRule>
  </conditionalFormatting>
  <conditionalFormatting sqref="AD4 AD6:AD11">
    <cfRule type="expression" dxfId="2863" priority="108">
      <formula>ABS(AD$7-AD$10)&gt;=1000</formula>
    </cfRule>
  </conditionalFormatting>
  <conditionalFormatting sqref="AE4 AE6:AE11">
    <cfRule type="expression" dxfId="2862" priority="107">
      <formula>ABS(AE$7-AE$10)&gt;=1000</formula>
    </cfRule>
  </conditionalFormatting>
  <conditionalFormatting sqref="D13:D20">
    <cfRule type="expression" dxfId="2861" priority="106">
      <formula>ABS(D$16-D$19)&gt;=1000</formula>
    </cfRule>
  </conditionalFormatting>
  <conditionalFormatting sqref="E13:E20">
    <cfRule type="expression" dxfId="2860" priority="105">
      <formula>ABS(E$16-E$19)&gt;=1000</formula>
    </cfRule>
  </conditionalFormatting>
  <conditionalFormatting sqref="F13 F15:F20">
    <cfRule type="expression" dxfId="2859" priority="104">
      <formula>ABS(F$16-F$19)&gt;=1000</formula>
    </cfRule>
  </conditionalFormatting>
  <conditionalFormatting sqref="G13:G20">
    <cfRule type="expression" dxfId="2858" priority="103">
      <formula>ABS(G$16-G$19)&gt;=1000</formula>
    </cfRule>
  </conditionalFormatting>
  <conditionalFormatting sqref="H13 H15:H20">
    <cfRule type="expression" dxfId="2857" priority="102">
      <formula>ABS(H$16-H$19)&gt;=1000</formula>
    </cfRule>
  </conditionalFormatting>
  <conditionalFormatting sqref="I13:I20">
    <cfRule type="expression" dxfId="2856" priority="101">
      <formula>ABS(I$16-I$19)&gt;=1000</formula>
    </cfRule>
  </conditionalFormatting>
  <conditionalFormatting sqref="J13:J20">
    <cfRule type="expression" dxfId="2855" priority="100">
      <formula>ABS(J$16-J$19)&gt;=1000</formula>
    </cfRule>
  </conditionalFormatting>
  <conditionalFormatting sqref="L13:L20">
    <cfRule type="expression" dxfId="2854" priority="99">
      <formula>ABS(L$16-L$19)&gt;=1000</formula>
    </cfRule>
  </conditionalFormatting>
  <conditionalFormatting sqref="M13 M15 M17:M18 M20">
    <cfRule type="expression" dxfId="2853" priority="98">
      <formula>ABS(M$16-M$19)&gt;=1000</formula>
    </cfRule>
  </conditionalFormatting>
  <conditionalFormatting sqref="N13:N20">
    <cfRule type="expression" dxfId="2852" priority="97">
      <formula>ABS(N$16-N$19)&gt;=1000</formula>
    </cfRule>
  </conditionalFormatting>
  <conditionalFormatting sqref="O13:O20">
    <cfRule type="expression" dxfId="2851" priority="96">
      <formula>ABS(O$16-O$19)&gt;=1000</formula>
    </cfRule>
  </conditionalFormatting>
  <conditionalFormatting sqref="P13:P20">
    <cfRule type="expression" dxfId="2850" priority="95">
      <formula>ABS(P$16-P$19)&gt;=1000</formula>
    </cfRule>
  </conditionalFormatting>
  <conditionalFormatting sqref="Q13 Q15:Q20">
    <cfRule type="expression" dxfId="2849" priority="94">
      <formula>ABS(Q$16-Q$19)&gt;=1000</formula>
    </cfRule>
  </conditionalFormatting>
  <conditionalFormatting sqref="R13:R20">
    <cfRule type="expression" dxfId="2848" priority="93">
      <formula>ABS(R$16-R$19)&gt;=1000</formula>
    </cfRule>
  </conditionalFormatting>
  <conditionalFormatting sqref="S13:S20">
    <cfRule type="expression" dxfId="2847" priority="92">
      <formula>ABS(S$16-S$19)&gt;=1000</formula>
    </cfRule>
  </conditionalFormatting>
  <conditionalFormatting sqref="T13:T20">
    <cfRule type="expression" dxfId="2846" priority="91">
      <formula>ABS(T$16-T$19)&gt;=1000</formula>
    </cfRule>
  </conditionalFormatting>
  <conditionalFormatting sqref="U13:U20">
    <cfRule type="expression" dxfId="2845" priority="90">
      <formula>ABS(U$16-U$19)&gt;=1000</formula>
    </cfRule>
  </conditionalFormatting>
  <conditionalFormatting sqref="V13:V20">
    <cfRule type="expression" dxfId="2844" priority="89">
      <formula>ABS(V$16-V$19)&gt;=1000</formula>
    </cfRule>
  </conditionalFormatting>
  <conditionalFormatting sqref="W13 W20 W15:W18">
    <cfRule type="expression" dxfId="2843" priority="88">
      <formula>ABS(W$16-W$19)&gt;=1000</formula>
    </cfRule>
  </conditionalFormatting>
  <conditionalFormatting sqref="X13 X15:X20 Y19">
    <cfRule type="expression" dxfId="2842" priority="87">
      <formula>ABS(X$16-X$19)&gt;=1000</formula>
    </cfRule>
  </conditionalFormatting>
  <conditionalFormatting sqref="Y13 Y15:Y18 Y20">
    <cfRule type="expression" dxfId="2841" priority="86">
      <formula>ABS(Y$16-Y$19)&gt;=1000</formula>
    </cfRule>
  </conditionalFormatting>
  <conditionalFormatting sqref="Z13:Z20">
    <cfRule type="expression" dxfId="2840" priority="85">
      <formula>ABS(Z$16-Z$19)&gt;=1000</formula>
    </cfRule>
  </conditionalFormatting>
  <conditionalFormatting sqref="AA13:AA20">
    <cfRule type="expression" dxfId="2839" priority="84">
      <formula>ABS(AA$16-AA$19)&gt;=1000</formula>
    </cfRule>
  </conditionalFormatting>
  <conditionalFormatting sqref="AB13 AB15:AB20">
    <cfRule type="expression" dxfId="2838" priority="83">
      <formula>ABS(AB$16-AB$19)&gt;=1000</formula>
    </cfRule>
  </conditionalFormatting>
  <conditionalFormatting sqref="AC13 AC15:AC20">
    <cfRule type="expression" dxfId="2837" priority="82">
      <formula>ABS(AC$16-AC$19)&gt;=1000</formula>
    </cfRule>
  </conditionalFormatting>
  <conditionalFormatting sqref="AD13:AD20">
    <cfRule type="expression" dxfId="2836" priority="81">
      <formula>ABS(AD$16-AD$19)&gt;=1000</formula>
    </cfRule>
  </conditionalFormatting>
  <conditionalFormatting sqref="AE13:AE20">
    <cfRule type="expression" dxfId="2835" priority="80">
      <formula>ABS(AE$16-AE$19)&gt;=1000</formula>
    </cfRule>
  </conditionalFormatting>
  <conditionalFormatting sqref="D22:D29">
    <cfRule type="expression" dxfId="2834" priority="79">
      <formula>ABS(D$25-D$28)&gt;=1000</formula>
    </cfRule>
  </conditionalFormatting>
  <conditionalFormatting sqref="E22:E29">
    <cfRule type="expression" dxfId="2833" priority="78">
      <formula>ABS(E$25-E$28)&gt;=1000</formula>
    </cfRule>
  </conditionalFormatting>
  <conditionalFormatting sqref="F22:F29">
    <cfRule type="expression" dxfId="2832" priority="77">
      <formula>ABS(F$25-F$28)&gt;=1000</formula>
    </cfRule>
  </conditionalFormatting>
  <conditionalFormatting sqref="G22:G29">
    <cfRule type="expression" dxfId="2831" priority="76">
      <formula>ABS(G$25-G$28)&gt;=1000</formula>
    </cfRule>
  </conditionalFormatting>
  <conditionalFormatting sqref="H22:H29">
    <cfRule type="expression" dxfId="2830" priority="75">
      <formula>ABS(H$25-H$28)&gt;=1000</formula>
    </cfRule>
  </conditionalFormatting>
  <conditionalFormatting sqref="I22 I24:I29">
    <cfRule type="expression" dxfId="2829" priority="74">
      <formula>ABS(I$25-I$28)&gt;=1000</formula>
    </cfRule>
  </conditionalFormatting>
  <conditionalFormatting sqref="J22:J29 K22">
    <cfRule type="expression" dxfId="2828" priority="73">
      <formula>ABS(J$25-J$28)&gt;=1000</formula>
    </cfRule>
  </conditionalFormatting>
  <conditionalFormatting sqref="K23:K29 L25 L28">
    <cfRule type="expression" dxfId="2827" priority="72">
      <formula>ABS(K$25-K$28)&gt;=1000</formula>
    </cfRule>
  </conditionalFormatting>
  <conditionalFormatting sqref="L22 L26:L27 L29 L24">
    <cfRule type="expression" dxfId="2826" priority="71">
      <formula>ABS(L$25-L$28)&gt;=1000</formula>
    </cfRule>
  </conditionalFormatting>
  <conditionalFormatting sqref="M22:M29">
    <cfRule type="expression" dxfId="2825" priority="70">
      <formula>ABS(M$25-M$28)&gt;=1000</formula>
    </cfRule>
  </conditionalFormatting>
  <conditionalFormatting sqref="N22:N29">
    <cfRule type="expression" dxfId="2824" priority="69">
      <formula>ABS(N$25-N$28)&gt;=1000</formula>
    </cfRule>
  </conditionalFormatting>
  <conditionalFormatting sqref="O22:O29">
    <cfRule type="expression" dxfId="2823" priority="68">
      <formula>ABS(O$25-O$28)&gt;=1000</formula>
    </cfRule>
  </conditionalFormatting>
  <conditionalFormatting sqref="P22:P29">
    <cfRule type="expression" dxfId="2822" priority="67">
      <formula>ABS(P$25-P$28)&gt;=1000</formula>
    </cfRule>
  </conditionalFormatting>
  <conditionalFormatting sqref="Q22:Q29">
    <cfRule type="expression" dxfId="2821" priority="66">
      <formula>ABS(Q$25-Q$28)&gt;=1000</formula>
    </cfRule>
  </conditionalFormatting>
  <conditionalFormatting sqref="R22:R29">
    <cfRule type="expression" dxfId="2820" priority="65">
      <formula>ABS(R$25-R$28)&gt;=1000</formula>
    </cfRule>
  </conditionalFormatting>
  <conditionalFormatting sqref="S22:S29">
    <cfRule type="expression" dxfId="2819" priority="64">
      <formula>ABS(S$25-S$28)&gt;=1000</formula>
    </cfRule>
  </conditionalFormatting>
  <conditionalFormatting sqref="T22:T29">
    <cfRule type="expression" dxfId="2818" priority="63">
      <formula>ABS(T$25-T$28)&gt;=1000</formula>
    </cfRule>
  </conditionalFormatting>
  <conditionalFormatting sqref="U22:U29">
    <cfRule type="expression" dxfId="2817" priority="62">
      <formula>ABS(U$25-U$28)&gt;=1000</formula>
    </cfRule>
  </conditionalFormatting>
  <conditionalFormatting sqref="V22:V29">
    <cfRule type="expression" dxfId="2816" priority="61">
      <formula>ABS(V$25-V$28)&gt;=1000</formula>
    </cfRule>
  </conditionalFormatting>
  <conditionalFormatting sqref="W22:W29">
    <cfRule type="expression" dxfId="2815" priority="60">
      <formula>ABS(W$25-W$28)&gt;=1000</formula>
    </cfRule>
  </conditionalFormatting>
  <conditionalFormatting sqref="X22:X29">
    <cfRule type="expression" dxfId="2814" priority="59">
      <formula>ABS(X$25-X$28)&gt;=1000</formula>
    </cfRule>
  </conditionalFormatting>
  <conditionalFormatting sqref="Y22:Y29">
    <cfRule type="expression" dxfId="2813" priority="58">
      <formula>ABS(Y$25-Y$28)&gt;=1000</formula>
    </cfRule>
  </conditionalFormatting>
  <conditionalFormatting sqref="I23">
    <cfRule type="expression" dxfId="2812" priority="57">
      <formula>ABS(I$25-I$28)&gt;=1000</formula>
    </cfRule>
  </conditionalFormatting>
  <conditionalFormatting sqref="Q14">
    <cfRule type="expression" dxfId="2811" priority="56">
      <formula>ABS(Q$16-Q$19)&gt;=1000</formula>
    </cfRule>
  </conditionalFormatting>
  <conditionalFormatting sqref="W14">
    <cfRule type="expression" dxfId="2810" priority="55">
      <formula>ABS(W$16-W$19)&gt;=1000</formula>
    </cfRule>
  </conditionalFormatting>
  <conditionalFormatting sqref="X14">
    <cfRule type="expression" dxfId="2809" priority="54">
      <formula>ABS(X$16-X$19)&gt;=1000</formula>
    </cfRule>
  </conditionalFormatting>
  <conditionalFormatting sqref="T10:Y10">
    <cfRule type="expression" dxfId="2808" priority="53">
      <formula>ABS(T$7-T$10)&gt;=1000</formula>
    </cfRule>
  </conditionalFormatting>
  <conditionalFormatting sqref="W19">
    <cfRule type="expression" dxfId="2807" priority="52">
      <formula>ABS(W$16-W$19)&gt;=1000</formula>
    </cfRule>
  </conditionalFormatting>
  <conditionalFormatting sqref="AC5">
    <cfRule type="expression" dxfId="2806" priority="51">
      <formula>ABS(AC$7-AC$10)&gt;=1000</formula>
    </cfRule>
  </conditionalFormatting>
  <conditionalFormatting sqref="M14">
    <cfRule type="expression" dxfId="2805" priority="50">
      <formula>ABS(M$16-M$19)&gt;=1000</formula>
    </cfRule>
  </conditionalFormatting>
  <conditionalFormatting sqref="M16">
    <cfRule type="expression" dxfId="2804" priority="49">
      <formula>ABS(M$16-M$19)&gt;=1000</formula>
    </cfRule>
  </conditionalFormatting>
  <conditionalFormatting sqref="M19">
    <cfRule type="expression" dxfId="2803" priority="48">
      <formula>ABS(M$16-M$19)&gt;=1000</formula>
    </cfRule>
  </conditionalFormatting>
  <conditionalFormatting sqref="K13:K20">
    <cfRule type="expression" dxfId="2802" priority="47">
      <formula>ABS(K$16-K$19)&gt;=1000</formula>
    </cfRule>
  </conditionalFormatting>
  <conditionalFormatting sqref="AB14:AC14">
    <cfRule type="expression" dxfId="2801" priority="46">
      <formula>ABS(AB$16-AB$19)&gt;=1000</formula>
    </cfRule>
  </conditionalFormatting>
  <conditionalFormatting sqref="M5">
    <cfRule type="expression" dxfId="2800" priority="45">
      <formula>ABS(M$7-M$10)&gt;=1000</formula>
    </cfRule>
  </conditionalFormatting>
  <conditionalFormatting sqref="N5">
    <cfRule type="expression" dxfId="2799" priority="44">
      <formula>ABS(N$7-N$10)&gt;=1000</formula>
    </cfRule>
  </conditionalFormatting>
  <conditionalFormatting sqref="L23">
    <cfRule type="expression" dxfId="2798" priority="43">
      <formula>ABS(L$25-L$28)&gt;=1000</formula>
    </cfRule>
  </conditionalFormatting>
  <conditionalFormatting sqref="Y14">
    <cfRule type="expression" dxfId="2797" priority="42">
      <formula>ABS(Y$16-Y$19)&gt;=1000</formula>
    </cfRule>
  </conditionalFormatting>
  <conditionalFormatting sqref="F14">
    <cfRule type="expression" dxfId="2796" priority="41">
      <formula>ABS(F$16-F$19)&gt;=1000</formula>
    </cfRule>
  </conditionalFormatting>
  <conditionalFormatting sqref="H14">
    <cfRule type="expression" dxfId="2795" priority="40">
      <formula>ABS(H$16-H$19)&gt;=1000</formula>
    </cfRule>
  </conditionalFormatting>
  <conditionalFormatting sqref="AD5">
    <cfRule type="expression" dxfId="2794" priority="39">
      <formula>ABS(AD$7-AD$10)&gt;=1000</formula>
    </cfRule>
  </conditionalFormatting>
  <conditionalFormatting sqref="AE5">
    <cfRule type="expression" dxfId="2793" priority="38">
      <formula>ABS(AE$7-AE$10)&gt;=1000</formula>
    </cfRule>
  </conditionalFormatting>
  <conditionalFormatting sqref="D5">
    <cfRule type="expression" dxfId="2792" priority="37">
      <formula>ABS(D$7-D$10)&gt;=1000</formula>
    </cfRule>
  </conditionalFormatting>
  <conditionalFormatting sqref="E5:G5">
    <cfRule type="expression" dxfId="2791" priority="36">
      <formula>ABS(E$7-E$10)&gt;=1000</formula>
    </cfRule>
  </conditionalFormatting>
  <conditionalFormatting sqref="H5">
    <cfRule type="expression" dxfId="2790" priority="35">
      <formula>ABS(H$7-H$10)&gt;=1000</formula>
    </cfRule>
  </conditionalFormatting>
  <conditionalFormatting sqref="O4:P4">
    <cfRule type="expression" dxfId="2789" priority="34">
      <formula>ABS(O$7-O$10)&gt;=1000</formula>
    </cfRule>
  </conditionalFormatting>
  <conditionalFormatting sqref="O5:O6 O8:O9 O11">
    <cfRule type="expression" dxfId="2788" priority="33">
      <formula>ABS(O$7-O$10)&gt;=1000</formula>
    </cfRule>
  </conditionalFormatting>
  <conditionalFormatting sqref="P6 P8:P9 P11">
    <cfRule type="expression" dxfId="2787" priority="32">
      <formula>ABS(P$7-P$10)&gt;=1000</formula>
    </cfRule>
  </conditionalFormatting>
  <conditionalFormatting sqref="I5">
    <cfRule type="expression" dxfId="2786" priority="31">
      <formula>ABS(I$7-I$10)&gt;=1000</formula>
    </cfRule>
  </conditionalFormatting>
  <conditionalFormatting sqref="J5">
    <cfRule type="expression" dxfId="2785" priority="30">
      <formula>ABS(J$7-J$10)&gt;=1000</formula>
    </cfRule>
  </conditionalFormatting>
  <conditionalFormatting sqref="K5">
    <cfRule type="expression" dxfId="2784" priority="29">
      <formula>ABS(K$7-K$10)&gt;=1000</formula>
    </cfRule>
  </conditionalFormatting>
  <conditionalFormatting sqref="P5">
    <cfRule type="expression" dxfId="2783" priority="28">
      <formula>ABS(P$7-P$10)&gt;=1000</formula>
    </cfRule>
  </conditionalFormatting>
  <conditionalFormatting sqref="L7:M7">
    <cfRule type="expression" dxfId="2782" priority="22">
      <formula>ABS(L$7-L$10)&gt;=1000</formula>
    </cfRule>
  </conditionalFormatting>
  <conditionalFormatting sqref="L10">
    <cfRule type="expression" dxfId="2781" priority="21">
      <formula>ABS(L$7-L$10)&gt;=1000</formula>
    </cfRule>
  </conditionalFormatting>
  <conditionalFormatting sqref="M10">
    <cfRule type="expression" dxfId="2780" priority="20">
      <formula>ABS(M$7-M$10)&gt;=1000</formula>
    </cfRule>
  </conditionalFormatting>
  <conditionalFormatting sqref="N7">
    <cfRule type="expression" dxfId="2779" priority="19">
      <formula>ABS(N$7-N$10)&gt;=1000</formula>
    </cfRule>
  </conditionalFormatting>
  <conditionalFormatting sqref="N10">
    <cfRule type="expression" dxfId="2778" priority="18">
      <formula>ABS(N$7-N$10)&gt;=1000</formula>
    </cfRule>
  </conditionalFormatting>
  <conditionalFormatting sqref="O7">
    <cfRule type="expression" dxfId="2777" priority="17">
      <formula>ABS(O$7-O$10)&gt;=1000</formula>
    </cfRule>
  </conditionalFormatting>
  <conditionalFormatting sqref="O10">
    <cfRule type="expression" dxfId="2776" priority="16">
      <formula>ABS(O$7-O$10)&gt;=1000</formula>
    </cfRule>
  </conditionalFormatting>
  <conditionalFormatting sqref="P7">
    <cfRule type="expression" dxfId="2775" priority="15">
      <formula>ABS(P$7-P$10)&gt;=1000</formula>
    </cfRule>
  </conditionalFormatting>
  <conditionalFormatting sqref="P10">
    <cfRule type="expression" dxfId="2774" priority="14">
      <formula>ABS(P$7-P$10)&gt;=1000</formula>
    </cfRule>
  </conditionalFormatting>
  <conditionalFormatting sqref="D7">
    <cfRule type="expression" dxfId="2773" priority="12">
      <formula>ABS(D$7-D$10)&gt;=1000</formula>
    </cfRule>
  </conditionalFormatting>
  <conditionalFormatting sqref="E7">
    <cfRule type="expression" dxfId="2772" priority="11">
      <formula>ABS(E$7-E$10)&gt;=1000</formula>
    </cfRule>
  </conditionalFormatting>
  <conditionalFormatting sqref="F7">
    <cfRule type="expression" dxfId="2771" priority="10">
      <formula>ABS(F$7-F$10)&gt;=1000</formula>
    </cfRule>
  </conditionalFormatting>
  <conditionalFormatting sqref="G7">
    <cfRule type="expression" dxfId="2770" priority="9">
      <formula>ABS(G$7-G$10)&gt;=1000</formula>
    </cfRule>
  </conditionalFormatting>
  <conditionalFormatting sqref="D10">
    <cfRule type="expression" dxfId="2769" priority="7">
      <formula>ABS(D$7-D$10)&gt;=1000</formula>
    </cfRule>
  </conditionalFormatting>
  <conditionalFormatting sqref="E10">
    <cfRule type="expression" dxfId="2768" priority="6">
      <formula>ABS(E$7-E$10)&gt;=1000</formula>
    </cfRule>
  </conditionalFormatting>
  <conditionalFormatting sqref="F10">
    <cfRule type="expression" dxfId="2767" priority="5">
      <formula>ABS(F$7-F$10)&gt;=1000</formula>
    </cfRule>
  </conditionalFormatting>
  <conditionalFormatting sqref="G10">
    <cfRule type="expression" dxfId="2766" priority="4">
      <formula>ABS(G$7-G$10)&gt;=1000</formula>
    </cfRule>
  </conditionalFormatting>
  <conditionalFormatting sqref="H10:K10">
    <cfRule type="expression" dxfId="2765" priority="3">
      <formula>ABS(H$7-H$10)&gt;=1000</formula>
    </cfRule>
  </conditionalFormatting>
  <conditionalFormatting sqref="H7:K7">
    <cfRule type="expression" dxfId="2764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93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2">
    <pageSetUpPr fitToPage="1"/>
  </sheetPr>
  <dimension ref="A1:BA223"/>
  <sheetViews>
    <sheetView view="pageBreakPreview" topLeftCell="B1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46141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141" t="s" ph="1">
        <v>121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75" t="s" ph="1">
        <v>54</v>
      </c>
      <c r="D6" s="151">
        <v>0.99299999999999999</v>
      </c>
      <c r="E6" s="151">
        <v>0.90629999999999999</v>
      </c>
      <c r="F6" s="151">
        <v>0</v>
      </c>
      <c r="G6" s="151">
        <v>0.21440000000000001</v>
      </c>
      <c r="H6" s="70">
        <v>2350</v>
      </c>
      <c r="I6" s="70">
        <v>0</v>
      </c>
      <c r="J6" s="70">
        <v>0</v>
      </c>
      <c r="K6" s="70">
        <v>0</v>
      </c>
      <c r="L6" s="70">
        <v>2616</v>
      </c>
      <c r="M6" s="70">
        <v>670</v>
      </c>
      <c r="N6" s="70">
        <v>1314</v>
      </c>
      <c r="O6" s="70">
        <v>2594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20504.368980480001</v>
      </c>
      <c r="E7" s="72" ph="1">
        <f>((E6*5885)*4.48)*LOOKUP(E8,密度!$A$2:$A$50,密度!$B$2:$B$50)</f>
        <v>18809.686038528002</v>
      </c>
      <c r="F7" s="72" ph="1">
        <f>((F6*5885)*4.48)*LOOKUP(F8,密度!$A$2:$A$50,密度!$B$2:$B$50)</f>
        <v>0</v>
      </c>
      <c r="G7" s="72" ph="1">
        <f>((G6*5885)*4.48)*LOOKUP(G8,密度!$A$2:$A$50,密度!$B$2:$B$50)</f>
        <v>4449.7370480640011</v>
      </c>
      <c r="H7" s="72" ph="1">
        <f>IF(H6&lt;=0,0,IF(H6&lt;=745,PI()*(5.3235*(H6/1000)^2-(4/3)*(H6/1000)^3),7.55+15.2053*((H6-745)/1000))*LOOKUP(H8,密度!$A$2:$A$50,密度!$B$2:$B$50)*1000)</f>
        <v>24911.733267399999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53881.835712</v>
      </c>
      <c r="M7" s="72" ph="1">
        <f>M6*26.42*1</f>
        <v>17701.400000000001</v>
      </c>
      <c r="N7" s="72" ph="1">
        <f>N6*18.32*LOOKUP(N8,密度!$A$2:$A$50,密度!$B$2:$B$50)</f>
        <v>18913.747535999999</v>
      </c>
      <c r="O7" s="72" ph="1">
        <f>O6*81.71*LOOKUP(O8,密度!$A$2:$A$50,密度!$B$2:$B$50)</f>
        <v>165240.69490399997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75" t="s" ph="1">
        <v>57</v>
      </c>
      <c r="D9" s="151">
        <v>0.23519999999999999</v>
      </c>
      <c r="E9" s="151">
        <v>0.99850000000000005</v>
      </c>
      <c r="F9" s="151">
        <v>0</v>
      </c>
      <c r="G9" s="151">
        <v>0.21429999999999999</v>
      </c>
      <c r="H9" s="70">
        <v>257</v>
      </c>
      <c r="I9" s="70">
        <v>0</v>
      </c>
      <c r="J9" s="70">
        <v>0</v>
      </c>
      <c r="K9" s="70">
        <v>0</v>
      </c>
      <c r="L9" s="70">
        <v>2616</v>
      </c>
      <c r="M9" s="70">
        <v>670</v>
      </c>
      <c r="N9" s="70">
        <v>1314</v>
      </c>
      <c r="O9" s="70">
        <v>4447.8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75" t="s" ph="1">
        <v>55</v>
      </c>
      <c r="D10" s="72" ph="1">
        <f>((D9*5885)*4.48)*LOOKUP(D11,密度!$A$2:$A$50,密度!$B$2:$B$50)</f>
        <v>4856.6239518720013</v>
      </c>
      <c r="E10" s="72" ph="1">
        <f>((E9*5885)*4.48)*LOOKUP(E11,密度!$A$2:$A$50,密度!$B$2:$B$50)</f>
        <v>20683.751124960003</v>
      </c>
      <c r="F10" s="72" ph="1">
        <f>((F9*5885)*4.48)*LOOKUP(F11,密度!$A$2:$A$50,密度!$B$2:$B$50)</f>
        <v>0</v>
      </c>
      <c r="G10" s="72" ph="1">
        <f>((G9*5885)*4.48)*LOOKUP(G11,密度!$A$2:$A$50,密度!$B$2:$B$50)</f>
        <v>4439.1866460479996</v>
      </c>
      <c r="H10" s="72" ph="1">
        <f>IF(H9&lt;=0,0,IF(H9&lt;=745,PI()*(5.3235*(H9/1000)^2-(4/3)*(H9/1000)^3),7.55+15.2053*((H9-745)/1000))*LOOKUP(H11,密度!$A$2:$A$50,密度!$B$2:$B$50)*1000)</f>
        <v>805.73078926483879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53881.835712</v>
      </c>
      <c r="M10" s="72" ph="1">
        <f>M9*26.42*1</f>
        <v>17701.400000000001</v>
      </c>
      <c r="N10" s="72" ph="1">
        <f>N9*18.32*LOOKUP(N11,密度!$A$2:$A$50,密度!$B$2:$B$50)</f>
        <v>18894.489551999999</v>
      </c>
      <c r="O10" s="72" ph="1">
        <f>O9*81.71*LOOKUP(O11,密度!$A$2:$A$50,密度!$B$2:$B$50)</f>
        <v>283329.8237448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75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28</v>
      </c>
      <c r="C13" s="17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75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75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75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75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7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75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75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75" t="s" ph="1">
        <v>1</v>
      </c>
      <c r="F32" s="174" t="s" ph="1">
        <v>31</v>
      </c>
      <c r="G32" s="96" t="s" ph="1">
        <v>0</v>
      </c>
      <c r="H32" s="175" t="s" ph="1">
        <v>1</v>
      </c>
      <c r="I32" s="174" t="s" ph="1">
        <v>31</v>
      </c>
      <c r="J32" s="96" t="s" ph="1">
        <v>0</v>
      </c>
      <c r="K32" s="175" t="s" ph="1">
        <v>1</v>
      </c>
      <c r="L32" s="174" t="s" ph="1">
        <v>31</v>
      </c>
      <c r="M32" s="96" t="s" ph="1">
        <v>0</v>
      </c>
      <c r="N32" s="175" t="s" ph="1">
        <v>1</v>
      </c>
      <c r="O32" s="174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75" t="s" ph="1">
        <v>1</v>
      </c>
      <c r="U32" s="98" t="s" ph="1">
        <v>31</v>
      </c>
      <c r="V32" s="96" t="s" ph="1">
        <v>0</v>
      </c>
      <c r="W32" s="175" t="s" ph="1">
        <v>1</v>
      </c>
      <c r="X32" s="98" t="s" ph="1">
        <v>31</v>
      </c>
      <c r="Y32" s="99" t="s" ph="1">
        <v>0</v>
      </c>
      <c r="Z32" s="175" t="s" ph="1">
        <v>1</v>
      </c>
      <c r="AA32" s="174" t="s" ph="1">
        <v>31</v>
      </c>
      <c r="AB32" s="96" t="s" ph="1">
        <v>41</v>
      </c>
      <c r="AC32" s="175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283329.8237448</v>
      </c>
      <c r="E33" s="245" ph="1">
        <f>H10+I10+J10+K10</f>
        <v>805.73078926483879</v>
      </c>
      <c r="F33" s="269" ph="1">
        <f>L10+N10</f>
        <v>72776.325263999999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73" t="s" ph="1">
        <v>62</v>
      </c>
      <c r="AA36" s="173" ph="1"/>
      <c r="AB36" s="231" t="s" ph="1">
        <v>67</v>
      </c>
      <c r="AC36" s="231" ph="1"/>
      <c r="AD36" s="231" ph="1"/>
      <c r="AE36" s="231" ph="1"/>
    </row>
    <row r="37" spans="1:31" s="173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2763" priority="176">
      <formula>ABS(D$7-D$10)&gt;=1000</formula>
    </cfRule>
  </conditionalFormatting>
  <conditionalFormatting sqref="E4 E6 E8:E9 E11">
    <cfRule type="expression" dxfId="2762" priority="175">
      <formula>ABS(E$7-E$10)&gt;=1000</formula>
    </cfRule>
  </conditionalFormatting>
  <conditionalFormatting sqref="F4 F6 F8:F9 F11">
    <cfRule type="expression" dxfId="2761" priority="174">
      <formula>ABS(F$7-F$10)&gt;=1000</formula>
    </cfRule>
  </conditionalFormatting>
  <conditionalFormatting sqref="G4 G6 G8:G9 G11">
    <cfRule type="expression" dxfId="2760" priority="173">
      <formula>ABS(G$7-G$10)&gt;=1000</formula>
    </cfRule>
  </conditionalFormatting>
  <conditionalFormatting sqref="H4:K4 H8 H11">
    <cfRule type="expression" dxfId="2759" priority="172">
      <formula>ABS(H$7-H$10)&gt;=1000</formula>
    </cfRule>
  </conditionalFormatting>
  <conditionalFormatting sqref="I8 I11">
    <cfRule type="expression" dxfId="2758" priority="171">
      <formula>ABS(I$7-I$10)&gt;=1000</formula>
    </cfRule>
  </conditionalFormatting>
  <conditionalFormatting sqref="J8 J11">
    <cfRule type="expression" dxfId="2757" priority="170">
      <formula>ABS(J$7-J$10)&gt;=1000</formula>
    </cfRule>
  </conditionalFormatting>
  <conditionalFormatting sqref="K8 K11">
    <cfRule type="expression" dxfId="2756" priority="169">
      <formula>ABS(K$7-K$10)&gt;=1000</formula>
    </cfRule>
  </conditionalFormatting>
  <conditionalFormatting sqref="L4:L5 M4:N4 Q4:S4 L8 L11">
    <cfRule type="expression" dxfId="2755" priority="168">
      <formula>ABS(L$7-L$10)&gt;=1000</formula>
    </cfRule>
  </conditionalFormatting>
  <conditionalFormatting sqref="M8 M11">
    <cfRule type="expression" dxfId="2754" priority="167">
      <formula>ABS(M$7-M$10)&gt;=1000</formula>
    </cfRule>
  </conditionalFormatting>
  <conditionalFormatting sqref="N8 N11">
    <cfRule type="expression" dxfId="2753" priority="166">
      <formula>ABS(N$7-N$10)&gt;=1000</formula>
    </cfRule>
  </conditionalFormatting>
  <conditionalFormatting sqref="Q5:Q11">
    <cfRule type="expression" dxfId="2752" priority="165">
      <formula>ABS(Q$7-Q$10)&gt;=1000</formula>
    </cfRule>
  </conditionalFormatting>
  <conditionalFormatting sqref="R5:R11">
    <cfRule type="expression" dxfId="2751" priority="164">
      <formula>ABS(R$7-R$10)&gt;=1000</formula>
    </cfRule>
  </conditionalFormatting>
  <conditionalFormatting sqref="S5:S11">
    <cfRule type="expression" dxfId="2750" priority="163">
      <formula>ABS(S$7-S$10)&gt;=1000</formula>
    </cfRule>
  </conditionalFormatting>
  <conditionalFormatting sqref="T4:T9 T11">
    <cfRule type="expression" dxfId="2749" priority="162">
      <formula>ABS(T$7-T$10)&gt;=1000</formula>
    </cfRule>
  </conditionalFormatting>
  <conditionalFormatting sqref="U4:U9 U11">
    <cfRule type="expression" dxfId="2748" priority="161">
      <formula>ABS(U$7-U$10)&gt;=1000</formula>
    </cfRule>
  </conditionalFormatting>
  <conditionalFormatting sqref="V4:V9 V11">
    <cfRule type="expression" dxfId="2747" priority="160">
      <formula>ABS(V$7-V$10)&gt;=1000</formula>
    </cfRule>
  </conditionalFormatting>
  <conditionalFormatting sqref="W4:W9 W11">
    <cfRule type="expression" dxfId="2746" priority="159">
      <formula>ABS(W$7-W$10)&gt;=1000</formula>
    </cfRule>
  </conditionalFormatting>
  <conditionalFormatting sqref="X4:X9 X11">
    <cfRule type="expression" dxfId="2745" priority="158">
      <formula>ABS(X$7-X$10)&gt;=1000</formula>
    </cfRule>
  </conditionalFormatting>
  <conditionalFormatting sqref="Y4:Y9 Y11">
    <cfRule type="expression" dxfId="2744" priority="157">
      <formula>ABS(Y$7-Y$10)&gt;=1000</formula>
    </cfRule>
  </conditionalFormatting>
  <conditionalFormatting sqref="Z4:Z11">
    <cfRule type="expression" dxfId="2743" priority="156">
      <formula>ABS(Z$7-Z$10)&gt;=1000</formula>
    </cfRule>
  </conditionalFormatting>
  <conditionalFormatting sqref="AA4:AA11">
    <cfRule type="expression" dxfId="2742" priority="155">
      <formula>ABS(AA$7-AA$10)&gt;=1000</formula>
    </cfRule>
  </conditionalFormatting>
  <conditionalFormatting sqref="AB4:AB11">
    <cfRule type="expression" dxfId="2741" priority="154">
      <formula>ABS(AB$7-AB$10)&gt;=1000</formula>
    </cfRule>
  </conditionalFormatting>
  <conditionalFormatting sqref="AC4 AC6:AC11">
    <cfRule type="expression" dxfId="2740" priority="153">
      <formula>ABS(AC$7-AC$10)&gt;=1000</formula>
    </cfRule>
  </conditionalFormatting>
  <conditionalFormatting sqref="AD4 AD6:AD11">
    <cfRule type="expression" dxfId="2739" priority="152">
      <formula>ABS(AD$7-AD$10)&gt;=1000</formula>
    </cfRule>
  </conditionalFormatting>
  <conditionalFormatting sqref="AE4 AE6:AE11">
    <cfRule type="expression" dxfId="2738" priority="151">
      <formula>ABS(AE$7-AE$10)&gt;=1000</formula>
    </cfRule>
  </conditionalFormatting>
  <conditionalFormatting sqref="D13:D20">
    <cfRule type="expression" dxfId="2737" priority="150">
      <formula>ABS(D$16-D$19)&gt;=1000</formula>
    </cfRule>
  </conditionalFormatting>
  <conditionalFormatting sqref="E13:E20">
    <cfRule type="expression" dxfId="2736" priority="149">
      <formula>ABS(E$16-E$19)&gt;=1000</formula>
    </cfRule>
  </conditionalFormatting>
  <conditionalFormatting sqref="F13 F15:F20">
    <cfRule type="expression" dxfId="2735" priority="148">
      <formula>ABS(F$16-F$19)&gt;=1000</formula>
    </cfRule>
  </conditionalFormatting>
  <conditionalFormatting sqref="G13:G20">
    <cfRule type="expression" dxfId="2734" priority="147">
      <formula>ABS(G$16-G$19)&gt;=1000</formula>
    </cfRule>
  </conditionalFormatting>
  <conditionalFormatting sqref="H13 H15:H20">
    <cfRule type="expression" dxfId="2733" priority="146">
      <formula>ABS(H$16-H$19)&gt;=1000</formula>
    </cfRule>
  </conditionalFormatting>
  <conditionalFormatting sqref="I13:I20">
    <cfRule type="expression" dxfId="2732" priority="145">
      <formula>ABS(I$16-I$19)&gt;=1000</formula>
    </cfRule>
  </conditionalFormatting>
  <conditionalFormatting sqref="J13:J20">
    <cfRule type="expression" dxfId="2731" priority="144">
      <formula>ABS(J$16-J$19)&gt;=1000</formula>
    </cfRule>
  </conditionalFormatting>
  <conditionalFormatting sqref="L13:L20">
    <cfRule type="expression" dxfId="2730" priority="143">
      <formula>ABS(L$16-L$19)&gt;=1000</formula>
    </cfRule>
  </conditionalFormatting>
  <conditionalFormatting sqref="M13 M15 M17:M18 M20">
    <cfRule type="expression" dxfId="2729" priority="142">
      <formula>ABS(M$16-M$19)&gt;=1000</formula>
    </cfRule>
  </conditionalFormatting>
  <conditionalFormatting sqref="N13:N20">
    <cfRule type="expression" dxfId="2728" priority="141">
      <formula>ABS(N$16-N$19)&gt;=1000</formula>
    </cfRule>
  </conditionalFormatting>
  <conditionalFormatting sqref="O13:O20">
    <cfRule type="expression" dxfId="2727" priority="140">
      <formula>ABS(O$16-O$19)&gt;=1000</formula>
    </cfRule>
  </conditionalFormatting>
  <conditionalFormatting sqref="P13:P20">
    <cfRule type="expression" dxfId="2726" priority="139">
      <formula>ABS(P$16-P$19)&gt;=1000</formula>
    </cfRule>
  </conditionalFormatting>
  <conditionalFormatting sqref="Q13 Q15:Q20">
    <cfRule type="expression" dxfId="2725" priority="138">
      <formula>ABS(Q$16-Q$19)&gt;=1000</formula>
    </cfRule>
  </conditionalFormatting>
  <conditionalFormatting sqref="R13:R20">
    <cfRule type="expression" dxfId="2724" priority="137">
      <formula>ABS(R$16-R$19)&gt;=1000</formula>
    </cfRule>
  </conditionalFormatting>
  <conditionalFormatting sqref="S13:S20">
    <cfRule type="expression" dxfId="2723" priority="136">
      <formula>ABS(S$16-S$19)&gt;=1000</formula>
    </cfRule>
  </conditionalFormatting>
  <conditionalFormatting sqref="T13:T20">
    <cfRule type="expression" dxfId="2722" priority="135">
      <formula>ABS(T$16-T$19)&gt;=1000</formula>
    </cfRule>
  </conditionalFormatting>
  <conditionalFormatting sqref="U13:U20">
    <cfRule type="expression" dxfId="2721" priority="134">
      <formula>ABS(U$16-U$19)&gt;=1000</formula>
    </cfRule>
  </conditionalFormatting>
  <conditionalFormatting sqref="V13:V20">
    <cfRule type="expression" dxfId="2720" priority="133">
      <formula>ABS(V$16-V$19)&gt;=1000</formula>
    </cfRule>
  </conditionalFormatting>
  <conditionalFormatting sqref="W13 W20 W15:W18">
    <cfRule type="expression" dxfId="2719" priority="132">
      <formula>ABS(W$16-W$19)&gt;=1000</formula>
    </cfRule>
  </conditionalFormatting>
  <conditionalFormatting sqref="X13 X15:X20 Y19">
    <cfRule type="expression" dxfId="2718" priority="131">
      <formula>ABS(X$16-X$19)&gt;=1000</formula>
    </cfRule>
  </conditionalFormatting>
  <conditionalFormatting sqref="Y13 Y15:Y18 Y20">
    <cfRule type="expression" dxfId="2717" priority="130">
      <formula>ABS(Y$16-Y$19)&gt;=1000</formula>
    </cfRule>
  </conditionalFormatting>
  <conditionalFormatting sqref="Z13:Z20">
    <cfRule type="expression" dxfId="2716" priority="129">
      <formula>ABS(Z$16-Z$19)&gt;=1000</formula>
    </cfRule>
  </conditionalFormatting>
  <conditionalFormatting sqref="AA13:AA20">
    <cfRule type="expression" dxfId="2715" priority="128">
      <formula>ABS(AA$16-AA$19)&gt;=1000</formula>
    </cfRule>
  </conditionalFormatting>
  <conditionalFormatting sqref="AB13 AB15:AB20">
    <cfRule type="expression" dxfId="2714" priority="127">
      <formula>ABS(AB$16-AB$19)&gt;=1000</formula>
    </cfRule>
  </conditionalFormatting>
  <conditionalFormatting sqref="AC13 AC15:AC20">
    <cfRule type="expression" dxfId="2713" priority="126">
      <formula>ABS(AC$16-AC$19)&gt;=1000</formula>
    </cfRule>
  </conditionalFormatting>
  <conditionalFormatting sqref="AD13:AD20">
    <cfRule type="expression" dxfId="2712" priority="125">
      <formula>ABS(AD$16-AD$19)&gt;=1000</formula>
    </cfRule>
  </conditionalFormatting>
  <conditionalFormatting sqref="AE13:AE20">
    <cfRule type="expression" dxfId="2711" priority="124">
      <formula>ABS(AE$16-AE$19)&gt;=1000</formula>
    </cfRule>
  </conditionalFormatting>
  <conditionalFormatting sqref="D22:D29">
    <cfRule type="expression" dxfId="2710" priority="123">
      <formula>ABS(D$25-D$28)&gt;=1000</formula>
    </cfRule>
  </conditionalFormatting>
  <conditionalFormatting sqref="E22:E29">
    <cfRule type="expression" dxfId="2709" priority="122">
      <formula>ABS(E$25-E$28)&gt;=1000</formula>
    </cfRule>
  </conditionalFormatting>
  <conditionalFormatting sqref="F22:F29">
    <cfRule type="expression" dxfId="2708" priority="121">
      <formula>ABS(F$25-F$28)&gt;=1000</formula>
    </cfRule>
  </conditionalFormatting>
  <conditionalFormatting sqref="G22:G29">
    <cfRule type="expression" dxfId="2707" priority="120">
      <formula>ABS(G$25-G$28)&gt;=1000</formula>
    </cfRule>
  </conditionalFormatting>
  <conditionalFormatting sqref="H22:H29">
    <cfRule type="expression" dxfId="2706" priority="119">
      <formula>ABS(H$25-H$28)&gt;=1000</formula>
    </cfRule>
  </conditionalFormatting>
  <conditionalFormatting sqref="I22 I24:I29">
    <cfRule type="expression" dxfId="2705" priority="118">
      <formula>ABS(I$25-I$28)&gt;=1000</formula>
    </cfRule>
  </conditionalFormatting>
  <conditionalFormatting sqref="J22:J29 K22">
    <cfRule type="expression" dxfId="2704" priority="117">
      <formula>ABS(J$25-J$28)&gt;=1000</formula>
    </cfRule>
  </conditionalFormatting>
  <conditionalFormatting sqref="K23:K29 L25 L28">
    <cfRule type="expression" dxfId="2703" priority="116">
      <formula>ABS(K$25-K$28)&gt;=1000</formula>
    </cfRule>
  </conditionalFormatting>
  <conditionalFormatting sqref="L22 L26:L27 L29 L24">
    <cfRule type="expression" dxfId="2702" priority="115">
      <formula>ABS(L$25-L$28)&gt;=1000</formula>
    </cfRule>
  </conditionalFormatting>
  <conditionalFormatting sqref="M22:M29">
    <cfRule type="expression" dxfId="2701" priority="114">
      <formula>ABS(M$25-M$28)&gt;=1000</formula>
    </cfRule>
  </conditionalFormatting>
  <conditionalFormatting sqref="N22:N29">
    <cfRule type="expression" dxfId="2700" priority="113">
      <formula>ABS(N$25-N$28)&gt;=1000</formula>
    </cfRule>
  </conditionalFormatting>
  <conditionalFormatting sqref="O22:O29">
    <cfRule type="expression" dxfId="2699" priority="112">
      <formula>ABS(O$25-O$28)&gt;=1000</formula>
    </cfRule>
  </conditionalFormatting>
  <conditionalFormatting sqref="P22:P29">
    <cfRule type="expression" dxfId="2698" priority="111">
      <formula>ABS(P$25-P$28)&gt;=1000</formula>
    </cfRule>
  </conditionalFormatting>
  <conditionalFormatting sqref="Q22:Q29">
    <cfRule type="expression" dxfId="2697" priority="110">
      <formula>ABS(Q$25-Q$28)&gt;=1000</formula>
    </cfRule>
  </conditionalFormatting>
  <conditionalFormatting sqref="R22:R29">
    <cfRule type="expression" dxfId="2696" priority="109">
      <formula>ABS(R$25-R$28)&gt;=1000</formula>
    </cfRule>
  </conditionalFormatting>
  <conditionalFormatting sqref="S22:S29">
    <cfRule type="expression" dxfId="2695" priority="108">
      <formula>ABS(S$25-S$28)&gt;=1000</formula>
    </cfRule>
  </conditionalFormatting>
  <conditionalFormatting sqref="T22:T29">
    <cfRule type="expression" dxfId="2694" priority="107">
      <formula>ABS(T$25-T$28)&gt;=1000</formula>
    </cfRule>
  </conditionalFormatting>
  <conditionalFormatting sqref="U22:U29">
    <cfRule type="expression" dxfId="2693" priority="106">
      <formula>ABS(U$25-U$28)&gt;=1000</formula>
    </cfRule>
  </conditionalFormatting>
  <conditionalFormatting sqref="V22:V29">
    <cfRule type="expression" dxfId="2692" priority="105">
      <formula>ABS(V$25-V$28)&gt;=1000</formula>
    </cfRule>
  </conditionalFormatting>
  <conditionalFormatting sqref="W22:W29">
    <cfRule type="expression" dxfId="2691" priority="104">
      <formula>ABS(W$25-W$28)&gt;=1000</formula>
    </cfRule>
  </conditionalFormatting>
  <conditionalFormatting sqref="X22:X29">
    <cfRule type="expression" dxfId="2690" priority="103">
      <formula>ABS(X$25-X$28)&gt;=1000</formula>
    </cfRule>
  </conditionalFormatting>
  <conditionalFormatting sqref="Y22:Y29">
    <cfRule type="expression" dxfId="2689" priority="102">
      <formula>ABS(Y$25-Y$28)&gt;=1000</formula>
    </cfRule>
  </conditionalFormatting>
  <conditionalFormatting sqref="I23">
    <cfRule type="expression" dxfId="2688" priority="101">
      <formula>ABS(I$25-I$28)&gt;=1000</formula>
    </cfRule>
  </conditionalFormatting>
  <conditionalFormatting sqref="Q14">
    <cfRule type="expression" dxfId="2687" priority="100">
      <formula>ABS(Q$16-Q$19)&gt;=1000</formula>
    </cfRule>
  </conditionalFormatting>
  <conditionalFormatting sqref="W14">
    <cfRule type="expression" dxfId="2686" priority="99">
      <formula>ABS(W$16-W$19)&gt;=1000</formula>
    </cfRule>
  </conditionalFormatting>
  <conditionalFormatting sqref="X14">
    <cfRule type="expression" dxfId="2685" priority="98">
      <formula>ABS(X$16-X$19)&gt;=1000</formula>
    </cfRule>
  </conditionalFormatting>
  <conditionalFormatting sqref="T10:Y10">
    <cfRule type="expression" dxfId="2684" priority="97">
      <formula>ABS(T$7-T$10)&gt;=1000</formula>
    </cfRule>
  </conditionalFormatting>
  <conditionalFormatting sqref="W19">
    <cfRule type="expression" dxfId="2683" priority="96">
      <formula>ABS(W$16-W$19)&gt;=1000</formula>
    </cfRule>
  </conditionalFormatting>
  <conditionalFormatting sqref="AC5">
    <cfRule type="expression" dxfId="2682" priority="95">
      <formula>ABS(AC$7-AC$10)&gt;=1000</formula>
    </cfRule>
  </conditionalFormatting>
  <conditionalFormatting sqref="M14">
    <cfRule type="expression" dxfId="2681" priority="94">
      <formula>ABS(M$16-M$19)&gt;=1000</formula>
    </cfRule>
  </conditionalFormatting>
  <conditionalFormatting sqref="M16">
    <cfRule type="expression" dxfId="2680" priority="93">
      <formula>ABS(M$16-M$19)&gt;=1000</formula>
    </cfRule>
  </conditionalFormatting>
  <conditionalFormatting sqref="M19">
    <cfRule type="expression" dxfId="2679" priority="92">
      <formula>ABS(M$16-M$19)&gt;=1000</formula>
    </cfRule>
  </conditionalFormatting>
  <conditionalFormatting sqref="K13:K20">
    <cfRule type="expression" dxfId="2678" priority="91">
      <formula>ABS(K$16-K$19)&gt;=1000</formula>
    </cfRule>
  </conditionalFormatting>
  <conditionalFormatting sqref="AB14:AC14">
    <cfRule type="expression" dxfId="2677" priority="90">
      <formula>ABS(AB$16-AB$19)&gt;=1000</formula>
    </cfRule>
  </conditionalFormatting>
  <conditionalFormatting sqref="M5">
    <cfRule type="expression" dxfId="2676" priority="89">
      <formula>ABS(M$7-M$10)&gt;=1000</formula>
    </cfRule>
  </conditionalFormatting>
  <conditionalFormatting sqref="N5">
    <cfRule type="expression" dxfId="2675" priority="88">
      <formula>ABS(N$7-N$10)&gt;=1000</formula>
    </cfRule>
  </conditionalFormatting>
  <conditionalFormatting sqref="L23">
    <cfRule type="expression" dxfId="2674" priority="87">
      <formula>ABS(L$25-L$28)&gt;=1000</formula>
    </cfRule>
  </conditionalFormatting>
  <conditionalFormatting sqref="Y14">
    <cfRule type="expression" dxfId="2673" priority="86">
      <formula>ABS(Y$16-Y$19)&gt;=1000</formula>
    </cfRule>
  </conditionalFormatting>
  <conditionalFormatting sqref="F14">
    <cfRule type="expression" dxfId="2672" priority="85">
      <formula>ABS(F$16-F$19)&gt;=1000</formula>
    </cfRule>
  </conditionalFormatting>
  <conditionalFormatting sqref="H14">
    <cfRule type="expression" dxfId="2671" priority="84">
      <formula>ABS(H$16-H$19)&gt;=1000</formula>
    </cfRule>
  </conditionalFormatting>
  <conditionalFormatting sqref="AD5">
    <cfRule type="expression" dxfId="2670" priority="83">
      <formula>ABS(AD$7-AD$10)&gt;=1000</formula>
    </cfRule>
  </conditionalFormatting>
  <conditionalFormatting sqref="AE5">
    <cfRule type="expression" dxfId="2669" priority="82">
      <formula>ABS(AE$7-AE$10)&gt;=1000</formula>
    </cfRule>
  </conditionalFormatting>
  <conditionalFormatting sqref="D5">
    <cfRule type="expression" dxfId="2668" priority="81">
      <formula>ABS(D$7-D$10)&gt;=1000</formula>
    </cfRule>
  </conditionalFormatting>
  <conditionalFormatting sqref="E5:G5">
    <cfRule type="expression" dxfId="2667" priority="80">
      <formula>ABS(E$7-E$10)&gt;=1000</formula>
    </cfRule>
  </conditionalFormatting>
  <conditionalFormatting sqref="H5">
    <cfRule type="expression" dxfId="2666" priority="79">
      <formula>ABS(H$7-H$10)&gt;=1000</formula>
    </cfRule>
  </conditionalFormatting>
  <conditionalFormatting sqref="O4:P4">
    <cfRule type="expression" dxfId="2665" priority="78">
      <formula>ABS(O$7-O$10)&gt;=1000</formula>
    </cfRule>
  </conditionalFormatting>
  <conditionalFormatting sqref="O5 O8 O11">
    <cfRule type="expression" dxfId="2664" priority="77">
      <formula>ABS(O$7-O$10)&gt;=1000</formula>
    </cfRule>
  </conditionalFormatting>
  <conditionalFormatting sqref="P8 P11">
    <cfRule type="expression" dxfId="2663" priority="76">
      <formula>ABS(P$7-P$10)&gt;=1000</formula>
    </cfRule>
  </conditionalFormatting>
  <conditionalFormatting sqref="I5">
    <cfRule type="expression" dxfId="2662" priority="75">
      <formula>ABS(I$7-I$10)&gt;=1000</formula>
    </cfRule>
  </conditionalFormatting>
  <conditionalFormatting sqref="J5">
    <cfRule type="expression" dxfId="2661" priority="74">
      <formula>ABS(J$7-J$10)&gt;=1000</formula>
    </cfRule>
  </conditionalFormatting>
  <conditionalFormatting sqref="K5">
    <cfRule type="expression" dxfId="2660" priority="73">
      <formula>ABS(K$7-K$10)&gt;=1000</formula>
    </cfRule>
  </conditionalFormatting>
  <conditionalFormatting sqref="P5">
    <cfRule type="expression" dxfId="2659" priority="72">
      <formula>ABS(P$7-P$10)&gt;=1000</formula>
    </cfRule>
  </conditionalFormatting>
  <conditionalFormatting sqref="H6">
    <cfRule type="expression" dxfId="2641" priority="39">
      <formula>ABS(H$7-H$10)&gt;=1000</formula>
    </cfRule>
  </conditionalFormatting>
  <conditionalFormatting sqref="J6">
    <cfRule type="expression" dxfId="2640" priority="38">
      <formula>ABS(J$7-J$10)&gt;=1000</formula>
    </cfRule>
  </conditionalFormatting>
  <conditionalFormatting sqref="K6">
    <cfRule type="expression" dxfId="2639" priority="37">
      <formula>ABS(K$7-K$10)&gt;=1000</formula>
    </cfRule>
  </conditionalFormatting>
  <conditionalFormatting sqref="L6">
    <cfRule type="expression" dxfId="2638" priority="36">
      <formula>ABS(L$7-L$10)&gt;=1000</formula>
    </cfRule>
  </conditionalFormatting>
  <conditionalFormatting sqref="M6">
    <cfRule type="expression" dxfId="2637" priority="35">
      <formula>ABS(M$7-M$10)&gt;=1000</formula>
    </cfRule>
  </conditionalFormatting>
  <conditionalFormatting sqref="N6">
    <cfRule type="expression" dxfId="2636" priority="34">
      <formula>ABS(N$7-N$10)&gt;=1000</formula>
    </cfRule>
  </conditionalFormatting>
  <conditionalFormatting sqref="O6">
    <cfRule type="expression" dxfId="2635" priority="33">
      <formula>ABS(O$7-O$10)&gt;=1000</formula>
    </cfRule>
  </conditionalFormatting>
  <conditionalFormatting sqref="P6">
    <cfRule type="expression" dxfId="2634" priority="32">
      <formula>ABS(P$7-P$10)&gt;=1000</formula>
    </cfRule>
  </conditionalFormatting>
  <conditionalFormatting sqref="I6">
    <cfRule type="expression" dxfId="2633" priority="31">
      <formula>ABS(I$7-I$10)&gt;=1000</formula>
    </cfRule>
  </conditionalFormatting>
  <conditionalFormatting sqref="H9">
    <cfRule type="expression" dxfId="2632" priority="21">
      <formula>ABS(H$7-H$10)&gt;=1000</formula>
    </cfRule>
  </conditionalFormatting>
  <conditionalFormatting sqref="J9">
    <cfRule type="expression" dxfId="2631" priority="20">
      <formula>ABS(J$7-J$10)&gt;=1000</formula>
    </cfRule>
  </conditionalFormatting>
  <conditionalFormatting sqref="K9">
    <cfRule type="expression" dxfId="2630" priority="19">
      <formula>ABS(K$7-K$10)&gt;=1000</formula>
    </cfRule>
  </conditionalFormatting>
  <conditionalFormatting sqref="L9">
    <cfRule type="expression" dxfId="2629" priority="18">
      <formula>ABS(L$7-L$10)&gt;=1000</formula>
    </cfRule>
  </conditionalFormatting>
  <conditionalFormatting sqref="M9">
    <cfRule type="expression" dxfId="2628" priority="17">
      <formula>ABS(M$7-M$10)&gt;=1000</formula>
    </cfRule>
  </conditionalFormatting>
  <conditionalFormatting sqref="N9">
    <cfRule type="expression" dxfId="2627" priority="16">
      <formula>ABS(N$7-N$10)&gt;=1000</formula>
    </cfRule>
  </conditionalFormatting>
  <conditionalFormatting sqref="O9">
    <cfRule type="expression" dxfId="2626" priority="15">
      <formula>ABS(O$7-O$10)&gt;=1000</formula>
    </cfRule>
  </conditionalFormatting>
  <conditionalFormatting sqref="P9">
    <cfRule type="expression" dxfId="2625" priority="14">
      <formula>ABS(P$7-P$10)&gt;=1000</formula>
    </cfRule>
  </conditionalFormatting>
  <conditionalFormatting sqref="I9">
    <cfRule type="expression" dxfId="2624" priority="13">
      <formula>ABS(I$7-I$10)&gt;=1000</formula>
    </cfRule>
  </conditionalFormatting>
  <conditionalFormatting sqref="D7:G7">
    <cfRule type="expression" dxfId="94" priority="10">
      <formula>ABS(D$7-D$10)&gt;=1000</formula>
    </cfRule>
  </conditionalFormatting>
  <conditionalFormatting sqref="H7:L7">
    <cfRule type="expression" dxfId="93" priority="9">
      <formula>ABS(H$7-H$10)&gt;=1000</formula>
    </cfRule>
  </conditionalFormatting>
  <conditionalFormatting sqref="M7">
    <cfRule type="expression" dxfId="92" priority="8">
      <formula>ABS(M$7-M$10)&gt;=1000</formula>
    </cfRule>
  </conditionalFormatting>
  <conditionalFormatting sqref="O7:P7">
    <cfRule type="expression" dxfId="91" priority="7">
      <formula>ABS(O$7-O$10)&gt;=1000</formula>
    </cfRule>
  </conditionalFormatting>
  <conditionalFormatting sqref="N7">
    <cfRule type="expression" dxfId="90" priority="6">
      <formula>ABS(N$7-N$10)&gt;=1000</formula>
    </cfRule>
  </conditionalFormatting>
  <conditionalFormatting sqref="D10:G10">
    <cfRule type="expression" dxfId="89" priority="5">
      <formula>ABS(D$7-D$10)&gt;=1000</formula>
    </cfRule>
  </conditionalFormatting>
  <conditionalFormatting sqref="H10:L10">
    <cfRule type="expression" dxfId="88" priority="4">
      <formula>ABS(H$7-H$10)&gt;=1000</formula>
    </cfRule>
  </conditionalFormatting>
  <conditionalFormatting sqref="M10">
    <cfRule type="expression" dxfId="87" priority="3">
      <formula>ABS(M$7-M$10)&gt;=1000</formula>
    </cfRule>
  </conditionalFormatting>
  <conditionalFormatting sqref="O10:P10">
    <cfRule type="expression" dxfId="86" priority="2">
      <formula>ABS(O$7-O$10)&gt;=1000</formula>
    </cfRule>
  </conditionalFormatting>
  <conditionalFormatting sqref="N10">
    <cfRule type="expression" dxfId="8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06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3">
    <pageSetUpPr fitToPage="1"/>
  </sheetPr>
  <dimension ref="A1:BA223"/>
  <sheetViews>
    <sheetView view="pageBreakPreview" topLeftCell="B1" zoomScale="110" zoomScaleNormal="100" zoomScaleSheetLayoutView="110" workbookViewId="0">
      <selection activeCell="P7" sqref="D7:P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46141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141" t="s" ph="1">
        <v>121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78" t="s" ph="1">
        <v>54</v>
      </c>
      <c r="D6" s="151">
        <v>0.38019999999999998</v>
      </c>
      <c r="E6" s="151">
        <v>0.99780000000000002</v>
      </c>
      <c r="F6" s="151">
        <v>0</v>
      </c>
      <c r="G6" s="151">
        <v>0.21440000000000001</v>
      </c>
      <c r="H6" s="70">
        <v>780</v>
      </c>
      <c r="I6" s="70">
        <v>0</v>
      </c>
      <c r="J6" s="70">
        <v>0</v>
      </c>
      <c r="K6" s="70">
        <v>0</v>
      </c>
      <c r="L6" s="70">
        <v>2665</v>
      </c>
      <c r="M6" s="70">
        <v>671</v>
      </c>
      <c r="N6" s="70">
        <v>1417</v>
      </c>
      <c r="O6" s="70">
        <v>4156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7850.7160990720004</v>
      </c>
      <c r="E7" s="72" ph="1">
        <f>((E6*5885)*4.48)*LOOKUP(E8,密度!$A$2:$A$50,密度!$B$2:$B$50)</f>
        <v>20708.710944768001</v>
      </c>
      <c r="F7" s="72" ph="1">
        <f>((F6*5885)*4.48)*LOOKUP(F8,密度!$A$2:$A$50,密度!$B$2:$B$50)</f>
        <v>0</v>
      </c>
      <c r="G7" s="72" ph="1">
        <f>((G6*5885)*4.48)*LOOKUP(G8,密度!$A$2:$A$50,密度!$B$2:$B$50)</f>
        <v>4449.7370480640011</v>
      </c>
      <c r="H7" s="72" ph="1">
        <f>IF(H6&lt;=0,0,IF(H6&lt;=745,PI()*(5.3235*(H6/1000)^2-(4/3)*(H6/1000)^3),7.55+15.2053*((H6-745)/1000))*LOOKUP(H8,密度!$A$2:$A$50,密度!$B$2:$B$50)*1000)</f>
        <v>6300.8718157999992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54891.090279999997</v>
      </c>
      <c r="M7" s="72" ph="1">
        <f>M6*26.42*1</f>
        <v>17727.82</v>
      </c>
      <c r="N7" s="72" ph="1">
        <f>N6*18.32*LOOKUP(N8,密度!$A$2:$A$50,密度!$B$2:$B$50)</f>
        <v>20396.332007999998</v>
      </c>
      <c r="O7" s="72" ph="1">
        <f>O6*81.71*LOOKUP(O8,密度!$A$2:$A$50,密度!$B$2:$B$50)</f>
        <v>264741.83809599996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78" t="s" ph="1">
        <v>57</v>
      </c>
      <c r="D9" s="151">
        <v>0</v>
      </c>
      <c r="E9" s="151">
        <v>0.1038</v>
      </c>
      <c r="F9" s="151">
        <v>0</v>
      </c>
      <c r="G9" s="151">
        <v>0</v>
      </c>
      <c r="H9" s="70">
        <v>2208</v>
      </c>
      <c r="I9" s="70">
        <v>0</v>
      </c>
      <c r="J9" s="70">
        <v>0</v>
      </c>
      <c r="K9" s="70">
        <v>0</v>
      </c>
      <c r="L9" s="70">
        <v>2697</v>
      </c>
      <c r="M9" s="70">
        <v>670</v>
      </c>
      <c r="N9" s="70">
        <v>1488</v>
      </c>
      <c r="O9" s="70">
        <v>5309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78" t="s" ph="1">
        <v>55</v>
      </c>
      <c r="D10" s="72" ph="1">
        <f>((D9*5885)*4.48)*LOOKUP(D11,密度!$A$2:$A$50,密度!$B$2:$B$50)</f>
        <v>0</v>
      </c>
      <c r="E10" s="72" ph="1">
        <f>((E9*5885)*4.48)*LOOKUP(E11,密度!$A$2:$A$50,密度!$B$2:$B$50)</f>
        <v>2150.1986647680001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23228.45790044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55550.195304000001</v>
      </c>
      <c r="M10" s="72" ph="1">
        <f>M9*26.42*1</f>
        <v>17701.400000000001</v>
      </c>
      <c r="N10" s="72" ph="1">
        <f>N9*18.32*LOOKUP(N11,密度!$A$2:$A$50,密度!$B$2:$B$50)</f>
        <v>21396.499584000001</v>
      </c>
      <c r="O10" s="72" ph="1">
        <f>O9*81.71*LOOKUP(O11,密度!$A$2:$A$50,密度!$B$2:$B$50)</f>
        <v>338189.22484399995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78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28</v>
      </c>
      <c r="C13" s="178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78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78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78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78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78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78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78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78" t="s" ph="1">
        <v>1</v>
      </c>
      <c r="F32" s="177" t="s" ph="1">
        <v>31</v>
      </c>
      <c r="G32" s="96" t="s" ph="1">
        <v>0</v>
      </c>
      <c r="H32" s="178" t="s" ph="1">
        <v>1</v>
      </c>
      <c r="I32" s="177" t="s" ph="1">
        <v>31</v>
      </c>
      <c r="J32" s="96" t="s" ph="1">
        <v>0</v>
      </c>
      <c r="K32" s="178" t="s" ph="1">
        <v>1</v>
      </c>
      <c r="L32" s="177" t="s" ph="1">
        <v>31</v>
      </c>
      <c r="M32" s="96" t="s" ph="1">
        <v>0</v>
      </c>
      <c r="N32" s="178" t="s" ph="1">
        <v>1</v>
      </c>
      <c r="O32" s="177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78" t="s" ph="1">
        <v>1</v>
      </c>
      <c r="U32" s="98" t="s" ph="1">
        <v>31</v>
      </c>
      <c r="V32" s="96" t="s" ph="1">
        <v>0</v>
      </c>
      <c r="W32" s="178" t="s" ph="1">
        <v>1</v>
      </c>
      <c r="X32" s="98" t="s" ph="1">
        <v>31</v>
      </c>
      <c r="Y32" s="99" t="s" ph="1">
        <v>0</v>
      </c>
      <c r="Z32" s="178" t="s" ph="1">
        <v>1</v>
      </c>
      <c r="AA32" s="177" t="s" ph="1">
        <v>31</v>
      </c>
      <c r="AB32" s="96" t="s" ph="1">
        <v>41</v>
      </c>
      <c r="AC32" s="178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338189.22484399995</v>
      </c>
      <c r="E33" s="245" ph="1">
        <f>H10+I10+J10+K10</f>
        <v>23228.45790044</v>
      </c>
      <c r="F33" s="269" ph="1">
        <f>L10+N10</f>
        <v>76946.694887999998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76" t="s" ph="1">
        <v>62</v>
      </c>
      <c r="AA36" s="176" ph="1"/>
      <c r="AB36" s="231" t="s" ph="1">
        <v>67</v>
      </c>
      <c r="AC36" s="231" ph="1"/>
      <c r="AD36" s="231" ph="1"/>
      <c r="AE36" s="231" ph="1"/>
    </row>
    <row r="37" spans="1:31" s="17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2621" priority="152">
      <formula>ABS(D$7-D$10)&gt;=1000</formula>
    </cfRule>
  </conditionalFormatting>
  <conditionalFormatting sqref="E4 E6 E8:E9 E11">
    <cfRule type="expression" dxfId="2620" priority="151">
      <formula>ABS(E$7-E$10)&gt;=1000</formula>
    </cfRule>
  </conditionalFormatting>
  <conditionalFormatting sqref="F4 F6 F8:F9 F11">
    <cfRule type="expression" dxfId="2619" priority="150">
      <formula>ABS(F$7-F$10)&gt;=1000</formula>
    </cfRule>
  </conditionalFormatting>
  <conditionalFormatting sqref="G4 G6 G8:G9 G11">
    <cfRule type="expression" dxfId="2618" priority="149">
      <formula>ABS(G$7-G$10)&gt;=1000</formula>
    </cfRule>
  </conditionalFormatting>
  <conditionalFormatting sqref="H4:K4 H8 H11">
    <cfRule type="expression" dxfId="2617" priority="148">
      <formula>ABS(H$7-H$10)&gt;=1000</formula>
    </cfRule>
  </conditionalFormatting>
  <conditionalFormatting sqref="I8 I11">
    <cfRule type="expression" dxfId="2616" priority="147">
      <formula>ABS(I$7-I$10)&gt;=1000</formula>
    </cfRule>
  </conditionalFormatting>
  <conditionalFormatting sqref="J8 J11">
    <cfRule type="expression" dxfId="2615" priority="146">
      <formula>ABS(J$7-J$10)&gt;=1000</formula>
    </cfRule>
  </conditionalFormatting>
  <conditionalFormatting sqref="K8 K11">
    <cfRule type="expression" dxfId="2614" priority="145">
      <formula>ABS(K$7-K$10)&gt;=1000</formula>
    </cfRule>
  </conditionalFormatting>
  <conditionalFormatting sqref="L4:L5 M4:N4 Q4:S4 L8 L11">
    <cfRule type="expression" dxfId="2613" priority="144">
      <formula>ABS(L$7-L$10)&gt;=1000</formula>
    </cfRule>
  </conditionalFormatting>
  <conditionalFormatting sqref="M8 M11">
    <cfRule type="expression" dxfId="2612" priority="143">
      <formula>ABS(M$7-M$10)&gt;=1000</formula>
    </cfRule>
  </conditionalFormatting>
  <conditionalFormatting sqref="N8 N11">
    <cfRule type="expression" dxfId="2611" priority="142">
      <formula>ABS(N$7-N$10)&gt;=1000</formula>
    </cfRule>
  </conditionalFormatting>
  <conditionalFormatting sqref="Q5:Q11">
    <cfRule type="expression" dxfId="2610" priority="141">
      <formula>ABS(Q$7-Q$10)&gt;=1000</formula>
    </cfRule>
  </conditionalFormatting>
  <conditionalFormatting sqref="R5:R11">
    <cfRule type="expression" dxfId="2609" priority="140">
      <formula>ABS(R$7-R$10)&gt;=1000</formula>
    </cfRule>
  </conditionalFormatting>
  <conditionalFormatting sqref="S5:S11">
    <cfRule type="expression" dxfId="2608" priority="139">
      <formula>ABS(S$7-S$10)&gt;=1000</formula>
    </cfRule>
  </conditionalFormatting>
  <conditionalFormatting sqref="T4:T9 T11">
    <cfRule type="expression" dxfId="2607" priority="138">
      <formula>ABS(T$7-T$10)&gt;=1000</formula>
    </cfRule>
  </conditionalFormatting>
  <conditionalFormatting sqref="U4:U9 U11">
    <cfRule type="expression" dxfId="2606" priority="137">
      <formula>ABS(U$7-U$10)&gt;=1000</formula>
    </cfRule>
  </conditionalFormatting>
  <conditionalFormatting sqref="V4:V9 V11">
    <cfRule type="expression" dxfId="2605" priority="136">
      <formula>ABS(V$7-V$10)&gt;=1000</formula>
    </cfRule>
  </conditionalFormatting>
  <conditionalFormatting sqref="W4:W9 W11">
    <cfRule type="expression" dxfId="2604" priority="135">
      <formula>ABS(W$7-W$10)&gt;=1000</formula>
    </cfRule>
  </conditionalFormatting>
  <conditionalFormatting sqref="X4:X9 X11">
    <cfRule type="expression" dxfId="2603" priority="134">
      <formula>ABS(X$7-X$10)&gt;=1000</formula>
    </cfRule>
  </conditionalFormatting>
  <conditionalFormatting sqref="Y4:Y9 Y11">
    <cfRule type="expression" dxfId="2602" priority="133">
      <formula>ABS(Y$7-Y$10)&gt;=1000</formula>
    </cfRule>
  </conditionalFormatting>
  <conditionalFormatting sqref="Z4:Z11">
    <cfRule type="expression" dxfId="2601" priority="132">
      <formula>ABS(Z$7-Z$10)&gt;=1000</formula>
    </cfRule>
  </conditionalFormatting>
  <conditionalFormatting sqref="AA4:AA11">
    <cfRule type="expression" dxfId="2600" priority="131">
      <formula>ABS(AA$7-AA$10)&gt;=1000</formula>
    </cfRule>
  </conditionalFormatting>
  <conditionalFormatting sqref="AB4:AB11">
    <cfRule type="expression" dxfId="2599" priority="130">
      <formula>ABS(AB$7-AB$10)&gt;=1000</formula>
    </cfRule>
  </conditionalFormatting>
  <conditionalFormatting sqref="AC4 AC6:AC11">
    <cfRule type="expression" dxfId="2598" priority="129">
      <formula>ABS(AC$7-AC$10)&gt;=1000</formula>
    </cfRule>
  </conditionalFormatting>
  <conditionalFormatting sqref="AD4 AD6:AD11">
    <cfRule type="expression" dxfId="2597" priority="128">
      <formula>ABS(AD$7-AD$10)&gt;=1000</formula>
    </cfRule>
  </conditionalFormatting>
  <conditionalFormatting sqref="AE4 AE6:AE11">
    <cfRule type="expression" dxfId="2596" priority="127">
      <formula>ABS(AE$7-AE$10)&gt;=1000</formula>
    </cfRule>
  </conditionalFormatting>
  <conditionalFormatting sqref="D13:D20">
    <cfRule type="expression" dxfId="2595" priority="126">
      <formula>ABS(D$16-D$19)&gt;=1000</formula>
    </cfRule>
  </conditionalFormatting>
  <conditionalFormatting sqref="E13:E20">
    <cfRule type="expression" dxfId="2594" priority="125">
      <formula>ABS(E$16-E$19)&gt;=1000</formula>
    </cfRule>
  </conditionalFormatting>
  <conditionalFormatting sqref="F13 F15:F20">
    <cfRule type="expression" dxfId="2593" priority="124">
      <formula>ABS(F$16-F$19)&gt;=1000</formula>
    </cfRule>
  </conditionalFormatting>
  <conditionalFormatting sqref="G13:G20">
    <cfRule type="expression" dxfId="2592" priority="123">
      <formula>ABS(G$16-G$19)&gt;=1000</formula>
    </cfRule>
  </conditionalFormatting>
  <conditionalFormatting sqref="H13 H15:H20">
    <cfRule type="expression" dxfId="2591" priority="122">
      <formula>ABS(H$16-H$19)&gt;=1000</formula>
    </cfRule>
  </conditionalFormatting>
  <conditionalFormatting sqref="I13:I20">
    <cfRule type="expression" dxfId="2590" priority="121">
      <formula>ABS(I$16-I$19)&gt;=1000</formula>
    </cfRule>
  </conditionalFormatting>
  <conditionalFormatting sqref="J13:J20">
    <cfRule type="expression" dxfId="2589" priority="120">
      <formula>ABS(J$16-J$19)&gt;=1000</formula>
    </cfRule>
  </conditionalFormatting>
  <conditionalFormatting sqref="L13:L20">
    <cfRule type="expression" dxfId="2588" priority="119">
      <formula>ABS(L$16-L$19)&gt;=1000</formula>
    </cfRule>
  </conditionalFormatting>
  <conditionalFormatting sqref="M13 M15 M17:M18 M20">
    <cfRule type="expression" dxfId="2587" priority="118">
      <formula>ABS(M$16-M$19)&gt;=1000</formula>
    </cfRule>
  </conditionalFormatting>
  <conditionalFormatting sqref="N13:N20">
    <cfRule type="expression" dxfId="2586" priority="117">
      <formula>ABS(N$16-N$19)&gt;=1000</formula>
    </cfRule>
  </conditionalFormatting>
  <conditionalFormatting sqref="O13:O20">
    <cfRule type="expression" dxfId="2585" priority="116">
      <formula>ABS(O$16-O$19)&gt;=1000</formula>
    </cfRule>
  </conditionalFormatting>
  <conditionalFormatting sqref="P13:P20">
    <cfRule type="expression" dxfId="2584" priority="115">
      <formula>ABS(P$16-P$19)&gt;=1000</formula>
    </cfRule>
  </conditionalFormatting>
  <conditionalFormatting sqref="Q13 Q15:Q20">
    <cfRule type="expression" dxfId="2583" priority="114">
      <formula>ABS(Q$16-Q$19)&gt;=1000</formula>
    </cfRule>
  </conditionalFormatting>
  <conditionalFormatting sqref="R13:R20">
    <cfRule type="expression" dxfId="2582" priority="113">
      <formula>ABS(R$16-R$19)&gt;=1000</formula>
    </cfRule>
  </conditionalFormatting>
  <conditionalFormatting sqref="S13:S20">
    <cfRule type="expression" dxfId="2581" priority="112">
      <formula>ABS(S$16-S$19)&gt;=1000</formula>
    </cfRule>
  </conditionalFormatting>
  <conditionalFormatting sqref="T13:T20">
    <cfRule type="expression" dxfId="2580" priority="111">
      <formula>ABS(T$16-T$19)&gt;=1000</formula>
    </cfRule>
  </conditionalFormatting>
  <conditionalFormatting sqref="U13:U20">
    <cfRule type="expression" dxfId="2579" priority="110">
      <formula>ABS(U$16-U$19)&gt;=1000</formula>
    </cfRule>
  </conditionalFormatting>
  <conditionalFormatting sqref="V13:V20">
    <cfRule type="expression" dxfId="2578" priority="109">
      <formula>ABS(V$16-V$19)&gt;=1000</formula>
    </cfRule>
  </conditionalFormatting>
  <conditionalFormatting sqref="W13 W20 W15:W18">
    <cfRule type="expression" dxfId="2577" priority="108">
      <formula>ABS(W$16-W$19)&gt;=1000</formula>
    </cfRule>
  </conditionalFormatting>
  <conditionalFormatting sqref="X13 X15:X20 Y19">
    <cfRule type="expression" dxfId="2576" priority="107">
      <formula>ABS(X$16-X$19)&gt;=1000</formula>
    </cfRule>
  </conditionalFormatting>
  <conditionalFormatting sqref="Y13 Y15:Y18 Y20">
    <cfRule type="expression" dxfId="2575" priority="106">
      <formula>ABS(Y$16-Y$19)&gt;=1000</formula>
    </cfRule>
  </conditionalFormatting>
  <conditionalFormatting sqref="Z13:Z20">
    <cfRule type="expression" dxfId="2574" priority="105">
      <formula>ABS(Z$16-Z$19)&gt;=1000</formula>
    </cfRule>
  </conditionalFormatting>
  <conditionalFormatting sqref="AA13:AA20">
    <cfRule type="expression" dxfId="2573" priority="104">
      <formula>ABS(AA$16-AA$19)&gt;=1000</formula>
    </cfRule>
  </conditionalFormatting>
  <conditionalFormatting sqref="AB13 AB15:AB20">
    <cfRule type="expression" dxfId="2572" priority="103">
      <formula>ABS(AB$16-AB$19)&gt;=1000</formula>
    </cfRule>
  </conditionalFormatting>
  <conditionalFormatting sqref="AC13 AC15:AC20">
    <cfRule type="expression" dxfId="2571" priority="102">
      <formula>ABS(AC$16-AC$19)&gt;=1000</formula>
    </cfRule>
  </conditionalFormatting>
  <conditionalFormatting sqref="AD13:AD20">
    <cfRule type="expression" dxfId="2570" priority="101">
      <formula>ABS(AD$16-AD$19)&gt;=1000</formula>
    </cfRule>
  </conditionalFormatting>
  <conditionalFormatting sqref="AE13:AE20">
    <cfRule type="expression" dxfId="2569" priority="100">
      <formula>ABS(AE$16-AE$19)&gt;=1000</formula>
    </cfRule>
  </conditionalFormatting>
  <conditionalFormatting sqref="D22:D29">
    <cfRule type="expression" dxfId="2568" priority="99">
      <formula>ABS(D$25-D$28)&gt;=1000</formula>
    </cfRule>
  </conditionalFormatting>
  <conditionalFormatting sqref="E22:E29">
    <cfRule type="expression" dxfId="2567" priority="98">
      <formula>ABS(E$25-E$28)&gt;=1000</formula>
    </cfRule>
  </conditionalFormatting>
  <conditionalFormatting sqref="F22:F29">
    <cfRule type="expression" dxfId="2566" priority="97">
      <formula>ABS(F$25-F$28)&gt;=1000</formula>
    </cfRule>
  </conditionalFormatting>
  <conditionalFormatting sqref="G22:G29">
    <cfRule type="expression" dxfId="2565" priority="96">
      <formula>ABS(G$25-G$28)&gt;=1000</formula>
    </cfRule>
  </conditionalFormatting>
  <conditionalFormatting sqref="H22:H29">
    <cfRule type="expression" dxfId="2564" priority="95">
      <formula>ABS(H$25-H$28)&gt;=1000</formula>
    </cfRule>
  </conditionalFormatting>
  <conditionalFormatting sqref="I22 I24:I29">
    <cfRule type="expression" dxfId="2563" priority="94">
      <formula>ABS(I$25-I$28)&gt;=1000</formula>
    </cfRule>
  </conditionalFormatting>
  <conditionalFormatting sqref="J22:J29 K22">
    <cfRule type="expression" dxfId="2562" priority="93">
      <formula>ABS(J$25-J$28)&gt;=1000</formula>
    </cfRule>
  </conditionalFormatting>
  <conditionalFormatting sqref="K23:K29 L25 L28">
    <cfRule type="expression" dxfId="2561" priority="92">
      <formula>ABS(K$25-K$28)&gt;=1000</formula>
    </cfRule>
  </conditionalFormatting>
  <conditionalFormatting sqref="L22 L26:L27 L29 L24">
    <cfRule type="expression" dxfId="2560" priority="91">
      <formula>ABS(L$25-L$28)&gt;=1000</formula>
    </cfRule>
  </conditionalFormatting>
  <conditionalFormatting sqref="M22:M29">
    <cfRule type="expression" dxfId="2559" priority="90">
      <formula>ABS(M$25-M$28)&gt;=1000</formula>
    </cfRule>
  </conditionalFormatting>
  <conditionalFormatting sqref="N22:N29">
    <cfRule type="expression" dxfId="2558" priority="89">
      <formula>ABS(N$25-N$28)&gt;=1000</formula>
    </cfRule>
  </conditionalFormatting>
  <conditionalFormatting sqref="O22:O29">
    <cfRule type="expression" dxfId="2557" priority="88">
      <formula>ABS(O$25-O$28)&gt;=1000</formula>
    </cfRule>
  </conditionalFormatting>
  <conditionalFormatting sqref="P22:P29">
    <cfRule type="expression" dxfId="2556" priority="87">
      <formula>ABS(P$25-P$28)&gt;=1000</formula>
    </cfRule>
  </conditionalFormatting>
  <conditionalFormatting sqref="Q22:Q29">
    <cfRule type="expression" dxfId="2555" priority="86">
      <formula>ABS(Q$25-Q$28)&gt;=1000</formula>
    </cfRule>
  </conditionalFormatting>
  <conditionalFormatting sqref="R22:R29">
    <cfRule type="expression" dxfId="2554" priority="85">
      <formula>ABS(R$25-R$28)&gt;=1000</formula>
    </cfRule>
  </conditionalFormatting>
  <conditionalFormatting sqref="S22:S29">
    <cfRule type="expression" dxfId="2553" priority="84">
      <formula>ABS(S$25-S$28)&gt;=1000</formula>
    </cfRule>
  </conditionalFormatting>
  <conditionalFormatting sqref="T22:T29">
    <cfRule type="expression" dxfId="2552" priority="83">
      <formula>ABS(T$25-T$28)&gt;=1000</formula>
    </cfRule>
  </conditionalFormatting>
  <conditionalFormatting sqref="U22:U29">
    <cfRule type="expression" dxfId="2551" priority="82">
      <formula>ABS(U$25-U$28)&gt;=1000</formula>
    </cfRule>
  </conditionalFormatting>
  <conditionalFormatting sqref="V22:V29">
    <cfRule type="expression" dxfId="2550" priority="81">
      <formula>ABS(V$25-V$28)&gt;=1000</formula>
    </cfRule>
  </conditionalFormatting>
  <conditionalFormatting sqref="W22:W29">
    <cfRule type="expression" dxfId="2549" priority="80">
      <formula>ABS(W$25-W$28)&gt;=1000</formula>
    </cfRule>
  </conditionalFormatting>
  <conditionalFormatting sqref="X22:X29">
    <cfRule type="expression" dxfId="2548" priority="79">
      <formula>ABS(X$25-X$28)&gt;=1000</formula>
    </cfRule>
  </conditionalFormatting>
  <conditionalFormatting sqref="Y22:Y29">
    <cfRule type="expression" dxfId="2547" priority="78">
      <formula>ABS(Y$25-Y$28)&gt;=1000</formula>
    </cfRule>
  </conditionalFormatting>
  <conditionalFormatting sqref="I23">
    <cfRule type="expression" dxfId="2546" priority="77">
      <formula>ABS(I$25-I$28)&gt;=1000</formula>
    </cfRule>
  </conditionalFormatting>
  <conditionalFormatting sqref="Q14">
    <cfRule type="expression" dxfId="2545" priority="76">
      <formula>ABS(Q$16-Q$19)&gt;=1000</formula>
    </cfRule>
  </conditionalFormatting>
  <conditionalFormatting sqref="W14">
    <cfRule type="expression" dxfId="2544" priority="75">
      <formula>ABS(W$16-W$19)&gt;=1000</formula>
    </cfRule>
  </conditionalFormatting>
  <conditionalFormatting sqref="X14">
    <cfRule type="expression" dxfId="2543" priority="74">
      <formula>ABS(X$16-X$19)&gt;=1000</formula>
    </cfRule>
  </conditionalFormatting>
  <conditionalFormatting sqref="T10:Y10">
    <cfRule type="expression" dxfId="2542" priority="73">
      <formula>ABS(T$7-T$10)&gt;=1000</formula>
    </cfRule>
  </conditionalFormatting>
  <conditionalFormatting sqref="W19">
    <cfRule type="expression" dxfId="2541" priority="72">
      <formula>ABS(W$16-W$19)&gt;=1000</formula>
    </cfRule>
  </conditionalFormatting>
  <conditionalFormatting sqref="AC5">
    <cfRule type="expression" dxfId="2540" priority="71">
      <formula>ABS(AC$7-AC$10)&gt;=1000</formula>
    </cfRule>
  </conditionalFormatting>
  <conditionalFormatting sqref="M14">
    <cfRule type="expression" dxfId="2539" priority="70">
      <formula>ABS(M$16-M$19)&gt;=1000</formula>
    </cfRule>
  </conditionalFormatting>
  <conditionalFormatting sqref="M16">
    <cfRule type="expression" dxfId="2538" priority="69">
      <formula>ABS(M$16-M$19)&gt;=1000</formula>
    </cfRule>
  </conditionalFormatting>
  <conditionalFormatting sqref="M19">
    <cfRule type="expression" dxfId="2537" priority="68">
      <formula>ABS(M$16-M$19)&gt;=1000</formula>
    </cfRule>
  </conditionalFormatting>
  <conditionalFormatting sqref="K13:K20">
    <cfRule type="expression" dxfId="2536" priority="67">
      <formula>ABS(K$16-K$19)&gt;=1000</formula>
    </cfRule>
  </conditionalFormatting>
  <conditionalFormatting sqref="AB14:AC14">
    <cfRule type="expression" dxfId="2535" priority="66">
      <formula>ABS(AB$16-AB$19)&gt;=1000</formula>
    </cfRule>
  </conditionalFormatting>
  <conditionalFormatting sqref="M5">
    <cfRule type="expression" dxfId="2534" priority="65">
      <formula>ABS(M$7-M$10)&gt;=1000</formula>
    </cfRule>
  </conditionalFormatting>
  <conditionalFormatting sqref="N5">
    <cfRule type="expression" dxfId="2533" priority="64">
      <formula>ABS(N$7-N$10)&gt;=1000</formula>
    </cfRule>
  </conditionalFormatting>
  <conditionalFormatting sqref="L23">
    <cfRule type="expression" dxfId="2532" priority="63">
      <formula>ABS(L$25-L$28)&gt;=1000</formula>
    </cfRule>
  </conditionalFormatting>
  <conditionalFormatting sqref="Y14">
    <cfRule type="expression" dxfId="2531" priority="62">
      <formula>ABS(Y$16-Y$19)&gt;=1000</formula>
    </cfRule>
  </conditionalFormatting>
  <conditionalFormatting sqref="F14">
    <cfRule type="expression" dxfId="2530" priority="61">
      <formula>ABS(F$16-F$19)&gt;=1000</formula>
    </cfRule>
  </conditionalFormatting>
  <conditionalFormatting sqref="H14">
    <cfRule type="expression" dxfId="2529" priority="60">
      <formula>ABS(H$16-H$19)&gt;=1000</formula>
    </cfRule>
  </conditionalFormatting>
  <conditionalFormatting sqref="AD5">
    <cfRule type="expression" dxfId="2528" priority="59">
      <formula>ABS(AD$7-AD$10)&gt;=1000</formula>
    </cfRule>
  </conditionalFormatting>
  <conditionalFormatting sqref="AE5">
    <cfRule type="expression" dxfId="2527" priority="58">
      <formula>ABS(AE$7-AE$10)&gt;=1000</formula>
    </cfRule>
  </conditionalFormatting>
  <conditionalFormatting sqref="D5">
    <cfRule type="expression" dxfId="2526" priority="57">
      <formula>ABS(D$7-D$10)&gt;=1000</formula>
    </cfRule>
  </conditionalFormatting>
  <conditionalFormatting sqref="E5:G5">
    <cfRule type="expression" dxfId="2525" priority="56">
      <formula>ABS(E$7-E$10)&gt;=1000</formula>
    </cfRule>
  </conditionalFormatting>
  <conditionalFormatting sqref="H5">
    <cfRule type="expression" dxfId="2524" priority="55">
      <formula>ABS(H$7-H$10)&gt;=1000</formula>
    </cfRule>
  </conditionalFormatting>
  <conditionalFormatting sqref="O4:P4">
    <cfRule type="expression" dxfId="2523" priority="54">
      <formula>ABS(O$7-O$10)&gt;=1000</formula>
    </cfRule>
  </conditionalFormatting>
  <conditionalFormatting sqref="O5 O8 O11">
    <cfRule type="expression" dxfId="2522" priority="53">
      <formula>ABS(O$7-O$10)&gt;=1000</formula>
    </cfRule>
  </conditionalFormatting>
  <conditionalFormatting sqref="P8 P11">
    <cfRule type="expression" dxfId="2521" priority="52">
      <formula>ABS(P$7-P$10)&gt;=1000</formula>
    </cfRule>
  </conditionalFormatting>
  <conditionalFormatting sqref="I5">
    <cfRule type="expression" dxfId="2520" priority="51">
      <formula>ABS(I$7-I$10)&gt;=1000</formula>
    </cfRule>
  </conditionalFormatting>
  <conditionalFormatting sqref="J5">
    <cfRule type="expression" dxfId="2519" priority="50">
      <formula>ABS(J$7-J$10)&gt;=1000</formula>
    </cfRule>
  </conditionalFormatting>
  <conditionalFormatting sqref="K5">
    <cfRule type="expression" dxfId="2518" priority="49">
      <formula>ABS(K$7-K$10)&gt;=1000</formula>
    </cfRule>
  </conditionalFormatting>
  <conditionalFormatting sqref="P5">
    <cfRule type="expression" dxfId="2517" priority="48">
      <formula>ABS(P$7-P$10)&gt;=1000</formula>
    </cfRule>
  </conditionalFormatting>
  <conditionalFormatting sqref="H6">
    <cfRule type="expression" dxfId="2499" priority="30">
      <formula>ABS(H$7-H$10)&gt;=1000</formula>
    </cfRule>
  </conditionalFormatting>
  <conditionalFormatting sqref="J6">
    <cfRule type="expression" dxfId="2498" priority="29">
      <formula>ABS(J$7-J$10)&gt;=1000</formula>
    </cfRule>
  </conditionalFormatting>
  <conditionalFormatting sqref="K6">
    <cfRule type="expression" dxfId="2497" priority="28">
      <formula>ABS(K$7-K$10)&gt;=1000</formula>
    </cfRule>
  </conditionalFormatting>
  <conditionalFormatting sqref="L6">
    <cfRule type="expression" dxfId="2496" priority="27">
      <formula>ABS(L$7-L$10)&gt;=1000</formula>
    </cfRule>
  </conditionalFormatting>
  <conditionalFormatting sqref="M6">
    <cfRule type="expression" dxfId="2495" priority="26">
      <formula>ABS(M$7-M$10)&gt;=1000</formula>
    </cfRule>
  </conditionalFormatting>
  <conditionalFormatting sqref="N6">
    <cfRule type="expression" dxfId="2494" priority="25">
      <formula>ABS(N$7-N$10)&gt;=1000</formula>
    </cfRule>
  </conditionalFormatting>
  <conditionalFormatting sqref="O6">
    <cfRule type="expression" dxfId="2493" priority="24">
      <formula>ABS(O$7-O$10)&gt;=1000</formula>
    </cfRule>
  </conditionalFormatting>
  <conditionalFormatting sqref="P6">
    <cfRule type="expression" dxfId="2492" priority="23">
      <formula>ABS(P$7-P$10)&gt;=1000</formula>
    </cfRule>
  </conditionalFormatting>
  <conditionalFormatting sqref="I6">
    <cfRule type="expression" dxfId="2491" priority="22">
      <formula>ABS(I$7-I$10)&gt;=1000</formula>
    </cfRule>
  </conditionalFormatting>
  <conditionalFormatting sqref="H9">
    <cfRule type="expression" dxfId="2490" priority="21">
      <formula>ABS(H$7-H$10)&gt;=1000</formula>
    </cfRule>
  </conditionalFormatting>
  <conditionalFormatting sqref="J9">
    <cfRule type="expression" dxfId="2489" priority="20">
      <formula>ABS(J$7-J$10)&gt;=1000</formula>
    </cfRule>
  </conditionalFormatting>
  <conditionalFormatting sqref="K9">
    <cfRule type="expression" dxfId="2488" priority="19">
      <formula>ABS(K$7-K$10)&gt;=1000</formula>
    </cfRule>
  </conditionalFormatting>
  <conditionalFormatting sqref="L9">
    <cfRule type="expression" dxfId="2487" priority="18">
      <formula>ABS(L$7-L$10)&gt;=1000</formula>
    </cfRule>
  </conditionalFormatting>
  <conditionalFormatting sqref="M9">
    <cfRule type="expression" dxfId="2486" priority="17">
      <formula>ABS(M$7-M$10)&gt;=1000</formula>
    </cfRule>
  </conditionalFormatting>
  <conditionalFormatting sqref="N9">
    <cfRule type="expression" dxfId="2485" priority="16">
      <formula>ABS(N$7-N$10)&gt;=1000</formula>
    </cfRule>
  </conditionalFormatting>
  <conditionalFormatting sqref="O9">
    <cfRule type="expression" dxfId="2484" priority="15">
      <formula>ABS(O$7-O$10)&gt;=1000</formula>
    </cfRule>
  </conditionalFormatting>
  <conditionalFormatting sqref="P9">
    <cfRule type="expression" dxfId="2483" priority="14">
      <formula>ABS(P$7-P$10)&gt;=1000</formula>
    </cfRule>
  </conditionalFormatting>
  <conditionalFormatting sqref="I9">
    <cfRule type="expression" dxfId="2482" priority="13">
      <formula>ABS(I$7-I$10)&gt;=1000</formula>
    </cfRule>
  </conditionalFormatting>
  <conditionalFormatting sqref="D10:G10">
    <cfRule type="expression" dxfId="84" priority="10">
      <formula>ABS(D$7-D$10)&gt;=1000</formula>
    </cfRule>
  </conditionalFormatting>
  <conditionalFormatting sqref="H10:L10">
    <cfRule type="expression" dxfId="83" priority="9">
      <formula>ABS(H$7-H$10)&gt;=1000</formula>
    </cfRule>
  </conditionalFormatting>
  <conditionalFormatting sqref="M10">
    <cfRule type="expression" dxfId="82" priority="8">
      <formula>ABS(M$7-M$10)&gt;=1000</formula>
    </cfRule>
  </conditionalFormatting>
  <conditionalFormatting sqref="O10:P10">
    <cfRule type="expression" dxfId="81" priority="7">
      <formula>ABS(O$7-O$10)&gt;=1000</formula>
    </cfRule>
  </conditionalFormatting>
  <conditionalFormatting sqref="N10">
    <cfRule type="expression" dxfId="80" priority="6">
      <formula>ABS(N$7-N$10)&gt;=1000</formula>
    </cfRule>
  </conditionalFormatting>
  <conditionalFormatting sqref="D7:G7">
    <cfRule type="expression" dxfId="79" priority="5">
      <formula>ABS(D$7-D$10)&gt;=1000</formula>
    </cfRule>
  </conditionalFormatting>
  <conditionalFormatting sqref="H7:L7">
    <cfRule type="expression" dxfId="78" priority="4">
      <formula>ABS(H$7-H$10)&gt;=1000</formula>
    </cfRule>
  </conditionalFormatting>
  <conditionalFormatting sqref="M7">
    <cfRule type="expression" dxfId="77" priority="3">
      <formula>ABS(M$7-M$10)&gt;=1000</formula>
    </cfRule>
  </conditionalFormatting>
  <conditionalFormatting sqref="O7:P7">
    <cfRule type="expression" dxfId="76" priority="2">
      <formula>ABS(O$7-O$10)&gt;=1000</formula>
    </cfRule>
  </conditionalFormatting>
  <conditionalFormatting sqref="N7">
    <cfRule type="expression" dxfId="7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16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4">
    <pageSetUpPr fitToPage="1"/>
  </sheetPr>
  <dimension ref="A1:BA223"/>
  <sheetViews>
    <sheetView view="pageBreakPreview" topLeftCell="B1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46141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141" t="s" ph="1">
        <v>121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79" t="s" ph="1">
        <v>54</v>
      </c>
      <c r="D6" s="151">
        <v>0.80210000000000004</v>
      </c>
      <c r="E6" s="151">
        <v>0.99580000000000002</v>
      </c>
      <c r="F6" s="151">
        <v>0</v>
      </c>
      <c r="G6" s="151">
        <v>0</v>
      </c>
      <c r="H6" s="70">
        <v>2675</v>
      </c>
      <c r="I6" s="70">
        <v>0</v>
      </c>
      <c r="J6" s="70">
        <v>0</v>
      </c>
      <c r="K6" s="70">
        <v>0</v>
      </c>
      <c r="L6" s="70">
        <v>2786</v>
      </c>
      <c r="M6" s="70">
        <v>671</v>
      </c>
      <c r="N6" s="70">
        <v>1901</v>
      </c>
      <c r="O6" s="70">
        <v>4688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16562.491801856002</v>
      </c>
      <c r="E7" s="72" ph="1">
        <f>((E6*5885)*4.48)*LOOKUP(E8,密度!$A$2:$A$50,密度!$B$2:$B$50)</f>
        <v>20667.202203648001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28764.300128399998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57383.331152000006</v>
      </c>
      <c r="M7" s="72" ph="1">
        <f>M6*26.42*1</f>
        <v>17727.82</v>
      </c>
      <c r="N7" s="72" ph="1">
        <f>N6*18.32*LOOKUP(N8,密度!$A$2:$A$50,密度!$B$2:$B$50)</f>
        <v>27363.039623999997</v>
      </c>
      <c r="O7" s="72" ph="1">
        <f>O6*81.71*LOOKUP(O8,密度!$A$2:$A$50,密度!$B$2:$B$50)</f>
        <v>298630.83180799999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79" t="s" ph="1">
        <v>57</v>
      </c>
      <c r="D9" s="151">
        <v>0.81469999999999998</v>
      </c>
      <c r="E9" s="151">
        <v>0.38629999999999998</v>
      </c>
      <c r="F9" s="151">
        <v>0</v>
      </c>
      <c r="G9" s="151">
        <v>0</v>
      </c>
      <c r="H9" s="70">
        <v>1311</v>
      </c>
      <c r="I9" s="70">
        <v>0</v>
      </c>
      <c r="J9" s="70">
        <v>0</v>
      </c>
      <c r="K9" s="70">
        <v>0</v>
      </c>
      <c r="L9" s="70">
        <v>2797</v>
      </c>
      <c r="M9" s="70">
        <v>670</v>
      </c>
      <c r="N9" s="70">
        <v>2180</v>
      </c>
      <c r="O9" s="70">
        <v>4824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79" t="s" ph="1">
        <v>55</v>
      </c>
      <c r="D10" s="72" ph="1">
        <f>((D9*5885)*4.48)*LOOKUP(D11,密度!$A$2:$A$50,密度!$B$2:$B$50)</f>
        <v>16822.668084992001</v>
      </c>
      <c r="E10" s="72" ph="1">
        <f>((E9*5885)*4.48)*LOOKUP(E11,密度!$A$2:$A$50,密度!$B$2:$B$50)</f>
        <v>8002.1362639679992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12595.373364079998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57609.898504000004</v>
      </c>
      <c r="M10" s="72" ph="1">
        <f>M9*26.42*1</f>
        <v>17701.400000000001</v>
      </c>
      <c r="N10" s="72" ph="1">
        <f>N9*18.32*LOOKUP(N11,密度!$A$2:$A$50,密度!$B$2:$B$50)</f>
        <v>31347.022240000002</v>
      </c>
      <c r="O10" s="72" ph="1">
        <f>O9*81.71*LOOKUP(O11,密度!$A$2:$A$50,密度!$B$2:$B$50)</f>
        <v>307294.18358399998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79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28</v>
      </c>
      <c r="C13" s="179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79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79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79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79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79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79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79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79" t="s" ph="1">
        <v>1</v>
      </c>
      <c r="F32" s="180" t="s" ph="1">
        <v>31</v>
      </c>
      <c r="G32" s="96" t="s" ph="1">
        <v>0</v>
      </c>
      <c r="H32" s="179" t="s" ph="1">
        <v>1</v>
      </c>
      <c r="I32" s="180" t="s" ph="1">
        <v>31</v>
      </c>
      <c r="J32" s="96" t="s" ph="1">
        <v>0</v>
      </c>
      <c r="K32" s="179" t="s" ph="1">
        <v>1</v>
      </c>
      <c r="L32" s="180" t="s" ph="1">
        <v>31</v>
      </c>
      <c r="M32" s="96" t="s" ph="1">
        <v>0</v>
      </c>
      <c r="N32" s="179" t="s" ph="1">
        <v>1</v>
      </c>
      <c r="O32" s="180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79" t="s" ph="1">
        <v>1</v>
      </c>
      <c r="U32" s="98" t="s" ph="1">
        <v>31</v>
      </c>
      <c r="V32" s="96" t="s" ph="1">
        <v>0</v>
      </c>
      <c r="W32" s="179" t="s" ph="1">
        <v>1</v>
      </c>
      <c r="X32" s="98" t="s" ph="1">
        <v>31</v>
      </c>
      <c r="Y32" s="99" t="s" ph="1">
        <v>0</v>
      </c>
      <c r="Z32" s="179" t="s" ph="1">
        <v>1</v>
      </c>
      <c r="AA32" s="180" t="s" ph="1">
        <v>31</v>
      </c>
      <c r="AB32" s="96" t="s" ph="1">
        <v>41</v>
      </c>
      <c r="AC32" s="179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307294.18358399998</v>
      </c>
      <c r="E33" s="245" ph="1">
        <f>H10+I10+J10+K10</f>
        <v>12595.373364079998</v>
      </c>
      <c r="F33" s="269" ph="1">
        <f>L10+N10</f>
        <v>88956.920744000003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81" t="s" ph="1">
        <v>62</v>
      </c>
      <c r="AA36" s="181" ph="1"/>
      <c r="AB36" s="231" t="s" ph="1">
        <v>67</v>
      </c>
      <c r="AC36" s="231" ph="1"/>
      <c r="AD36" s="231" ph="1"/>
      <c r="AE36" s="231" ph="1"/>
    </row>
    <row r="37" spans="1:31" s="181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2479" priority="152">
      <formula>ABS(D$7-D$10)&gt;=1000</formula>
    </cfRule>
  </conditionalFormatting>
  <conditionalFormatting sqref="E4 E6 E8:E9 E11">
    <cfRule type="expression" dxfId="2478" priority="151">
      <formula>ABS(E$7-E$10)&gt;=1000</formula>
    </cfRule>
  </conditionalFormatting>
  <conditionalFormatting sqref="F4 F6 F8:F9 F11">
    <cfRule type="expression" dxfId="2477" priority="150">
      <formula>ABS(F$7-F$10)&gt;=1000</formula>
    </cfRule>
  </conditionalFormatting>
  <conditionalFormatting sqref="G4 G6 G8:G9 G11">
    <cfRule type="expression" dxfId="2476" priority="149">
      <formula>ABS(G$7-G$10)&gt;=1000</formula>
    </cfRule>
  </conditionalFormatting>
  <conditionalFormatting sqref="H4:K4 H8 H11">
    <cfRule type="expression" dxfId="2475" priority="148">
      <formula>ABS(H$7-H$10)&gt;=1000</formula>
    </cfRule>
  </conditionalFormatting>
  <conditionalFormatting sqref="I8 I11">
    <cfRule type="expression" dxfId="2474" priority="147">
      <formula>ABS(I$7-I$10)&gt;=1000</formula>
    </cfRule>
  </conditionalFormatting>
  <conditionalFormatting sqref="J8 J11">
    <cfRule type="expression" dxfId="2473" priority="146">
      <formula>ABS(J$7-J$10)&gt;=1000</formula>
    </cfRule>
  </conditionalFormatting>
  <conditionalFormatting sqref="K8 K11">
    <cfRule type="expression" dxfId="2472" priority="145">
      <formula>ABS(K$7-K$10)&gt;=1000</formula>
    </cfRule>
  </conditionalFormatting>
  <conditionalFormatting sqref="L4:L5 M4:N4 Q4:S4 L8 L11">
    <cfRule type="expression" dxfId="2471" priority="144">
      <formula>ABS(L$7-L$10)&gt;=1000</formula>
    </cfRule>
  </conditionalFormatting>
  <conditionalFormatting sqref="M8 M11">
    <cfRule type="expression" dxfId="2470" priority="143">
      <formula>ABS(M$7-M$10)&gt;=1000</formula>
    </cfRule>
  </conditionalFormatting>
  <conditionalFormatting sqref="N8 N11">
    <cfRule type="expression" dxfId="2469" priority="142">
      <formula>ABS(N$7-N$10)&gt;=1000</formula>
    </cfRule>
  </conditionalFormatting>
  <conditionalFormatting sqref="Q5:Q11">
    <cfRule type="expression" dxfId="2468" priority="141">
      <formula>ABS(Q$7-Q$10)&gt;=1000</formula>
    </cfRule>
  </conditionalFormatting>
  <conditionalFormatting sqref="R5:R11">
    <cfRule type="expression" dxfId="2467" priority="140">
      <formula>ABS(R$7-R$10)&gt;=1000</formula>
    </cfRule>
  </conditionalFormatting>
  <conditionalFormatting sqref="S5:S11">
    <cfRule type="expression" dxfId="2466" priority="139">
      <formula>ABS(S$7-S$10)&gt;=1000</formula>
    </cfRule>
  </conditionalFormatting>
  <conditionalFormatting sqref="T4:T9 T11">
    <cfRule type="expression" dxfId="2465" priority="138">
      <formula>ABS(T$7-T$10)&gt;=1000</formula>
    </cfRule>
  </conditionalFormatting>
  <conditionalFormatting sqref="U4:U9 U11">
    <cfRule type="expression" dxfId="2464" priority="137">
      <formula>ABS(U$7-U$10)&gt;=1000</formula>
    </cfRule>
  </conditionalFormatting>
  <conditionalFormatting sqref="V4:V9 V11">
    <cfRule type="expression" dxfId="2463" priority="136">
      <formula>ABS(V$7-V$10)&gt;=1000</formula>
    </cfRule>
  </conditionalFormatting>
  <conditionalFormatting sqref="W4:W9 W11">
    <cfRule type="expression" dxfId="2462" priority="135">
      <formula>ABS(W$7-W$10)&gt;=1000</formula>
    </cfRule>
  </conditionalFormatting>
  <conditionalFormatting sqref="X4:X9 X11">
    <cfRule type="expression" dxfId="2461" priority="134">
      <formula>ABS(X$7-X$10)&gt;=1000</formula>
    </cfRule>
  </conditionalFormatting>
  <conditionalFormatting sqref="Y4:Y9 Y11">
    <cfRule type="expression" dxfId="2460" priority="133">
      <formula>ABS(Y$7-Y$10)&gt;=1000</formula>
    </cfRule>
  </conditionalFormatting>
  <conditionalFormatting sqref="Z4:Z11">
    <cfRule type="expression" dxfId="2459" priority="132">
      <formula>ABS(Z$7-Z$10)&gt;=1000</formula>
    </cfRule>
  </conditionalFormatting>
  <conditionalFormatting sqref="AA4:AA11">
    <cfRule type="expression" dxfId="2458" priority="131">
      <formula>ABS(AA$7-AA$10)&gt;=1000</formula>
    </cfRule>
  </conditionalFormatting>
  <conditionalFormatting sqref="AB4:AB11">
    <cfRule type="expression" dxfId="2457" priority="130">
      <formula>ABS(AB$7-AB$10)&gt;=1000</formula>
    </cfRule>
  </conditionalFormatting>
  <conditionalFormatting sqref="AC4 AC6:AC11">
    <cfRule type="expression" dxfId="2456" priority="129">
      <formula>ABS(AC$7-AC$10)&gt;=1000</formula>
    </cfRule>
  </conditionalFormatting>
  <conditionalFormatting sqref="AD4 AD6:AD11">
    <cfRule type="expression" dxfId="2455" priority="128">
      <formula>ABS(AD$7-AD$10)&gt;=1000</formula>
    </cfRule>
  </conditionalFormatting>
  <conditionalFormatting sqref="AE4 AE6:AE11">
    <cfRule type="expression" dxfId="2454" priority="127">
      <formula>ABS(AE$7-AE$10)&gt;=1000</formula>
    </cfRule>
  </conditionalFormatting>
  <conditionalFormatting sqref="D13:D20">
    <cfRule type="expression" dxfId="2453" priority="126">
      <formula>ABS(D$16-D$19)&gt;=1000</formula>
    </cfRule>
  </conditionalFormatting>
  <conditionalFormatting sqref="E13:E20">
    <cfRule type="expression" dxfId="2452" priority="125">
      <formula>ABS(E$16-E$19)&gt;=1000</formula>
    </cfRule>
  </conditionalFormatting>
  <conditionalFormatting sqref="F13 F15:F20">
    <cfRule type="expression" dxfId="2451" priority="124">
      <formula>ABS(F$16-F$19)&gt;=1000</formula>
    </cfRule>
  </conditionalFormatting>
  <conditionalFormatting sqref="G13:G20">
    <cfRule type="expression" dxfId="2450" priority="123">
      <formula>ABS(G$16-G$19)&gt;=1000</formula>
    </cfRule>
  </conditionalFormatting>
  <conditionalFormatting sqref="H13 H15:H20">
    <cfRule type="expression" dxfId="2449" priority="122">
      <formula>ABS(H$16-H$19)&gt;=1000</formula>
    </cfRule>
  </conditionalFormatting>
  <conditionalFormatting sqref="I13:I20">
    <cfRule type="expression" dxfId="2448" priority="121">
      <formula>ABS(I$16-I$19)&gt;=1000</formula>
    </cfRule>
  </conditionalFormatting>
  <conditionalFormatting sqref="J13:J20">
    <cfRule type="expression" dxfId="2447" priority="120">
      <formula>ABS(J$16-J$19)&gt;=1000</formula>
    </cfRule>
  </conditionalFormatting>
  <conditionalFormatting sqref="L13:L20">
    <cfRule type="expression" dxfId="2446" priority="119">
      <formula>ABS(L$16-L$19)&gt;=1000</formula>
    </cfRule>
  </conditionalFormatting>
  <conditionalFormatting sqref="M13 M15 M17:M18 M20">
    <cfRule type="expression" dxfId="2445" priority="118">
      <formula>ABS(M$16-M$19)&gt;=1000</formula>
    </cfRule>
  </conditionalFormatting>
  <conditionalFormatting sqref="N13:N20">
    <cfRule type="expression" dxfId="2444" priority="117">
      <formula>ABS(N$16-N$19)&gt;=1000</formula>
    </cfRule>
  </conditionalFormatting>
  <conditionalFormatting sqref="O13:O20">
    <cfRule type="expression" dxfId="2443" priority="116">
      <formula>ABS(O$16-O$19)&gt;=1000</formula>
    </cfRule>
  </conditionalFormatting>
  <conditionalFormatting sqref="P13:P20">
    <cfRule type="expression" dxfId="2442" priority="115">
      <formula>ABS(P$16-P$19)&gt;=1000</formula>
    </cfRule>
  </conditionalFormatting>
  <conditionalFormatting sqref="Q13 Q15:Q20">
    <cfRule type="expression" dxfId="2441" priority="114">
      <formula>ABS(Q$16-Q$19)&gt;=1000</formula>
    </cfRule>
  </conditionalFormatting>
  <conditionalFormatting sqref="R13:R20">
    <cfRule type="expression" dxfId="2440" priority="113">
      <formula>ABS(R$16-R$19)&gt;=1000</formula>
    </cfRule>
  </conditionalFormatting>
  <conditionalFormatting sqref="S13:S20">
    <cfRule type="expression" dxfId="2439" priority="112">
      <formula>ABS(S$16-S$19)&gt;=1000</formula>
    </cfRule>
  </conditionalFormatting>
  <conditionalFormatting sqref="T13:T20">
    <cfRule type="expression" dxfId="2438" priority="111">
      <formula>ABS(T$16-T$19)&gt;=1000</formula>
    </cfRule>
  </conditionalFormatting>
  <conditionalFormatting sqref="U13:U20">
    <cfRule type="expression" dxfId="2437" priority="110">
      <formula>ABS(U$16-U$19)&gt;=1000</formula>
    </cfRule>
  </conditionalFormatting>
  <conditionalFormatting sqref="V13:V20">
    <cfRule type="expression" dxfId="2436" priority="109">
      <formula>ABS(V$16-V$19)&gt;=1000</formula>
    </cfRule>
  </conditionalFormatting>
  <conditionalFormatting sqref="W13 W20 W15:W18">
    <cfRule type="expression" dxfId="2435" priority="108">
      <formula>ABS(W$16-W$19)&gt;=1000</formula>
    </cfRule>
  </conditionalFormatting>
  <conditionalFormatting sqref="X13 X15:X20 Y19">
    <cfRule type="expression" dxfId="2434" priority="107">
      <formula>ABS(X$16-X$19)&gt;=1000</formula>
    </cfRule>
  </conditionalFormatting>
  <conditionalFormatting sqref="Y13 Y15:Y18 Y20">
    <cfRule type="expression" dxfId="2433" priority="106">
      <formula>ABS(Y$16-Y$19)&gt;=1000</formula>
    </cfRule>
  </conditionalFormatting>
  <conditionalFormatting sqref="Z13:Z20">
    <cfRule type="expression" dxfId="2432" priority="105">
      <formula>ABS(Z$16-Z$19)&gt;=1000</formula>
    </cfRule>
  </conditionalFormatting>
  <conditionalFormatting sqref="AA13:AA20">
    <cfRule type="expression" dxfId="2431" priority="104">
      <formula>ABS(AA$16-AA$19)&gt;=1000</formula>
    </cfRule>
  </conditionalFormatting>
  <conditionalFormatting sqref="AB13 AB15:AB20">
    <cfRule type="expression" dxfId="2430" priority="103">
      <formula>ABS(AB$16-AB$19)&gt;=1000</formula>
    </cfRule>
  </conditionalFormatting>
  <conditionalFormatting sqref="AC13 AC15:AC20">
    <cfRule type="expression" dxfId="2429" priority="102">
      <formula>ABS(AC$16-AC$19)&gt;=1000</formula>
    </cfRule>
  </conditionalFormatting>
  <conditionalFormatting sqref="AD13:AD20">
    <cfRule type="expression" dxfId="2428" priority="101">
      <formula>ABS(AD$16-AD$19)&gt;=1000</formula>
    </cfRule>
  </conditionalFormatting>
  <conditionalFormatting sqref="AE13:AE20">
    <cfRule type="expression" dxfId="2427" priority="100">
      <formula>ABS(AE$16-AE$19)&gt;=1000</formula>
    </cfRule>
  </conditionalFormatting>
  <conditionalFormatting sqref="D22:D29">
    <cfRule type="expression" dxfId="2426" priority="99">
      <formula>ABS(D$25-D$28)&gt;=1000</formula>
    </cfRule>
  </conditionalFormatting>
  <conditionalFormatting sqref="E22:E29">
    <cfRule type="expression" dxfId="2425" priority="98">
      <formula>ABS(E$25-E$28)&gt;=1000</formula>
    </cfRule>
  </conditionalFormatting>
  <conditionalFormatting sqref="F22:F29">
    <cfRule type="expression" dxfId="2424" priority="97">
      <formula>ABS(F$25-F$28)&gt;=1000</formula>
    </cfRule>
  </conditionalFormatting>
  <conditionalFormatting sqref="G22:G29">
    <cfRule type="expression" dxfId="2423" priority="96">
      <formula>ABS(G$25-G$28)&gt;=1000</formula>
    </cfRule>
  </conditionalFormatting>
  <conditionalFormatting sqref="H22:H29">
    <cfRule type="expression" dxfId="2422" priority="95">
      <formula>ABS(H$25-H$28)&gt;=1000</formula>
    </cfRule>
  </conditionalFormatting>
  <conditionalFormatting sqref="I22 I24:I29">
    <cfRule type="expression" dxfId="2421" priority="94">
      <formula>ABS(I$25-I$28)&gt;=1000</formula>
    </cfRule>
  </conditionalFormatting>
  <conditionalFormatting sqref="J22:J29 K22">
    <cfRule type="expression" dxfId="2420" priority="93">
      <formula>ABS(J$25-J$28)&gt;=1000</formula>
    </cfRule>
  </conditionalFormatting>
  <conditionalFormatting sqref="K23:K29 L25 L28">
    <cfRule type="expression" dxfId="2419" priority="92">
      <formula>ABS(K$25-K$28)&gt;=1000</formula>
    </cfRule>
  </conditionalFormatting>
  <conditionalFormatting sqref="L22 L26:L27 L29 L24">
    <cfRule type="expression" dxfId="2418" priority="91">
      <formula>ABS(L$25-L$28)&gt;=1000</formula>
    </cfRule>
  </conditionalFormatting>
  <conditionalFormatting sqref="M22:M29">
    <cfRule type="expression" dxfId="2417" priority="90">
      <formula>ABS(M$25-M$28)&gt;=1000</formula>
    </cfRule>
  </conditionalFormatting>
  <conditionalFormatting sqref="N22:N29">
    <cfRule type="expression" dxfId="2416" priority="89">
      <formula>ABS(N$25-N$28)&gt;=1000</formula>
    </cfRule>
  </conditionalFormatting>
  <conditionalFormatting sqref="O22:O29">
    <cfRule type="expression" dxfId="2415" priority="88">
      <formula>ABS(O$25-O$28)&gt;=1000</formula>
    </cfRule>
  </conditionalFormatting>
  <conditionalFormatting sqref="P22:P29">
    <cfRule type="expression" dxfId="2414" priority="87">
      <formula>ABS(P$25-P$28)&gt;=1000</formula>
    </cfRule>
  </conditionalFormatting>
  <conditionalFormatting sqref="Q22:Q29">
    <cfRule type="expression" dxfId="2413" priority="86">
      <formula>ABS(Q$25-Q$28)&gt;=1000</formula>
    </cfRule>
  </conditionalFormatting>
  <conditionalFormatting sqref="R22:R29">
    <cfRule type="expression" dxfId="2412" priority="85">
      <formula>ABS(R$25-R$28)&gt;=1000</formula>
    </cfRule>
  </conditionalFormatting>
  <conditionalFormatting sqref="S22:S29">
    <cfRule type="expression" dxfId="2411" priority="84">
      <formula>ABS(S$25-S$28)&gt;=1000</formula>
    </cfRule>
  </conditionalFormatting>
  <conditionalFormatting sqref="T22:T29">
    <cfRule type="expression" dxfId="2410" priority="83">
      <formula>ABS(T$25-T$28)&gt;=1000</formula>
    </cfRule>
  </conditionalFormatting>
  <conditionalFormatting sqref="U22:U29">
    <cfRule type="expression" dxfId="2409" priority="82">
      <formula>ABS(U$25-U$28)&gt;=1000</formula>
    </cfRule>
  </conditionalFormatting>
  <conditionalFormatting sqref="V22:V29">
    <cfRule type="expression" dxfId="2408" priority="81">
      <formula>ABS(V$25-V$28)&gt;=1000</formula>
    </cfRule>
  </conditionalFormatting>
  <conditionalFormatting sqref="W22:W29">
    <cfRule type="expression" dxfId="2407" priority="80">
      <formula>ABS(W$25-W$28)&gt;=1000</formula>
    </cfRule>
  </conditionalFormatting>
  <conditionalFormatting sqref="X22:X29">
    <cfRule type="expression" dxfId="2406" priority="79">
      <formula>ABS(X$25-X$28)&gt;=1000</formula>
    </cfRule>
  </conditionalFormatting>
  <conditionalFormatting sqref="Y22:Y29">
    <cfRule type="expression" dxfId="2405" priority="78">
      <formula>ABS(Y$25-Y$28)&gt;=1000</formula>
    </cfRule>
  </conditionalFormatting>
  <conditionalFormatting sqref="I23">
    <cfRule type="expression" dxfId="2404" priority="77">
      <formula>ABS(I$25-I$28)&gt;=1000</formula>
    </cfRule>
  </conditionalFormatting>
  <conditionalFormatting sqref="Q14">
    <cfRule type="expression" dxfId="2403" priority="76">
      <formula>ABS(Q$16-Q$19)&gt;=1000</formula>
    </cfRule>
  </conditionalFormatting>
  <conditionalFormatting sqref="W14">
    <cfRule type="expression" dxfId="2402" priority="75">
      <formula>ABS(W$16-W$19)&gt;=1000</formula>
    </cfRule>
  </conditionalFormatting>
  <conditionalFormatting sqref="X14">
    <cfRule type="expression" dxfId="2401" priority="74">
      <formula>ABS(X$16-X$19)&gt;=1000</formula>
    </cfRule>
  </conditionalFormatting>
  <conditionalFormatting sqref="T10:Y10">
    <cfRule type="expression" dxfId="2400" priority="73">
      <formula>ABS(T$7-T$10)&gt;=1000</formula>
    </cfRule>
  </conditionalFormatting>
  <conditionalFormatting sqref="W19">
    <cfRule type="expression" dxfId="2399" priority="72">
      <formula>ABS(W$16-W$19)&gt;=1000</formula>
    </cfRule>
  </conditionalFormatting>
  <conditionalFormatting sqref="AC5">
    <cfRule type="expression" dxfId="2398" priority="71">
      <formula>ABS(AC$7-AC$10)&gt;=1000</formula>
    </cfRule>
  </conditionalFormatting>
  <conditionalFormatting sqref="M14">
    <cfRule type="expression" dxfId="2397" priority="70">
      <formula>ABS(M$16-M$19)&gt;=1000</formula>
    </cfRule>
  </conditionalFormatting>
  <conditionalFormatting sqref="M16">
    <cfRule type="expression" dxfId="2396" priority="69">
      <formula>ABS(M$16-M$19)&gt;=1000</formula>
    </cfRule>
  </conditionalFormatting>
  <conditionalFormatting sqref="M19">
    <cfRule type="expression" dxfId="2395" priority="68">
      <formula>ABS(M$16-M$19)&gt;=1000</formula>
    </cfRule>
  </conditionalFormatting>
  <conditionalFormatting sqref="K13:K20">
    <cfRule type="expression" dxfId="2394" priority="67">
      <formula>ABS(K$16-K$19)&gt;=1000</formula>
    </cfRule>
  </conditionalFormatting>
  <conditionalFormatting sqref="AB14:AC14">
    <cfRule type="expression" dxfId="2393" priority="66">
      <formula>ABS(AB$16-AB$19)&gt;=1000</formula>
    </cfRule>
  </conditionalFormatting>
  <conditionalFormatting sqref="M5">
    <cfRule type="expression" dxfId="2392" priority="65">
      <formula>ABS(M$7-M$10)&gt;=1000</formula>
    </cfRule>
  </conditionalFormatting>
  <conditionalFormatting sqref="N5">
    <cfRule type="expression" dxfId="2391" priority="64">
      <formula>ABS(N$7-N$10)&gt;=1000</formula>
    </cfRule>
  </conditionalFormatting>
  <conditionalFormatting sqref="L23">
    <cfRule type="expression" dxfId="2390" priority="63">
      <formula>ABS(L$25-L$28)&gt;=1000</formula>
    </cfRule>
  </conditionalFormatting>
  <conditionalFormatting sqref="Y14">
    <cfRule type="expression" dxfId="2389" priority="62">
      <formula>ABS(Y$16-Y$19)&gt;=1000</formula>
    </cfRule>
  </conditionalFormatting>
  <conditionalFormatting sqref="F14">
    <cfRule type="expression" dxfId="2388" priority="61">
      <formula>ABS(F$16-F$19)&gt;=1000</formula>
    </cfRule>
  </conditionalFormatting>
  <conditionalFormatting sqref="H14">
    <cfRule type="expression" dxfId="2387" priority="60">
      <formula>ABS(H$16-H$19)&gt;=1000</formula>
    </cfRule>
  </conditionalFormatting>
  <conditionalFormatting sqref="AD5">
    <cfRule type="expression" dxfId="2386" priority="59">
      <formula>ABS(AD$7-AD$10)&gt;=1000</formula>
    </cfRule>
  </conditionalFormatting>
  <conditionalFormatting sqref="AE5">
    <cfRule type="expression" dxfId="2385" priority="58">
      <formula>ABS(AE$7-AE$10)&gt;=1000</formula>
    </cfRule>
  </conditionalFormatting>
  <conditionalFormatting sqref="D5">
    <cfRule type="expression" dxfId="2384" priority="57">
      <formula>ABS(D$7-D$10)&gt;=1000</formula>
    </cfRule>
  </conditionalFormatting>
  <conditionalFormatting sqref="E5:G5">
    <cfRule type="expression" dxfId="2383" priority="56">
      <formula>ABS(E$7-E$10)&gt;=1000</formula>
    </cfRule>
  </conditionalFormatting>
  <conditionalFormatting sqref="H5">
    <cfRule type="expression" dxfId="2382" priority="55">
      <formula>ABS(H$7-H$10)&gt;=1000</formula>
    </cfRule>
  </conditionalFormatting>
  <conditionalFormatting sqref="O4:P4">
    <cfRule type="expression" dxfId="2381" priority="54">
      <formula>ABS(O$7-O$10)&gt;=1000</formula>
    </cfRule>
  </conditionalFormatting>
  <conditionalFormatting sqref="O5 O8 O11">
    <cfRule type="expression" dxfId="2380" priority="53">
      <formula>ABS(O$7-O$10)&gt;=1000</formula>
    </cfRule>
  </conditionalFormatting>
  <conditionalFormatting sqref="P8 P11">
    <cfRule type="expression" dxfId="2379" priority="52">
      <formula>ABS(P$7-P$10)&gt;=1000</formula>
    </cfRule>
  </conditionalFormatting>
  <conditionalFormatting sqref="I5">
    <cfRule type="expression" dxfId="2378" priority="51">
      <formula>ABS(I$7-I$10)&gt;=1000</formula>
    </cfRule>
  </conditionalFormatting>
  <conditionalFormatting sqref="J5">
    <cfRule type="expression" dxfId="2377" priority="50">
      <formula>ABS(J$7-J$10)&gt;=1000</formula>
    </cfRule>
  </conditionalFormatting>
  <conditionalFormatting sqref="K5">
    <cfRule type="expression" dxfId="2376" priority="49">
      <formula>ABS(K$7-K$10)&gt;=1000</formula>
    </cfRule>
  </conditionalFormatting>
  <conditionalFormatting sqref="P5">
    <cfRule type="expression" dxfId="2375" priority="48">
      <formula>ABS(P$7-P$10)&gt;=1000</formula>
    </cfRule>
  </conditionalFormatting>
  <conditionalFormatting sqref="H6">
    <cfRule type="expression" dxfId="2357" priority="30">
      <formula>ABS(H$7-H$10)&gt;=1000</formula>
    </cfRule>
  </conditionalFormatting>
  <conditionalFormatting sqref="J6">
    <cfRule type="expression" dxfId="2356" priority="29">
      <formula>ABS(J$7-J$10)&gt;=1000</formula>
    </cfRule>
  </conditionalFormatting>
  <conditionalFormatting sqref="K6">
    <cfRule type="expression" dxfId="2355" priority="28">
      <formula>ABS(K$7-K$10)&gt;=1000</formula>
    </cfRule>
  </conditionalFormatting>
  <conditionalFormatting sqref="L6">
    <cfRule type="expression" dxfId="2354" priority="27">
      <formula>ABS(L$7-L$10)&gt;=1000</formula>
    </cfRule>
  </conditionalFormatting>
  <conditionalFormatting sqref="M6">
    <cfRule type="expression" dxfId="2353" priority="26">
      <formula>ABS(M$7-M$10)&gt;=1000</formula>
    </cfRule>
  </conditionalFormatting>
  <conditionalFormatting sqref="N6">
    <cfRule type="expression" dxfId="2352" priority="25">
      <formula>ABS(N$7-N$10)&gt;=1000</formula>
    </cfRule>
  </conditionalFormatting>
  <conditionalFormatting sqref="O6">
    <cfRule type="expression" dxfId="2351" priority="24">
      <formula>ABS(O$7-O$10)&gt;=1000</formula>
    </cfRule>
  </conditionalFormatting>
  <conditionalFormatting sqref="P6">
    <cfRule type="expression" dxfId="2350" priority="23">
      <formula>ABS(P$7-P$10)&gt;=1000</formula>
    </cfRule>
  </conditionalFormatting>
  <conditionalFormatting sqref="I6">
    <cfRule type="expression" dxfId="2349" priority="22">
      <formula>ABS(I$7-I$10)&gt;=1000</formula>
    </cfRule>
  </conditionalFormatting>
  <conditionalFormatting sqref="H9">
    <cfRule type="expression" dxfId="2348" priority="21">
      <formula>ABS(H$7-H$10)&gt;=1000</formula>
    </cfRule>
  </conditionalFormatting>
  <conditionalFormatting sqref="J9">
    <cfRule type="expression" dxfId="2347" priority="20">
      <formula>ABS(J$7-J$10)&gt;=1000</formula>
    </cfRule>
  </conditionalFormatting>
  <conditionalFormatting sqref="K9">
    <cfRule type="expression" dxfId="2346" priority="19">
      <formula>ABS(K$7-K$10)&gt;=1000</formula>
    </cfRule>
  </conditionalFormatting>
  <conditionalFormatting sqref="L9">
    <cfRule type="expression" dxfId="2345" priority="18">
      <formula>ABS(L$7-L$10)&gt;=1000</formula>
    </cfRule>
  </conditionalFormatting>
  <conditionalFormatting sqref="M9">
    <cfRule type="expression" dxfId="2344" priority="17">
      <formula>ABS(M$7-M$10)&gt;=1000</formula>
    </cfRule>
  </conditionalFormatting>
  <conditionalFormatting sqref="N9">
    <cfRule type="expression" dxfId="2343" priority="16">
      <formula>ABS(N$7-N$10)&gt;=1000</formula>
    </cfRule>
  </conditionalFormatting>
  <conditionalFormatting sqref="O9">
    <cfRule type="expression" dxfId="2342" priority="15">
      <formula>ABS(O$7-O$10)&gt;=1000</formula>
    </cfRule>
  </conditionalFormatting>
  <conditionalFormatting sqref="P9">
    <cfRule type="expression" dxfId="2341" priority="14">
      <formula>ABS(P$7-P$10)&gt;=1000</formula>
    </cfRule>
  </conditionalFormatting>
  <conditionalFormatting sqref="I9">
    <cfRule type="expression" dxfId="2340" priority="13">
      <formula>ABS(I$7-I$10)&gt;=1000</formula>
    </cfRule>
  </conditionalFormatting>
  <conditionalFormatting sqref="D7:G7">
    <cfRule type="expression" dxfId="74" priority="10">
      <formula>ABS(D$7-D$10)&gt;=1000</formula>
    </cfRule>
  </conditionalFormatting>
  <conditionalFormatting sqref="H7:L7">
    <cfRule type="expression" dxfId="73" priority="9">
      <formula>ABS(H$7-H$10)&gt;=1000</formula>
    </cfRule>
  </conditionalFormatting>
  <conditionalFormatting sqref="M7">
    <cfRule type="expression" dxfId="72" priority="8">
      <formula>ABS(M$7-M$10)&gt;=1000</formula>
    </cfRule>
  </conditionalFormatting>
  <conditionalFormatting sqref="O7:P7">
    <cfRule type="expression" dxfId="71" priority="7">
      <formula>ABS(O$7-O$10)&gt;=1000</formula>
    </cfRule>
  </conditionalFormatting>
  <conditionalFormatting sqref="N7">
    <cfRule type="expression" dxfId="70" priority="6">
      <formula>ABS(N$7-N$10)&gt;=1000</formula>
    </cfRule>
  </conditionalFormatting>
  <conditionalFormatting sqref="D10:G10">
    <cfRule type="expression" dxfId="69" priority="5">
      <formula>ABS(D$7-D$10)&gt;=1000</formula>
    </cfRule>
  </conditionalFormatting>
  <conditionalFormatting sqref="H10:L10">
    <cfRule type="expression" dxfId="68" priority="4">
      <formula>ABS(H$7-H$10)&gt;=1000</formula>
    </cfRule>
  </conditionalFormatting>
  <conditionalFormatting sqref="M10">
    <cfRule type="expression" dxfId="67" priority="3">
      <formula>ABS(M$7-M$10)&gt;=1000</formula>
    </cfRule>
  </conditionalFormatting>
  <conditionalFormatting sqref="O10:P10">
    <cfRule type="expression" dxfId="66" priority="2">
      <formula>ABS(O$7-O$10)&gt;=1000</formula>
    </cfRule>
  </conditionalFormatting>
  <conditionalFormatting sqref="N10">
    <cfRule type="expression" dxfId="6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26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5">
    <pageSetUpPr fitToPage="1"/>
  </sheetPr>
  <dimension ref="A1:BA223"/>
  <sheetViews>
    <sheetView view="pageBreakPreview" topLeftCell="B1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46154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141" t="s" ph="1">
        <v>121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84" t="s" ph="1">
        <v>54</v>
      </c>
      <c r="D6" s="151">
        <v>0.5968</v>
      </c>
      <c r="E6" s="151">
        <v>0.99670000000000003</v>
      </c>
      <c r="F6" s="151">
        <v>0</v>
      </c>
      <c r="G6" s="151">
        <v>0</v>
      </c>
      <c r="H6" s="70">
        <v>1392</v>
      </c>
      <c r="I6" s="70">
        <v>0</v>
      </c>
      <c r="J6" s="70">
        <v>0</v>
      </c>
      <c r="K6" s="70">
        <v>0</v>
      </c>
      <c r="L6" s="70">
        <v>2800</v>
      </c>
      <c r="M6" s="70">
        <v>670</v>
      </c>
      <c r="N6" s="70">
        <v>2289</v>
      </c>
      <c r="O6" s="70">
        <v>4424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12143.896855552002</v>
      </c>
      <c r="E7" s="72" ph="1">
        <f>((E6*5885)*4.48)*LOOKUP(E8,密度!$A$2:$A$50,密度!$B$2:$B$50)</f>
        <v>20325.875329760001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13496.43294742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57671.689599999998</v>
      </c>
      <c r="M7" s="72" ph="1">
        <f>M6*26.42*1</f>
        <v>17701.400000000001</v>
      </c>
      <c r="N7" s="72" ph="1">
        <f>N6*18.32*LOOKUP(N8,密度!$A$2:$A$50,密度!$B$2:$B$50)</f>
        <v>32654.379575999999</v>
      </c>
      <c r="O7" s="72" ph="1">
        <f>O6*81.71*LOOKUP(O8,密度!$A$2:$A$50,密度!$B$2:$B$50)</f>
        <v>281813.73718399997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34</v>
      </c>
      <c r="E8" s="73">
        <v>32</v>
      </c>
      <c r="F8" s="73">
        <v>25</v>
      </c>
      <c r="G8" s="73">
        <v>26</v>
      </c>
      <c r="H8" s="73">
        <v>29</v>
      </c>
      <c r="I8" s="73">
        <v>27</v>
      </c>
      <c r="J8" s="73">
        <v>25</v>
      </c>
      <c r="K8" s="73">
        <v>26</v>
      </c>
      <c r="L8" s="73">
        <v>25</v>
      </c>
      <c r="M8" s="73">
        <v>25</v>
      </c>
      <c r="N8" s="73">
        <v>26</v>
      </c>
      <c r="O8" s="73">
        <v>25</v>
      </c>
      <c r="P8" s="73">
        <v>25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84" t="s" ph="1">
        <v>57</v>
      </c>
      <c r="D9" s="151">
        <v>0.99929999999999997</v>
      </c>
      <c r="E9" s="151">
        <v>0.18870000000000001</v>
      </c>
      <c r="F9" s="151">
        <v>0</v>
      </c>
      <c r="G9" s="151">
        <v>0</v>
      </c>
      <c r="H9" s="70">
        <v>3053</v>
      </c>
      <c r="I9" s="70">
        <v>0</v>
      </c>
      <c r="J9" s="70">
        <v>0</v>
      </c>
      <c r="K9" s="70">
        <v>0</v>
      </c>
      <c r="L9" s="70">
        <v>2801</v>
      </c>
      <c r="M9" s="70">
        <v>670</v>
      </c>
      <c r="N9" s="70">
        <v>2601</v>
      </c>
      <c r="O9" s="70">
        <v>4843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84" t="s" ph="1">
        <v>55</v>
      </c>
      <c r="D10" s="72" ph="1">
        <f>((D9*5885)*4.48)*LOOKUP(D11,密度!$A$2:$A$50,密度!$B$2:$B$50)</f>
        <v>20634.457122048003</v>
      </c>
      <c r="E10" s="72" ph="1">
        <f>((E9*5885)*4.48)*LOOKUP(E11,密度!$A$2:$A$50,密度!$B$2:$B$50)</f>
        <v>3908.8871680320008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33245.131739039993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57692.286631999996</v>
      </c>
      <c r="M10" s="72" ph="1">
        <f>M9*26.42*1</f>
        <v>17701.400000000001</v>
      </c>
      <c r="N10" s="72" ph="1">
        <f>N9*18.32*LOOKUP(N11,密度!$A$2:$A$50,密度!$B$2:$B$50)</f>
        <v>37400.736168000003</v>
      </c>
      <c r="O10" s="72" ph="1">
        <f>O9*81.71*LOOKUP(O11,密度!$A$2:$A$50,密度!$B$2:$B$50)</f>
        <v>308504.50478799996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84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28</v>
      </c>
      <c r="C13" s="184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84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84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84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84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84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84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84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84" t="s" ph="1">
        <v>1</v>
      </c>
      <c r="F32" s="183" t="s" ph="1">
        <v>31</v>
      </c>
      <c r="G32" s="96" t="s" ph="1">
        <v>0</v>
      </c>
      <c r="H32" s="184" t="s" ph="1">
        <v>1</v>
      </c>
      <c r="I32" s="183" t="s" ph="1">
        <v>31</v>
      </c>
      <c r="J32" s="96" t="s" ph="1">
        <v>0</v>
      </c>
      <c r="K32" s="184" t="s" ph="1">
        <v>1</v>
      </c>
      <c r="L32" s="183" t="s" ph="1">
        <v>31</v>
      </c>
      <c r="M32" s="96" t="s" ph="1">
        <v>0</v>
      </c>
      <c r="N32" s="184" t="s" ph="1">
        <v>1</v>
      </c>
      <c r="O32" s="183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84" t="s" ph="1">
        <v>1</v>
      </c>
      <c r="U32" s="98" t="s" ph="1">
        <v>31</v>
      </c>
      <c r="V32" s="96" t="s" ph="1">
        <v>0</v>
      </c>
      <c r="W32" s="184" t="s" ph="1">
        <v>1</v>
      </c>
      <c r="X32" s="98" t="s" ph="1">
        <v>31</v>
      </c>
      <c r="Y32" s="99" t="s" ph="1">
        <v>0</v>
      </c>
      <c r="Z32" s="184" t="s" ph="1">
        <v>1</v>
      </c>
      <c r="AA32" s="183" t="s" ph="1">
        <v>31</v>
      </c>
      <c r="AB32" s="96" t="s" ph="1">
        <v>41</v>
      </c>
      <c r="AC32" s="184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308504.50478799996</v>
      </c>
      <c r="E33" s="245" ph="1">
        <f>H10+I10+J10+K10</f>
        <v>33245.131739039993</v>
      </c>
      <c r="F33" s="269" ph="1">
        <f>L10+N10</f>
        <v>95093.022800000006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82" t="s" ph="1">
        <v>62</v>
      </c>
      <c r="AA36" s="182" ph="1"/>
      <c r="AB36" s="231" t="s" ph="1">
        <v>67</v>
      </c>
      <c r="AC36" s="231" ph="1"/>
      <c r="AD36" s="231" ph="1"/>
      <c r="AE36" s="231" ph="1"/>
    </row>
    <row r="37" spans="1:31" s="182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2337" priority="152">
      <formula>ABS(D$7-D$10)&gt;=1000</formula>
    </cfRule>
  </conditionalFormatting>
  <conditionalFormatting sqref="E4 E6 E8:E9 E11">
    <cfRule type="expression" dxfId="2336" priority="151">
      <formula>ABS(E$7-E$10)&gt;=1000</formula>
    </cfRule>
  </conditionalFormatting>
  <conditionalFormatting sqref="F4 F6 F8:F9 F11">
    <cfRule type="expression" dxfId="2335" priority="150">
      <formula>ABS(F$7-F$10)&gt;=1000</formula>
    </cfRule>
  </conditionalFormatting>
  <conditionalFormatting sqref="G4 G6 G8:G9 G11">
    <cfRule type="expression" dxfId="2334" priority="149">
      <formula>ABS(G$7-G$10)&gt;=1000</formula>
    </cfRule>
  </conditionalFormatting>
  <conditionalFormatting sqref="H4:K4 H8 H11">
    <cfRule type="expression" dxfId="2333" priority="148">
      <formula>ABS(H$7-H$10)&gt;=1000</formula>
    </cfRule>
  </conditionalFormatting>
  <conditionalFormatting sqref="I8 I11">
    <cfRule type="expression" dxfId="2332" priority="147">
      <formula>ABS(I$7-I$10)&gt;=1000</formula>
    </cfRule>
  </conditionalFormatting>
  <conditionalFormatting sqref="J8 J11">
    <cfRule type="expression" dxfId="2331" priority="146">
      <formula>ABS(J$7-J$10)&gt;=1000</formula>
    </cfRule>
  </conditionalFormatting>
  <conditionalFormatting sqref="K8 K11">
    <cfRule type="expression" dxfId="2330" priority="145">
      <formula>ABS(K$7-K$10)&gt;=1000</formula>
    </cfRule>
  </conditionalFormatting>
  <conditionalFormatting sqref="L4:L5 M4:N4 Q4:S4 L8 L11">
    <cfRule type="expression" dxfId="2329" priority="144">
      <formula>ABS(L$7-L$10)&gt;=1000</formula>
    </cfRule>
  </conditionalFormatting>
  <conditionalFormatting sqref="M8 M11">
    <cfRule type="expression" dxfId="2328" priority="143">
      <formula>ABS(M$7-M$10)&gt;=1000</formula>
    </cfRule>
  </conditionalFormatting>
  <conditionalFormatting sqref="N8 N11">
    <cfRule type="expression" dxfId="2327" priority="142">
      <formula>ABS(N$7-N$10)&gt;=1000</formula>
    </cfRule>
  </conditionalFormatting>
  <conditionalFormatting sqref="Q5:Q11">
    <cfRule type="expression" dxfId="2326" priority="141">
      <formula>ABS(Q$7-Q$10)&gt;=1000</formula>
    </cfRule>
  </conditionalFormatting>
  <conditionalFormatting sqref="R5:R11">
    <cfRule type="expression" dxfId="2325" priority="140">
      <formula>ABS(R$7-R$10)&gt;=1000</formula>
    </cfRule>
  </conditionalFormatting>
  <conditionalFormatting sqref="S5:S11">
    <cfRule type="expression" dxfId="2324" priority="139">
      <formula>ABS(S$7-S$10)&gt;=1000</formula>
    </cfRule>
  </conditionalFormatting>
  <conditionalFormatting sqref="T4:T9 T11">
    <cfRule type="expression" dxfId="2323" priority="138">
      <formula>ABS(T$7-T$10)&gt;=1000</formula>
    </cfRule>
  </conditionalFormatting>
  <conditionalFormatting sqref="U4:U9 U11">
    <cfRule type="expression" dxfId="2322" priority="137">
      <formula>ABS(U$7-U$10)&gt;=1000</formula>
    </cfRule>
  </conditionalFormatting>
  <conditionalFormatting sqref="V4:V9 V11">
    <cfRule type="expression" dxfId="2321" priority="136">
      <formula>ABS(V$7-V$10)&gt;=1000</formula>
    </cfRule>
  </conditionalFormatting>
  <conditionalFormatting sqref="W4:W9 W11">
    <cfRule type="expression" dxfId="2320" priority="135">
      <formula>ABS(W$7-W$10)&gt;=1000</formula>
    </cfRule>
  </conditionalFormatting>
  <conditionalFormatting sqref="X4:X9 X11">
    <cfRule type="expression" dxfId="2319" priority="134">
      <formula>ABS(X$7-X$10)&gt;=1000</formula>
    </cfRule>
  </conditionalFormatting>
  <conditionalFormatting sqref="Y4:Y9 Y11">
    <cfRule type="expression" dxfId="2318" priority="133">
      <formula>ABS(Y$7-Y$10)&gt;=1000</formula>
    </cfRule>
  </conditionalFormatting>
  <conditionalFormatting sqref="Z4:Z11">
    <cfRule type="expression" dxfId="2317" priority="132">
      <formula>ABS(Z$7-Z$10)&gt;=1000</formula>
    </cfRule>
  </conditionalFormatting>
  <conditionalFormatting sqref="AA4:AA11">
    <cfRule type="expression" dxfId="2316" priority="131">
      <formula>ABS(AA$7-AA$10)&gt;=1000</formula>
    </cfRule>
  </conditionalFormatting>
  <conditionalFormatting sqref="AB4:AB11">
    <cfRule type="expression" dxfId="2315" priority="130">
      <formula>ABS(AB$7-AB$10)&gt;=1000</formula>
    </cfRule>
  </conditionalFormatting>
  <conditionalFormatting sqref="AC4 AC6:AC11">
    <cfRule type="expression" dxfId="2314" priority="129">
      <formula>ABS(AC$7-AC$10)&gt;=1000</formula>
    </cfRule>
  </conditionalFormatting>
  <conditionalFormatting sqref="AD4 AD6:AD11">
    <cfRule type="expression" dxfId="2313" priority="128">
      <formula>ABS(AD$7-AD$10)&gt;=1000</formula>
    </cfRule>
  </conditionalFormatting>
  <conditionalFormatting sqref="AE4 AE6:AE11">
    <cfRule type="expression" dxfId="2312" priority="127">
      <formula>ABS(AE$7-AE$10)&gt;=1000</formula>
    </cfRule>
  </conditionalFormatting>
  <conditionalFormatting sqref="D13:D20">
    <cfRule type="expression" dxfId="2311" priority="126">
      <formula>ABS(D$16-D$19)&gt;=1000</formula>
    </cfRule>
  </conditionalFormatting>
  <conditionalFormatting sqref="E13:E20">
    <cfRule type="expression" dxfId="2310" priority="125">
      <formula>ABS(E$16-E$19)&gt;=1000</formula>
    </cfRule>
  </conditionalFormatting>
  <conditionalFormatting sqref="F13 F15:F20">
    <cfRule type="expression" dxfId="2309" priority="124">
      <formula>ABS(F$16-F$19)&gt;=1000</formula>
    </cfRule>
  </conditionalFormatting>
  <conditionalFormatting sqref="G13:G20">
    <cfRule type="expression" dxfId="2308" priority="123">
      <formula>ABS(G$16-G$19)&gt;=1000</formula>
    </cfRule>
  </conditionalFormatting>
  <conditionalFormatting sqref="H13 H15:H20">
    <cfRule type="expression" dxfId="2307" priority="122">
      <formula>ABS(H$16-H$19)&gt;=1000</formula>
    </cfRule>
  </conditionalFormatting>
  <conditionalFormatting sqref="I13:I20">
    <cfRule type="expression" dxfId="2306" priority="121">
      <formula>ABS(I$16-I$19)&gt;=1000</formula>
    </cfRule>
  </conditionalFormatting>
  <conditionalFormatting sqref="J13:J20">
    <cfRule type="expression" dxfId="2305" priority="120">
      <formula>ABS(J$16-J$19)&gt;=1000</formula>
    </cfRule>
  </conditionalFormatting>
  <conditionalFormatting sqref="L13:L20">
    <cfRule type="expression" dxfId="2304" priority="119">
      <formula>ABS(L$16-L$19)&gt;=1000</formula>
    </cfRule>
  </conditionalFormatting>
  <conditionalFormatting sqref="M13 M15 M17:M18 M20">
    <cfRule type="expression" dxfId="2303" priority="118">
      <formula>ABS(M$16-M$19)&gt;=1000</formula>
    </cfRule>
  </conditionalFormatting>
  <conditionalFormatting sqref="N13:N20">
    <cfRule type="expression" dxfId="2302" priority="117">
      <formula>ABS(N$16-N$19)&gt;=1000</formula>
    </cfRule>
  </conditionalFormatting>
  <conditionalFormatting sqref="O13:O20">
    <cfRule type="expression" dxfId="2301" priority="116">
      <formula>ABS(O$16-O$19)&gt;=1000</formula>
    </cfRule>
  </conditionalFormatting>
  <conditionalFormatting sqref="P13:P20">
    <cfRule type="expression" dxfId="2300" priority="115">
      <formula>ABS(P$16-P$19)&gt;=1000</formula>
    </cfRule>
  </conditionalFormatting>
  <conditionalFormatting sqref="Q13 Q15:Q20">
    <cfRule type="expression" dxfId="2299" priority="114">
      <formula>ABS(Q$16-Q$19)&gt;=1000</formula>
    </cfRule>
  </conditionalFormatting>
  <conditionalFormatting sqref="R13:R20">
    <cfRule type="expression" dxfId="2298" priority="113">
      <formula>ABS(R$16-R$19)&gt;=1000</formula>
    </cfRule>
  </conditionalFormatting>
  <conditionalFormatting sqref="S13:S20">
    <cfRule type="expression" dxfId="2297" priority="112">
      <formula>ABS(S$16-S$19)&gt;=1000</formula>
    </cfRule>
  </conditionalFormatting>
  <conditionalFormatting sqref="T13:T20">
    <cfRule type="expression" dxfId="2296" priority="111">
      <formula>ABS(T$16-T$19)&gt;=1000</formula>
    </cfRule>
  </conditionalFormatting>
  <conditionalFormatting sqref="U13:U20">
    <cfRule type="expression" dxfId="2295" priority="110">
      <formula>ABS(U$16-U$19)&gt;=1000</formula>
    </cfRule>
  </conditionalFormatting>
  <conditionalFormatting sqref="V13:V20">
    <cfRule type="expression" dxfId="2294" priority="109">
      <formula>ABS(V$16-V$19)&gt;=1000</formula>
    </cfRule>
  </conditionalFormatting>
  <conditionalFormatting sqref="W13 W20 W15:W18">
    <cfRule type="expression" dxfId="2293" priority="108">
      <formula>ABS(W$16-W$19)&gt;=1000</formula>
    </cfRule>
  </conditionalFormatting>
  <conditionalFormatting sqref="X13 X15:X20 Y19">
    <cfRule type="expression" dxfId="2292" priority="107">
      <formula>ABS(X$16-X$19)&gt;=1000</formula>
    </cfRule>
  </conditionalFormatting>
  <conditionalFormatting sqref="Y13 Y15:Y18 Y20">
    <cfRule type="expression" dxfId="2291" priority="106">
      <formula>ABS(Y$16-Y$19)&gt;=1000</formula>
    </cfRule>
  </conditionalFormatting>
  <conditionalFormatting sqref="Z13:Z20">
    <cfRule type="expression" dxfId="2290" priority="105">
      <formula>ABS(Z$16-Z$19)&gt;=1000</formula>
    </cfRule>
  </conditionalFormatting>
  <conditionalFormatting sqref="AA13:AA20">
    <cfRule type="expression" dxfId="2289" priority="104">
      <formula>ABS(AA$16-AA$19)&gt;=1000</formula>
    </cfRule>
  </conditionalFormatting>
  <conditionalFormatting sqref="AB13 AB15:AB20">
    <cfRule type="expression" dxfId="2288" priority="103">
      <formula>ABS(AB$16-AB$19)&gt;=1000</formula>
    </cfRule>
  </conditionalFormatting>
  <conditionalFormatting sqref="AC13 AC15:AC20">
    <cfRule type="expression" dxfId="2287" priority="102">
      <formula>ABS(AC$16-AC$19)&gt;=1000</formula>
    </cfRule>
  </conditionalFormatting>
  <conditionalFormatting sqref="AD13:AD20">
    <cfRule type="expression" dxfId="2286" priority="101">
      <formula>ABS(AD$16-AD$19)&gt;=1000</formula>
    </cfRule>
  </conditionalFormatting>
  <conditionalFormatting sqref="AE13:AE20">
    <cfRule type="expression" dxfId="2285" priority="100">
      <formula>ABS(AE$16-AE$19)&gt;=1000</formula>
    </cfRule>
  </conditionalFormatting>
  <conditionalFormatting sqref="D22:D29">
    <cfRule type="expression" dxfId="2284" priority="99">
      <formula>ABS(D$25-D$28)&gt;=1000</formula>
    </cfRule>
  </conditionalFormatting>
  <conditionalFormatting sqref="E22:E29">
    <cfRule type="expression" dxfId="2283" priority="98">
      <formula>ABS(E$25-E$28)&gt;=1000</formula>
    </cfRule>
  </conditionalFormatting>
  <conditionalFormatting sqref="F22:F29">
    <cfRule type="expression" dxfId="2282" priority="97">
      <formula>ABS(F$25-F$28)&gt;=1000</formula>
    </cfRule>
  </conditionalFormatting>
  <conditionalFormatting sqref="G22:G29">
    <cfRule type="expression" dxfId="2281" priority="96">
      <formula>ABS(G$25-G$28)&gt;=1000</formula>
    </cfRule>
  </conditionalFormatting>
  <conditionalFormatting sqref="H22:H29">
    <cfRule type="expression" dxfId="2280" priority="95">
      <formula>ABS(H$25-H$28)&gt;=1000</formula>
    </cfRule>
  </conditionalFormatting>
  <conditionalFormatting sqref="I22 I24:I29">
    <cfRule type="expression" dxfId="2279" priority="94">
      <formula>ABS(I$25-I$28)&gt;=1000</formula>
    </cfRule>
  </conditionalFormatting>
  <conditionalFormatting sqref="J22:J29 K22">
    <cfRule type="expression" dxfId="2278" priority="93">
      <formula>ABS(J$25-J$28)&gt;=1000</formula>
    </cfRule>
  </conditionalFormatting>
  <conditionalFormatting sqref="K23:K29 L25 L28">
    <cfRule type="expression" dxfId="2277" priority="92">
      <formula>ABS(K$25-K$28)&gt;=1000</formula>
    </cfRule>
  </conditionalFormatting>
  <conditionalFormatting sqref="L22 L26:L27 L29 L24">
    <cfRule type="expression" dxfId="2276" priority="91">
      <formula>ABS(L$25-L$28)&gt;=1000</formula>
    </cfRule>
  </conditionalFormatting>
  <conditionalFormatting sqref="M22:M29">
    <cfRule type="expression" dxfId="2275" priority="90">
      <formula>ABS(M$25-M$28)&gt;=1000</formula>
    </cfRule>
  </conditionalFormatting>
  <conditionalFormatting sqref="N22:N29">
    <cfRule type="expression" dxfId="2274" priority="89">
      <formula>ABS(N$25-N$28)&gt;=1000</formula>
    </cfRule>
  </conditionalFormatting>
  <conditionalFormatting sqref="O22:O29">
    <cfRule type="expression" dxfId="2273" priority="88">
      <formula>ABS(O$25-O$28)&gt;=1000</formula>
    </cfRule>
  </conditionalFormatting>
  <conditionalFormatting sqref="P22:P29">
    <cfRule type="expression" dxfId="2272" priority="87">
      <formula>ABS(P$25-P$28)&gt;=1000</formula>
    </cfRule>
  </conditionalFormatting>
  <conditionalFormatting sqref="Q22:Q29">
    <cfRule type="expression" dxfId="2271" priority="86">
      <formula>ABS(Q$25-Q$28)&gt;=1000</formula>
    </cfRule>
  </conditionalFormatting>
  <conditionalFormatting sqref="R22:R29">
    <cfRule type="expression" dxfId="2270" priority="85">
      <formula>ABS(R$25-R$28)&gt;=1000</formula>
    </cfRule>
  </conditionalFormatting>
  <conditionalFormatting sqref="S22:S29">
    <cfRule type="expression" dxfId="2269" priority="84">
      <formula>ABS(S$25-S$28)&gt;=1000</formula>
    </cfRule>
  </conditionalFormatting>
  <conditionalFormatting sqref="T22:T29">
    <cfRule type="expression" dxfId="2268" priority="83">
      <formula>ABS(T$25-T$28)&gt;=1000</formula>
    </cfRule>
  </conditionalFormatting>
  <conditionalFormatting sqref="U22:U29">
    <cfRule type="expression" dxfId="2267" priority="82">
      <formula>ABS(U$25-U$28)&gt;=1000</formula>
    </cfRule>
  </conditionalFormatting>
  <conditionalFormatting sqref="V22:V29">
    <cfRule type="expression" dxfId="2266" priority="81">
      <formula>ABS(V$25-V$28)&gt;=1000</formula>
    </cfRule>
  </conditionalFormatting>
  <conditionalFormatting sqref="W22:W29">
    <cfRule type="expression" dxfId="2265" priority="80">
      <formula>ABS(W$25-W$28)&gt;=1000</formula>
    </cfRule>
  </conditionalFormatting>
  <conditionalFormatting sqref="X22:X29">
    <cfRule type="expression" dxfId="2264" priority="79">
      <formula>ABS(X$25-X$28)&gt;=1000</formula>
    </cfRule>
  </conditionalFormatting>
  <conditionalFormatting sqref="Y22:Y29">
    <cfRule type="expression" dxfId="2263" priority="78">
      <formula>ABS(Y$25-Y$28)&gt;=1000</formula>
    </cfRule>
  </conditionalFormatting>
  <conditionalFormatting sqref="I23">
    <cfRule type="expression" dxfId="2262" priority="77">
      <formula>ABS(I$25-I$28)&gt;=1000</formula>
    </cfRule>
  </conditionalFormatting>
  <conditionalFormatting sqref="Q14">
    <cfRule type="expression" dxfId="2261" priority="76">
      <formula>ABS(Q$16-Q$19)&gt;=1000</formula>
    </cfRule>
  </conditionalFormatting>
  <conditionalFormatting sqref="W14">
    <cfRule type="expression" dxfId="2260" priority="75">
      <formula>ABS(W$16-W$19)&gt;=1000</formula>
    </cfRule>
  </conditionalFormatting>
  <conditionalFormatting sqref="X14">
    <cfRule type="expression" dxfId="2259" priority="74">
      <formula>ABS(X$16-X$19)&gt;=1000</formula>
    </cfRule>
  </conditionalFormatting>
  <conditionalFormatting sqref="T10:Y10">
    <cfRule type="expression" dxfId="2258" priority="73">
      <formula>ABS(T$7-T$10)&gt;=1000</formula>
    </cfRule>
  </conditionalFormatting>
  <conditionalFormatting sqref="W19">
    <cfRule type="expression" dxfId="2257" priority="72">
      <formula>ABS(W$16-W$19)&gt;=1000</formula>
    </cfRule>
  </conditionalFormatting>
  <conditionalFormatting sqref="AC5">
    <cfRule type="expression" dxfId="2256" priority="71">
      <formula>ABS(AC$7-AC$10)&gt;=1000</formula>
    </cfRule>
  </conditionalFormatting>
  <conditionalFormatting sqref="M14">
    <cfRule type="expression" dxfId="2255" priority="70">
      <formula>ABS(M$16-M$19)&gt;=1000</formula>
    </cfRule>
  </conditionalFormatting>
  <conditionalFormatting sqref="M16">
    <cfRule type="expression" dxfId="2254" priority="69">
      <formula>ABS(M$16-M$19)&gt;=1000</formula>
    </cfRule>
  </conditionalFormatting>
  <conditionalFormatting sqref="M19">
    <cfRule type="expression" dxfId="2253" priority="68">
      <formula>ABS(M$16-M$19)&gt;=1000</formula>
    </cfRule>
  </conditionalFormatting>
  <conditionalFormatting sqref="K13:K20">
    <cfRule type="expression" dxfId="2252" priority="67">
      <formula>ABS(K$16-K$19)&gt;=1000</formula>
    </cfRule>
  </conditionalFormatting>
  <conditionalFormatting sqref="AB14:AC14">
    <cfRule type="expression" dxfId="2251" priority="66">
      <formula>ABS(AB$16-AB$19)&gt;=1000</formula>
    </cfRule>
  </conditionalFormatting>
  <conditionalFormatting sqref="M5">
    <cfRule type="expression" dxfId="2250" priority="65">
      <formula>ABS(M$7-M$10)&gt;=1000</formula>
    </cfRule>
  </conditionalFormatting>
  <conditionalFormatting sqref="N5">
    <cfRule type="expression" dxfId="2249" priority="64">
      <formula>ABS(N$7-N$10)&gt;=1000</formula>
    </cfRule>
  </conditionalFormatting>
  <conditionalFormatting sqref="L23">
    <cfRule type="expression" dxfId="2248" priority="63">
      <formula>ABS(L$25-L$28)&gt;=1000</formula>
    </cfRule>
  </conditionalFormatting>
  <conditionalFormatting sqref="Y14">
    <cfRule type="expression" dxfId="2247" priority="62">
      <formula>ABS(Y$16-Y$19)&gt;=1000</formula>
    </cfRule>
  </conditionalFormatting>
  <conditionalFormatting sqref="F14">
    <cfRule type="expression" dxfId="2246" priority="61">
      <formula>ABS(F$16-F$19)&gt;=1000</formula>
    </cfRule>
  </conditionalFormatting>
  <conditionalFormatting sqref="H14">
    <cfRule type="expression" dxfId="2245" priority="60">
      <formula>ABS(H$16-H$19)&gt;=1000</formula>
    </cfRule>
  </conditionalFormatting>
  <conditionalFormatting sqref="AD5">
    <cfRule type="expression" dxfId="2244" priority="59">
      <formula>ABS(AD$7-AD$10)&gt;=1000</formula>
    </cfRule>
  </conditionalFormatting>
  <conditionalFormatting sqref="AE5">
    <cfRule type="expression" dxfId="2243" priority="58">
      <formula>ABS(AE$7-AE$10)&gt;=1000</formula>
    </cfRule>
  </conditionalFormatting>
  <conditionalFormatting sqref="D5">
    <cfRule type="expression" dxfId="2242" priority="57">
      <formula>ABS(D$7-D$10)&gt;=1000</formula>
    </cfRule>
  </conditionalFormatting>
  <conditionalFormatting sqref="E5:G5">
    <cfRule type="expression" dxfId="2241" priority="56">
      <formula>ABS(E$7-E$10)&gt;=1000</formula>
    </cfRule>
  </conditionalFormatting>
  <conditionalFormatting sqref="H5">
    <cfRule type="expression" dxfId="2240" priority="55">
      <formula>ABS(H$7-H$10)&gt;=1000</formula>
    </cfRule>
  </conditionalFormatting>
  <conditionalFormatting sqref="O4:P4">
    <cfRule type="expression" dxfId="2239" priority="54">
      <formula>ABS(O$7-O$10)&gt;=1000</formula>
    </cfRule>
  </conditionalFormatting>
  <conditionalFormatting sqref="O5 O8 O11">
    <cfRule type="expression" dxfId="2238" priority="53">
      <formula>ABS(O$7-O$10)&gt;=1000</formula>
    </cfRule>
  </conditionalFormatting>
  <conditionalFormatting sqref="P8 P11">
    <cfRule type="expression" dxfId="2237" priority="52">
      <formula>ABS(P$7-P$10)&gt;=1000</formula>
    </cfRule>
  </conditionalFormatting>
  <conditionalFormatting sqref="I5">
    <cfRule type="expression" dxfId="2236" priority="51">
      <formula>ABS(I$7-I$10)&gt;=1000</formula>
    </cfRule>
  </conditionalFormatting>
  <conditionalFormatting sqref="J5">
    <cfRule type="expression" dxfId="2235" priority="50">
      <formula>ABS(J$7-J$10)&gt;=1000</formula>
    </cfRule>
  </conditionalFormatting>
  <conditionalFormatting sqref="K5">
    <cfRule type="expression" dxfId="2234" priority="49">
      <formula>ABS(K$7-K$10)&gt;=1000</formula>
    </cfRule>
  </conditionalFormatting>
  <conditionalFormatting sqref="P5">
    <cfRule type="expression" dxfId="2233" priority="48">
      <formula>ABS(P$7-P$10)&gt;=1000</formula>
    </cfRule>
  </conditionalFormatting>
  <conditionalFormatting sqref="H6">
    <cfRule type="expression" dxfId="2215" priority="30">
      <formula>ABS(H$7-H$10)&gt;=1000</formula>
    </cfRule>
  </conditionalFormatting>
  <conditionalFormatting sqref="J6">
    <cfRule type="expression" dxfId="2214" priority="29">
      <formula>ABS(J$7-J$10)&gt;=1000</formula>
    </cfRule>
  </conditionalFormatting>
  <conditionalFormatting sqref="K6">
    <cfRule type="expression" dxfId="2213" priority="28">
      <formula>ABS(K$7-K$10)&gt;=1000</formula>
    </cfRule>
  </conditionalFormatting>
  <conditionalFormatting sqref="L6">
    <cfRule type="expression" dxfId="2212" priority="27">
      <formula>ABS(L$7-L$10)&gt;=1000</formula>
    </cfRule>
  </conditionalFormatting>
  <conditionalFormatting sqref="M6">
    <cfRule type="expression" dxfId="2211" priority="26">
      <formula>ABS(M$7-M$10)&gt;=1000</formula>
    </cfRule>
  </conditionalFormatting>
  <conditionalFormatting sqref="N6">
    <cfRule type="expression" dxfId="2210" priority="25">
      <formula>ABS(N$7-N$10)&gt;=1000</formula>
    </cfRule>
  </conditionalFormatting>
  <conditionalFormatting sqref="O6">
    <cfRule type="expression" dxfId="2209" priority="24">
      <formula>ABS(O$7-O$10)&gt;=1000</formula>
    </cfRule>
  </conditionalFormatting>
  <conditionalFormatting sqref="P6">
    <cfRule type="expression" dxfId="2208" priority="23">
      <formula>ABS(P$7-P$10)&gt;=1000</formula>
    </cfRule>
  </conditionalFormatting>
  <conditionalFormatting sqref="I6">
    <cfRule type="expression" dxfId="2207" priority="22">
      <formula>ABS(I$7-I$10)&gt;=1000</formula>
    </cfRule>
  </conditionalFormatting>
  <conditionalFormatting sqref="H9">
    <cfRule type="expression" dxfId="2206" priority="21">
      <formula>ABS(H$7-H$10)&gt;=1000</formula>
    </cfRule>
  </conditionalFormatting>
  <conditionalFormatting sqref="J9">
    <cfRule type="expression" dxfId="2205" priority="20">
      <formula>ABS(J$7-J$10)&gt;=1000</formula>
    </cfRule>
  </conditionalFormatting>
  <conditionalFormatting sqref="K9">
    <cfRule type="expression" dxfId="2204" priority="19">
      <formula>ABS(K$7-K$10)&gt;=1000</formula>
    </cfRule>
  </conditionalFormatting>
  <conditionalFormatting sqref="L9">
    <cfRule type="expression" dxfId="2203" priority="18">
      <formula>ABS(L$7-L$10)&gt;=1000</formula>
    </cfRule>
  </conditionalFormatting>
  <conditionalFormatting sqref="M9">
    <cfRule type="expression" dxfId="2202" priority="17">
      <formula>ABS(M$7-M$10)&gt;=1000</formula>
    </cfRule>
  </conditionalFormatting>
  <conditionalFormatting sqref="N9">
    <cfRule type="expression" dxfId="2201" priority="16">
      <formula>ABS(N$7-N$10)&gt;=1000</formula>
    </cfRule>
  </conditionalFormatting>
  <conditionalFormatting sqref="O9">
    <cfRule type="expression" dxfId="2200" priority="15">
      <formula>ABS(O$7-O$10)&gt;=1000</formula>
    </cfRule>
  </conditionalFormatting>
  <conditionalFormatting sqref="P9">
    <cfRule type="expression" dxfId="2199" priority="14">
      <formula>ABS(P$7-P$10)&gt;=1000</formula>
    </cfRule>
  </conditionalFormatting>
  <conditionalFormatting sqref="I9">
    <cfRule type="expression" dxfId="2198" priority="13">
      <formula>ABS(I$7-I$10)&gt;=1000</formula>
    </cfRule>
  </conditionalFormatting>
  <conditionalFormatting sqref="D7:G7">
    <cfRule type="expression" dxfId="64" priority="10">
      <formula>ABS(D$7-D$10)&gt;=1000</formula>
    </cfRule>
  </conditionalFormatting>
  <conditionalFormatting sqref="H7:L7">
    <cfRule type="expression" dxfId="63" priority="9">
      <formula>ABS(H$7-H$10)&gt;=1000</formula>
    </cfRule>
  </conditionalFormatting>
  <conditionalFormatting sqref="M7">
    <cfRule type="expression" dxfId="62" priority="8">
      <formula>ABS(M$7-M$10)&gt;=1000</formula>
    </cfRule>
  </conditionalFormatting>
  <conditionalFormatting sqref="O7:P7">
    <cfRule type="expression" dxfId="61" priority="7">
      <formula>ABS(O$7-O$10)&gt;=1000</formula>
    </cfRule>
  </conditionalFormatting>
  <conditionalFormatting sqref="N7">
    <cfRule type="expression" dxfId="60" priority="6">
      <formula>ABS(N$7-N$10)&gt;=1000</formula>
    </cfRule>
  </conditionalFormatting>
  <conditionalFormatting sqref="D10:G10">
    <cfRule type="expression" dxfId="59" priority="5">
      <formula>ABS(D$7-D$10)&gt;=1000</formula>
    </cfRule>
  </conditionalFormatting>
  <conditionalFormatting sqref="H10:L10">
    <cfRule type="expression" dxfId="58" priority="4">
      <formula>ABS(H$7-H$10)&gt;=1000</formula>
    </cfRule>
  </conditionalFormatting>
  <conditionalFormatting sqref="M10">
    <cfRule type="expression" dxfId="57" priority="3">
      <formula>ABS(M$7-M$10)&gt;=1000</formula>
    </cfRule>
  </conditionalFormatting>
  <conditionalFormatting sqref="O10:P10">
    <cfRule type="expression" dxfId="56" priority="2">
      <formula>ABS(O$7-O$10)&gt;=1000</formula>
    </cfRule>
  </conditionalFormatting>
  <conditionalFormatting sqref="N10">
    <cfRule type="expression" dxfId="5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57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6">
    <pageSetUpPr fitToPage="1"/>
  </sheetPr>
  <dimension ref="A1:BA223"/>
  <sheetViews>
    <sheetView view="pageBreakPreview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141" t="s" ph="1">
        <v>121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85" t="s" ph="1">
        <v>54</v>
      </c>
      <c r="D6" s="151">
        <v>0.40129999999999999</v>
      </c>
      <c r="E6" s="151">
        <v>0.998</v>
      </c>
      <c r="F6" s="151">
        <v>0</v>
      </c>
      <c r="G6" s="151">
        <v>0</v>
      </c>
      <c r="H6" s="70">
        <v>4711</v>
      </c>
      <c r="I6" s="70">
        <v>0</v>
      </c>
      <c r="J6" s="70">
        <v>0</v>
      </c>
      <c r="K6" s="70">
        <v>0</v>
      </c>
      <c r="L6" s="70">
        <v>2803</v>
      </c>
      <c r="M6" s="70">
        <v>671</v>
      </c>
      <c r="N6" s="70">
        <v>2719</v>
      </c>
      <c r="O6" s="70">
        <v>4585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8183.7802446400001</v>
      </c>
      <c r="E7" s="72" ph="1">
        <f>((E6*5885)*4.48)*LOOKUP(E8,密度!$A$2:$A$50,密度!$B$2:$B$50)</f>
        <v>20376.06731776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52607.376610939995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57733.480696000006</v>
      </c>
      <c r="M7" s="72" ph="1">
        <f>M6*26.42*1</f>
        <v>17727.82</v>
      </c>
      <c r="N7" s="72" ph="1">
        <f>N6*18.32*LOOKUP(N8,密度!$A$2:$A$50,密度!$B$2:$B$50)</f>
        <v>38748.817032000006</v>
      </c>
      <c r="O7" s="72" ph="1">
        <f>O6*81.71*LOOKUP(O8,密度!$A$2:$A$50,密度!$B$2:$B$50)</f>
        <v>292069.61685999995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32</v>
      </c>
      <c r="E8" s="73">
        <v>31</v>
      </c>
      <c r="F8" s="73">
        <v>26</v>
      </c>
      <c r="G8" s="73">
        <v>28</v>
      </c>
      <c r="H8" s="73">
        <v>30</v>
      </c>
      <c r="I8" s="73">
        <v>27</v>
      </c>
      <c r="J8" s="73">
        <v>26</v>
      </c>
      <c r="K8" s="73">
        <v>26</v>
      </c>
      <c r="L8" s="73">
        <v>25</v>
      </c>
      <c r="M8" s="73">
        <v>25</v>
      </c>
      <c r="N8" s="73">
        <v>27</v>
      </c>
      <c r="O8" s="73">
        <v>25</v>
      </c>
      <c r="P8" s="73">
        <v>25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85" t="s" ph="1">
        <v>57</v>
      </c>
      <c r="D9" s="151">
        <v>0.82199999999999995</v>
      </c>
      <c r="E9" s="151">
        <v>0</v>
      </c>
      <c r="F9" s="151">
        <v>0</v>
      </c>
      <c r="G9" s="151">
        <v>0</v>
      </c>
      <c r="H9" s="70">
        <v>4790</v>
      </c>
      <c r="I9" s="70">
        <v>0</v>
      </c>
      <c r="J9" s="70">
        <v>0</v>
      </c>
      <c r="K9" s="70">
        <v>0</v>
      </c>
      <c r="L9" s="70">
        <v>2820</v>
      </c>
      <c r="M9" s="70">
        <v>718</v>
      </c>
      <c r="N9" s="70">
        <v>2783</v>
      </c>
      <c r="O9" s="70">
        <v>5173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85" t="s" ph="1">
        <v>55</v>
      </c>
      <c r="D10" s="72" ph="1">
        <f>((D9*5885)*4.48)*LOOKUP(D11,密度!$A$2:$A$50,密度!$B$2:$B$50)</f>
        <v>16973.405137919999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53835.619854599987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58083.630240000006</v>
      </c>
      <c r="M10" s="72" ph="1">
        <f>M9*26.42*1</f>
        <v>18969.560000000001</v>
      </c>
      <c r="N10" s="72" ph="1">
        <f>N9*18.32*LOOKUP(N11,密度!$A$2:$A$50,密度!$B$2:$B$50)</f>
        <v>40017.781144</v>
      </c>
      <c r="O10" s="72" ph="1">
        <f>O9*81.71*LOOKUP(O11,密度!$A$2:$A$50,密度!$B$2:$B$50)</f>
        <v>329525.87306799996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85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73" t="s" ph="1">
        <v>28</v>
      </c>
      <c r="C13" s="18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85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76" ph="1"/>
      <c r="C16" s="185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85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85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8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85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85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85" t="s" ph="1">
        <v>1</v>
      </c>
      <c r="F32" s="186" t="s" ph="1">
        <v>31</v>
      </c>
      <c r="G32" s="96" t="s" ph="1">
        <v>0</v>
      </c>
      <c r="H32" s="185" t="s" ph="1">
        <v>1</v>
      </c>
      <c r="I32" s="186" t="s" ph="1">
        <v>31</v>
      </c>
      <c r="J32" s="96" t="s" ph="1">
        <v>0</v>
      </c>
      <c r="K32" s="185" t="s" ph="1">
        <v>1</v>
      </c>
      <c r="L32" s="186" t="s" ph="1">
        <v>31</v>
      </c>
      <c r="M32" s="96" t="s" ph="1">
        <v>0</v>
      </c>
      <c r="N32" s="185" t="s" ph="1">
        <v>1</v>
      </c>
      <c r="O32" s="186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85" t="s" ph="1">
        <v>1</v>
      </c>
      <c r="U32" s="98" t="s" ph="1">
        <v>31</v>
      </c>
      <c r="V32" s="96" t="s" ph="1">
        <v>0</v>
      </c>
      <c r="W32" s="185" t="s" ph="1">
        <v>1</v>
      </c>
      <c r="X32" s="98" t="s" ph="1">
        <v>31</v>
      </c>
      <c r="Y32" s="99" t="s" ph="1">
        <v>0</v>
      </c>
      <c r="Z32" s="185" t="s" ph="1">
        <v>1</v>
      </c>
      <c r="AA32" s="186" t="s" ph="1">
        <v>31</v>
      </c>
      <c r="AB32" s="96" t="s" ph="1">
        <v>41</v>
      </c>
      <c r="AC32" s="185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329525.87306799996</v>
      </c>
      <c r="E33" s="245" ph="1">
        <f>H10+I10+J10+K10</f>
        <v>53835.619854599987</v>
      </c>
      <c r="F33" s="269" ph="1">
        <f>L10+N10</f>
        <v>98101.411384000006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87" t="s" ph="1">
        <v>62</v>
      </c>
      <c r="AA36" s="187" ph="1"/>
      <c r="AB36" s="231" t="s" ph="1">
        <v>67</v>
      </c>
      <c r="AC36" s="231" ph="1"/>
      <c r="AD36" s="231" ph="1"/>
      <c r="AE36" s="231" ph="1"/>
    </row>
    <row r="37" spans="1:31" s="18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2195" priority="152">
      <formula>ABS(D$7-D$10)&gt;=1000</formula>
    </cfRule>
  </conditionalFormatting>
  <conditionalFormatting sqref="E4 E6 E8:E9 E11">
    <cfRule type="expression" dxfId="2194" priority="151">
      <formula>ABS(E$7-E$10)&gt;=1000</formula>
    </cfRule>
  </conditionalFormatting>
  <conditionalFormatting sqref="F4 F6 F8:F9 F11">
    <cfRule type="expression" dxfId="2193" priority="150">
      <formula>ABS(F$7-F$10)&gt;=1000</formula>
    </cfRule>
  </conditionalFormatting>
  <conditionalFormatting sqref="G4 G6 G8:G9 G11">
    <cfRule type="expression" dxfId="2192" priority="149">
      <formula>ABS(G$7-G$10)&gt;=1000</formula>
    </cfRule>
  </conditionalFormatting>
  <conditionalFormatting sqref="H4:K4 H8 H11">
    <cfRule type="expression" dxfId="2191" priority="148">
      <formula>ABS(H$7-H$10)&gt;=1000</formula>
    </cfRule>
  </conditionalFormatting>
  <conditionalFormatting sqref="I8 I11">
    <cfRule type="expression" dxfId="2190" priority="147">
      <formula>ABS(I$7-I$10)&gt;=1000</formula>
    </cfRule>
  </conditionalFormatting>
  <conditionalFormatting sqref="J8 J11">
    <cfRule type="expression" dxfId="2189" priority="146">
      <formula>ABS(J$7-J$10)&gt;=1000</formula>
    </cfRule>
  </conditionalFormatting>
  <conditionalFormatting sqref="K8 K11">
    <cfRule type="expression" dxfId="2188" priority="145">
      <formula>ABS(K$7-K$10)&gt;=1000</formula>
    </cfRule>
  </conditionalFormatting>
  <conditionalFormatting sqref="L4:L5 M4:N4 Q4:S4 L8 L11">
    <cfRule type="expression" dxfId="2187" priority="144">
      <formula>ABS(L$7-L$10)&gt;=1000</formula>
    </cfRule>
  </conditionalFormatting>
  <conditionalFormatting sqref="M8 M11">
    <cfRule type="expression" dxfId="2186" priority="143">
      <formula>ABS(M$7-M$10)&gt;=1000</formula>
    </cfRule>
  </conditionalFormatting>
  <conditionalFormatting sqref="N8 N11">
    <cfRule type="expression" dxfId="2185" priority="142">
      <formula>ABS(N$7-N$10)&gt;=1000</formula>
    </cfRule>
  </conditionalFormatting>
  <conditionalFormatting sqref="Q5:Q11">
    <cfRule type="expression" dxfId="2184" priority="141">
      <formula>ABS(Q$7-Q$10)&gt;=1000</formula>
    </cfRule>
  </conditionalFormatting>
  <conditionalFormatting sqref="R5:R11">
    <cfRule type="expression" dxfId="2183" priority="140">
      <formula>ABS(R$7-R$10)&gt;=1000</formula>
    </cfRule>
  </conditionalFormatting>
  <conditionalFormatting sqref="S5:S11">
    <cfRule type="expression" dxfId="2182" priority="139">
      <formula>ABS(S$7-S$10)&gt;=1000</formula>
    </cfRule>
  </conditionalFormatting>
  <conditionalFormatting sqref="T4:T9 T11">
    <cfRule type="expression" dxfId="2181" priority="138">
      <formula>ABS(T$7-T$10)&gt;=1000</formula>
    </cfRule>
  </conditionalFormatting>
  <conditionalFormatting sqref="U4:U9 U11">
    <cfRule type="expression" dxfId="2180" priority="137">
      <formula>ABS(U$7-U$10)&gt;=1000</formula>
    </cfRule>
  </conditionalFormatting>
  <conditionalFormatting sqref="V4:V9 V11">
    <cfRule type="expression" dxfId="2179" priority="136">
      <formula>ABS(V$7-V$10)&gt;=1000</formula>
    </cfRule>
  </conditionalFormatting>
  <conditionalFormatting sqref="W4:W9 W11">
    <cfRule type="expression" dxfId="2178" priority="135">
      <formula>ABS(W$7-W$10)&gt;=1000</formula>
    </cfRule>
  </conditionalFormatting>
  <conditionalFormatting sqref="X4:X9 X11">
    <cfRule type="expression" dxfId="2177" priority="134">
      <formula>ABS(X$7-X$10)&gt;=1000</formula>
    </cfRule>
  </conditionalFormatting>
  <conditionalFormatting sqref="Y4:Y9 Y11">
    <cfRule type="expression" dxfId="2176" priority="133">
      <formula>ABS(Y$7-Y$10)&gt;=1000</formula>
    </cfRule>
  </conditionalFormatting>
  <conditionalFormatting sqref="Z4:Z11">
    <cfRule type="expression" dxfId="2175" priority="132">
      <formula>ABS(Z$7-Z$10)&gt;=1000</formula>
    </cfRule>
  </conditionalFormatting>
  <conditionalFormatting sqref="AA4:AA11">
    <cfRule type="expression" dxfId="2174" priority="131">
      <formula>ABS(AA$7-AA$10)&gt;=1000</formula>
    </cfRule>
  </conditionalFormatting>
  <conditionalFormatting sqref="AB4:AB11">
    <cfRule type="expression" dxfId="2173" priority="130">
      <formula>ABS(AB$7-AB$10)&gt;=1000</formula>
    </cfRule>
  </conditionalFormatting>
  <conditionalFormatting sqref="AC4 AC6:AC11">
    <cfRule type="expression" dxfId="2172" priority="129">
      <formula>ABS(AC$7-AC$10)&gt;=1000</formula>
    </cfRule>
  </conditionalFormatting>
  <conditionalFormatting sqref="AD4 AD6:AD11">
    <cfRule type="expression" dxfId="2171" priority="128">
      <formula>ABS(AD$7-AD$10)&gt;=1000</formula>
    </cfRule>
  </conditionalFormatting>
  <conditionalFormatting sqref="AE4 AE6:AE11">
    <cfRule type="expression" dxfId="2170" priority="127">
      <formula>ABS(AE$7-AE$10)&gt;=1000</formula>
    </cfRule>
  </conditionalFormatting>
  <conditionalFormatting sqref="D13:D20">
    <cfRule type="expression" dxfId="2169" priority="126">
      <formula>ABS(D$16-D$19)&gt;=1000</formula>
    </cfRule>
  </conditionalFormatting>
  <conditionalFormatting sqref="E13:E20">
    <cfRule type="expression" dxfId="2168" priority="125">
      <formula>ABS(E$16-E$19)&gt;=1000</formula>
    </cfRule>
  </conditionalFormatting>
  <conditionalFormatting sqref="F13 F15:F20">
    <cfRule type="expression" dxfId="2167" priority="124">
      <formula>ABS(F$16-F$19)&gt;=1000</formula>
    </cfRule>
  </conditionalFormatting>
  <conditionalFormatting sqref="G13:G20">
    <cfRule type="expression" dxfId="2166" priority="123">
      <formula>ABS(G$16-G$19)&gt;=1000</formula>
    </cfRule>
  </conditionalFormatting>
  <conditionalFormatting sqref="H13 H15:H20">
    <cfRule type="expression" dxfId="2165" priority="122">
      <formula>ABS(H$16-H$19)&gt;=1000</formula>
    </cfRule>
  </conditionalFormatting>
  <conditionalFormatting sqref="I13:I20">
    <cfRule type="expression" dxfId="2164" priority="121">
      <formula>ABS(I$16-I$19)&gt;=1000</formula>
    </cfRule>
  </conditionalFormatting>
  <conditionalFormatting sqref="J13:J20">
    <cfRule type="expression" dxfId="2163" priority="120">
      <formula>ABS(J$16-J$19)&gt;=1000</formula>
    </cfRule>
  </conditionalFormatting>
  <conditionalFormatting sqref="L13:L20">
    <cfRule type="expression" dxfId="2162" priority="119">
      <formula>ABS(L$16-L$19)&gt;=1000</formula>
    </cfRule>
  </conditionalFormatting>
  <conditionalFormatting sqref="M13 M15 M17:M18 M20">
    <cfRule type="expression" dxfId="2161" priority="118">
      <formula>ABS(M$16-M$19)&gt;=1000</formula>
    </cfRule>
  </conditionalFormatting>
  <conditionalFormatting sqref="N13:N20">
    <cfRule type="expression" dxfId="2160" priority="117">
      <formula>ABS(N$16-N$19)&gt;=1000</formula>
    </cfRule>
  </conditionalFormatting>
  <conditionalFormatting sqref="O13:O20">
    <cfRule type="expression" dxfId="2159" priority="116">
      <formula>ABS(O$16-O$19)&gt;=1000</formula>
    </cfRule>
  </conditionalFormatting>
  <conditionalFormatting sqref="P13:P20">
    <cfRule type="expression" dxfId="2158" priority="115">
      <formula>ABS(P$16-P$19)&gt;=1000</formula>
    </cfRule>
  </conditionalFormatting>
  <conditionalFormatting sqref="Q13 Q15:Q20">
    <cfRule type="expression" dxfId="2157" priority="114">
      <formula>ABS(Q$16-Q$19)&gt;=1000</formula>
    </cfRule>
  </conditionalFormatting>
  <conditionalFormatting sqref="R13:R20">
    <cfRule type="expression" dxfId="2156" priority="113">
      <formula>ABS(R$16-R$19)&gt;=1000</formula>
    </cfRule>
  </conditionalFormatting>
  <conditionalFormatting sqref="S13:S20">
    <cfRule type="expression" dxfId="2155" priority="112">
      <formula>ABS(S$16-S$19)&gt;=1000</formula>
    </cfRule>
  </conditionalFormatting>
  <conditionalFormatting sqref="T13:T20">
    <cfRule type="expression" dxfId="2154" priority="111">
      <formula>ABS(T$16-T$19)&gt;=1000</formula>
    </cfRule>
  </conditionalFormatting>
  <conditionalFormatting sqref="U13:U20">
    <cfRule type="expression" dxfId="2153" priority="110">
      <formula>ABS(U$16-U$19)&gt;=1000</formula>
    </cfRule>
  </conditionalFormatting>
  <conditionalFormatting sqref="V13:V20">
    <cfRule type="expression" dxfId="2152" priority="109">
      <formula>ABS(V$16-V$19)&gt;=1000</formula>
    </cfRule>
  </conditionalFormatting>
  <conditionalFormatting sqref="W13 W20 W15:W18">
    <cfRule type="expression" dxfId="2151" priority="108">
      <formula>ABS(W$16-W$19)&gt;=1000</formula>
    </cfRule>
  </conditionalFormatting>
  <conditionalFormatting sqref="X13 X15:X20 Y19">
    <cfRule type="expression" dxfId="2150" priority="107">
      <formula>ABS(X$16-X$19)&gt;=1000</formula>
    </cfRule>
  </conditionalFormatting>
  <conditionalFormatting sqref="Y13 Y15:Y18 Y20">
    <cfRule type="expression" dxfId="2149" priority="106">
      <formula>ABS(Y$16-Y$19)&gt;=1000</formula>
    </cfRule>
  </conditionalFormatting>
  <conditionalFormatting sqref="Z13:Z20">
    <cfRule type="expression" dxfId="2148" priority="105">
      <formula>ABS(Z$16-Z$19)&gt;=1000</formula>
    </cfRule>
  </conditionalFormatting>
  <conditionalFormatting sqref="AA13:AA20">
    <cfRule type="expression" dxfId="2147" priority="104">
      <formula>ABS(AA$16-AA$19)&gt;=1000</formula>
    </cfRule>
  </conditionalFormatting>
  <conditionalFormatting sqref="AB13 AB15:AB20">
    <cfRule type="expression" dxfId="2146" priority="103">
      <formula>ABS(AB$16-AB$19)&gt;=1000</formula>
    </cfRule>
  </conditionalFormatting>
  <conditionalFormatting sqref="AC13 AC15:AC20">
    <cfRule type="expression" dxfId="2145" priority="102">
      <formula>ABS(AC$16-AC$19)&gt;=1000</formula>
    </cfRule>
  </conditionalFormatting>
  <conditionalFormatting sqref="AD13:AD20">
    <cfRule type="expression" dxfId="2144" priority="101">
      <formula>ABS(AD$16-AD$19)&gt;=1000</formula>
    </cfRule>
  </conditionalFormatting>
  <conditionalFormatting sqref="AE13:AE20">
    <cfRule type="expression" dxfId="2143" priority="100">
      <formula>ABS(AE$16-AE$19)&gt;=1000</formula>
    </cfRule>
  </conditionalFormatting>
  <conditionalFormatting sqref="D22:D29">
    <cfRule type="expression" dxfId="2142" priority="99">
      <formula>ABS(D$25-D$28)&gt;=1000</formula>
    </cfRule>
  </conditionalFormatting>
  <conditionalFormatting sqref="E22:E29">
    <cfRule type="expression" dxfId="2141" priority="98">
      <formula>ABS(E$25-E$28)&gt;=1000</formula>
    </cfRule>
  </conditionalFormatting>
  <conditionalFormatting sqref="F22:F29">
    <cfRule type="expression" dxfId="2140" priority="97">
      <formula>ABS(F$25-F$28)&gt;=1000</formula>
    </cfRule>
  </conditionalFormatting>
  <conditionalFormatting sqref="G22:G29">
    <cfRule type="expression" dxfId="2139" priority="96">
      <formula>ABS(G$25-G$28)&gt;=1000</formula>
    </cfRule>
  </conditionalFormatting>
  <conditionalFormatting sqref="H22:H29">
    <cfRule type="expression" dxfId="2138" priority="95">
      <formula>ABS(H$25-H$28)&gt;=1000</formula>
    </cfRule>
  </conditionalFormatting>
  <conditionalFormatting sqref="I22 I24:I29">
    <cfRule type="expression" dxfId="2137" priority="94">
      <formula>ABS(I$25-I$28)&gt;=1000</formula>
    </cfRule>
  </conditionalFormatting>
  <conditionalFormatting sqref="J22:J29 K22">
    <cfRule type="expression" dxfId="2136" priority="93">
      <formula>ABS(J$25-J$28)&gt;=1000</formula>
    </cfRule>
  </conditionalFormatting>
  <conditionalFormatting sqref="K23:K29 L25 L28">
    <cfRule type="expression" dxfId="2135" priority="92">
      <formula>ABS(K$25-K$28)&gt;=1000</formula>
    </cfRule>
  </conditionalFormatting>
  <conditionalFormatting sqref="L22 L26:L27 L29 L24">
    <cfRule type="expression" dxfId="2134" priority="91">
      <formula>ABS(L$25-L$28)&gt;=1000</formula>
    </cfRule>
  </conditionalFormatting>
  <conditionalFormatting sqref="M22:M29">
    <cfRule type="expression" dxfId="2133" priority="90">
      <formula>ABS(M$25-M$28)&gt;=1000</formula>
    </cfRule>
  </conditionalFormatting>
  <conditionalFormatting sqref="N22:N29">
    <cfRule type="expression" dxfId="2132" priority="89">
      <formula>ABS(N$25-N$28)&gt;=1000</formula>
    </cfRule>
  </conditionalFormatting>
  <conditionalFormatting sqref="O22:O29">
    <cfRule type="expression" dxfId="2131" priority="88">
      <formula>ABS(O$25-O$28)&gt;=1000</formula>
    </cfRule>
  </conditionalFormatting>
  <conditionalFormatting sqref="P22:P29">
    <cfRule type="expression" dxfId="2130" priority="87">
      <formula>ABS(P$25-P$28)&gt;=1000</formula>
    </cfRule>
  </conditionalFormatting>
  <conditionalFormatting sqref="Q22:Q29">
    <cfRule type="expression" dxfId="2129" priority="86">
      <formula>ABS(Q$25-Q$28)&gt;=1000</formula>
    </cfRule>
  </conditionalFormatting>
  <conditionalFormatting sqref="R22:R29">
    <cfRule type="expression" dxfId="2128" priority="85">
      <formula>ABS(R$25-R$28)&gt;=1000</formula>
    </cfRule>
  </conditionalFormatting>
  <conditionalFormatting sqref="S22:S29">
    <cfRule type="expression" dxfId="2127" priority="84">
      <formula>ABS(S$25-S$28)&gt;=1000</formula>
    </cfRule>
  </conditionalFormatting>
  <conditionalFormatting sqref="T22:T29">
    <cfRule type="expression" dxfId="2126" priority="83">
      <formula>ABS(T$25-T$28)&gt;=1000</formula>
    </cfRule>
  </conditionalFormatting>
  <conditionalFormatting sqref="U22:U29">
    <cfRule type="expression" dxfId="2125" priority="82">
      <formula>ABS(U$25-U$28)&gt;=1000</formula>
    </cfRule>
  </conditionalFormatting>
  <conditionalFormatting sqref="V22:V29">
    <cfRule type="expression" dxfId="2124" priority="81">
      <formula>ABS(V$25-V$28)&gt;=1000</formula>
    </cfRule>
  </conditionalFormatting>
  <conditionalFormatting sqref="W22:W29">
    <cfRule type="expression" dxfId="2123" priority="80">
      <formula>ABS(W$25-W$28)&gt;=1000</formula>
    </cfRule>
  </conditionalFormatting>
  <conditionalFormatting sqref="X22:X29">
    <cfRule type="expression" dxfId="2122" priority="79">
      <formula>ABS(X$25-X$28)&gt;=1000</formula>
    </cfRule>
  </conditionalFormatting>
  <conditionalFormatting sqref="Y22:Y29">
    <cfRule type="expression" dxfId="2121" priority="78">
      <formula>ABS(Y$25-Y$28)&gt;=1000</formula>
    </cfRule>
  </conditionalFormatting>
  <conditionalFormatting sqref="I23">
    <cfRule type="expression" dxfId="2120" priority="77">
      <formula>ABS(I$25-I$28)&gt;=1000</formula>
    </cfRule>
  </conditionalFormatting>
  <conditionalFormatting sqref="Q14">
    <cfRule type="expression" dxfId="2119" priority="76">
      <formula>ABS(Q$16-Q$19)&gt;=1000</formula>
    </cfRule>
  </conditionalFormatting>
  <conditionalFormatting sqref="W14">
    <cfRule type="expression" dxfId="2118" priority="75">
      <formula>ABS(W$16-W$19)&gt;=1000</formula>
    </cfRule>
  </conditionalFormatting>
  <conditionalFormatting sqref="X14">
    <cfRule type="expression" dxfId="2117" priority="74">
      <formula>ABS(X$16-X$19)&gt;=1000</formula>
    </cfRule>
  </conditionalFormatting>
  <conditionalFormatting sqref="T10:Y10">
    <cfRule type="expression" dxfId="2116" priority="73">
      <formula>ABS(T$7-T$10)&gt;=1000</formula>
    </cfRule>
  </conditionalFormatting>
  <conditionalFormatting sqref="W19">
    <cfRule type="expression" dxfId="2115" priority="72">
      <formula>ABS(W$16-W$19)&gt;=1000</formula>
    </cfRule>
  </conditionalFormatting>
  <conditionalFormatting sqref="AC5">
    <cfRule type="expression" dxfId="2114" priority="71">
      <formula>ABS(AC$7-AC$10)&gt;=1000</formula>
    </cfRule>
  </conditionalFormatting>
  <conditionalFormatting sqref="M14">
    <cfRule type="expression" dxfId="2113" priority="70">
      <formula>ABS(M$16-M$19)&gt;=1000</formula>
    </cfRule>
  </conditionalFormatting>
  <conditionalFormatting sqref="M16">
    <cfRule type="expression" dxfId="2112" priority="69">
      <formula>ABS(M$16-M$19)&gt;=1000</formula>
    </cfRule>
  </conditionalFormatting>
  <conditionalFormatting sqref="M19">
    <cfRule type="expression" dxfId="2111" priority="68">
      <formula>ABS(M$16-M$19)&gt;=1000</formula>
    </cfRule>
  </conditionalFormatting>
  <conditionalFormatting sqref="K13:K20">
    <cfRule type="expression" dxfId="2110" priority="67">
      <formula>ABS(K$16-K$19)&gt;=1000</formula>
    </cfRule>
  </conditionalFormatting>
  <conditionalFormatting sqref="AB14:AC14">
    <cfRule type="expression" dxfId="2109" priority="66">
      <formula>ABS(AB$16-AB$19)&gt;=1000</formula>
    </cfRule>
  </conditionalFormatting>
  <conditionalFormatting sqref="M5">
    <cfRule type="expression" dxfId="2108" priority="65">
      <formula>ABS(M$7-M$10)&gt;=1000</formula>
    </cfRule>
  </conditionalFormatting>
  <conditionalFormatting sqref="N5">
    <cfRule type="expression" dxfId="2107" priority="64">
      <formula>ABS(N$7-N$10)&gt;=1000</formula>
    </cfRule>
  </conditionalFormatting>
  <conditionalFormatting sqref="L23">
    <cfRule type="expression" dxfId="2106" priority="63">
      <formula>ABS(L$25-L$28)&gt;=1000</formula>
    </cfRule>
  </conditionalFormatting>
  <conditionalFormatting sqref="Y14">
    <cfRule type="expression" dxfId="2105" priority="62">
      <formula>ABS(Y$16-Y$19)&gt;=1000</formula>
    </cfRule>
  </conditionalFormatting>
  <conditionalFormatting sqref="F14">
    <cfRule type="expression" dxfId="2104" priority="61">
      <formula>ABS(F$16-F$19)&gt;=1000</formula>
    </cfRule>
  </conditionalFormatting>
  <conditionalFormatting sqref="H14">
    <cfRule type="expression" dxfId="2103" priority="60">
      <formula>ABS(H$16-H$19)&gt;=1000</formula>
    </cfRule>
  </conditionalFormatting>
  <conditionalFormatting sqref="AD5">
    <cfRule type="expression" dxfId="2102" priority="59">
      <formula>ABS(AD$7-AD$10)&gt;=1000</formula>
    </cfRule>
  </conditionalFormatting>
  <conditionalFormatting sqref="AE5">
    <cfRule type="expression" dxfId="2101" priority="58">
      <formula>ABS(AE$7-AE$10)&gt;=1000</formula>
    </cfRule>
  </conditionalFormatting>
  <conditionalFormatting sqref="D5">
    <cfRule type="expression" dxfId="2100" priority="57">
      <formula>ABS(D$7-D$10)&gt;=1000</formula>
    </cfRule>
  </conditionalFormatting>
  <conditionalFormatting sqref="E5:G5">
    <cfRule type="expression" dxfId="2099" priority="56">
      <formula>ABS(E$7-E$10)&gt;=1000</formula>
    </cfRule>
  </conditionalFormatting>
  <conditionalFormatting sqref="H5">
    <cfRule type="expression" dxfId="2098" priority="55">
      <formula>ABS(H$7-H$10)&gt;=1000</formula>
    </cfRule>
  </conditionalFormatting>
  <conditionalFormatting sqref="O4:P4">
    <cfRule type="expression" dxfId="2097" priority="54">
      <formula>ABS(O$7-O$10)&gt;=1000</formula>
    </cfRule>
  </conditionalFormatting>
  <conditionalFormatting sqref="O5 O8 O11">
    <cfRule type="expression" dxfId="2096" priority="53">
      <formula>ABS(O$7-O$10)&gt;=1000</formula>
    </cfRule>
  </conditionalFormatting>
  <conditionalFormatting sqref="P8 P11">
    <cfRule type="expression" dxfId="2095" priority="52">
      <formula>ABS(P$7-P$10)&gt;=1000</formula>
    </cfRule>
  </conditionalFormatting>
  <conditionalFormatting sqref="I5">
    <cfRule type="expression" dxfId="2094" priority="51">
      <formula>ABS(I$7-I$10)&gt;=1000</formula>
    </cfRule>
  </conditionalFormatting>
  <conditionalFormatting sqref="J5">
    <cfRule type="expression" dxfId="2093" priority="50">
      <formula>ABS(J$7-J$10)&gt;=1000</formula>
    </cfRule>
  </conditionalFormatting>
  <conditionalFormatting sqref="K5">
    <cfRule type="expression" dxfId="2092" priority="49">
      <formula>ABS(K$7-K$10)&gt;=1000</formula>
    </cfRule>
  </conditionalFormatting>
  <conditionalFormatting sqref="P5">
    <cfRule type="expression" dxfId="2091" priority="48">
      <formula>ABS(P$7-P$10)&gt;=1000</formula>
    </cfRule>
  </conditionalFormatting>
  <conditionalFormatting sqref="H6">
    <cfRule type="expression" dxfId="2073" priority="30">
      <formula>ABS(H$7-H$10)&gt;=1000</formula>
    </cfRule>
  </conditionalFormatting>
  <conditionalFormatting sqref="J6">
    <cfRule type="expression" dxfId="2072" priority="29">
      <formula>ABS(J$7-J$10)&gt;=1000</formula>
    </cfRule>
  </conditionalFormatting>
  <conditionalFormatting sqref="K6">
    <cfRule type="expression" dxfId="2071" priority="28">
      <formula>ABS(K$7-K$10)&gt;=1000</formula>
    </cfRule>
  </conditionalFormatting>
  <conditionalFormatting sqref="L6">
    <cfRule type="expression" dxfId="2070" priority="27">
      <formula>ABS(L$7-L$10)&gt;=1000</formula>
    </cfRule>
  </conditionalFormatting>
  <conditionalFormatting sqref="M6">
    <cfRule type="expression" dxfId="2069" priority="26">
      <formula>ABS(M$7-M$10)&gt;=1000</formula>
    </cfRule>
  </conditionalFormatting>
  <conditionalFormatting sqref="N6">
    <cfRule type="expression" dxfId="2068" priority="25">
      <formula>ABS(N$7-N$10)&gt;=1000</formula>
    </cfRule>
  </conditionalFormatting>
  <conditionalFormatting sqref="O6">
    <cfRule type="expression" dxfId="2067" priority="24">
      <formula>ABS(O$7-O$10)&gt;=1000</formula>
    </cfRule>
  </conditionalFormatting>
  <conditionalFormatting sqref="P6">
    <cfRule type="expression" dxfId="2066" priority="23">
      <formula>ABS(P$7-P$10)&gt;=1000</formula>
    </cfRule>
  </conditionalFormatting>
  <conditionalFormatting sqref="I6">
    <cfRule type="expression" dxfId="2065" priority="22">
      <formula>ABS(I$7-I$10)&gt;=1000</formula>
    </cfRule>
  </conditionalFormatting>
  <conditionalFormatting sqref="H9">
    <cfRule type="expression" dxfId="2064" priority="21">
      <formula>ABS(H$7-H$10)&gt;=1000</formula>
    </cfRule>
  </conditionalFormatting>
  <conditionalFormatting sqref="J9">
    <cfRule type="expression" dxfId="2063" priority="20">
      <formula>ABS(J$7-J$10)&gt;=1000</formula>
    </cfRule>
  </conditionalFormatting>
  <conditionalFormatting sqref="K9">
    <cfRule type="expression" dxfId="2062" priority="19">
      <formula>ABS(K$7-K$10)&gt;=1000</formula>
    </cfRule>
  </conditionalFormatting>
  <conditionalFormatting sqref="L9">
    <cfRule type="expression" dxfId="2061" priority="18">
      <formula>ABS(L$7-L$10)&gt;=1000</formula>
    </cfRule>
  </conditionalFormatting>
  <conditionalFormatting sqref="M9">
    <cfRule type="expression" dxfId="2060" priority="17">
      <formula>ABS(M$7-M$10)&gt;=1000</formula>
    </cfRule>
  </conditionalFormatting>
  <conditionalFormatting sqref="N9">
    <cfRule type="expression" dxfId="2059" priority="16">
      <formula>ABS(N$7-N$10)&gt;=1000</formula>
    </cfRule>
  </conditionalFormatting>
  <conditionalFormatting sqref="O9">
    <cfRule type="expression" dxfId="2058" priority="15">
      <formula>ABS(O$7-O$10)&gt;=1000</formula>
    </cfRule>
  </conditionalFormatting>
  <conditionalFormatting sqref="P9">
    <cfRule type="expression" dxfId="2057" priority="14">
      <formula>ABS(P$7-P$10)&gt;=1000</formula>
    </cfRule>
  </conditionalFormatting>
  <conditionalFormatting sqref="I9">
    <cfRule type="expression" dxfId="2056" priority="13">
      <formula>ABS(I$7-I$10)&gt;=1000</formula>
    </cfRule>
  </conditionalFormatting>
  <conditionalFormatting sqref="D7:G7">
    <cfRule type="expression" dxfId="54" priority="10">
      <formula>ABS(D$7-D$10)&gt;=1000</formula>
    </cfRule>
  </conditionalFormatting>
  <conditionalFormatting sqref="H7:L7">
    <cfRule type="expression" dxfId="53" priority="9">
      <formula>ABS(H$7-H$10)&gt;=1000</formula>
    </cfRule>
  </conditionalFormatting>
  <conditionalFormatting sqref="M7">
    <cfRule type="expression" dxfId="52" priority="8">
      <formula>ABS(M$7-M$10)&gt;=1000</formula>
    </cfRule>
  </conditionalFormatting>
  <conditionalFormatting sqref="O7:P7">
    <cfRule type="expression" dxfId="51" priority="7">
      <formula>ABS(O$7-O$10)&gt;=1000</formula>
    </cfRule>
  </conditionalFormatting>
  <conditionalFormatting sqref="N7">
    <cfRule type="expression" dxfId="50" priority="6">
      <formula>ABS(N$7-N$10)&gt;=1000</formula>
    </cfRule>
  </conditionalFormatting>
  <conditionalFormatting sqref="D10:G10">
    <cfRule type="expression" dxfId="49" priority="5">
      <formula>ABS(D$7-D$10)&gt;=1000</formula>
    </cfRule>
  </conditionalFormatting>
  <conditionalFormatting sqref="H10:L10">
    <cfRule type="expression" dxfId="48" priority="4">
      <formula>ABS(H$7-H$10)&gt;=1000</formula>
    </cfRule>
  </conditionalFormatting>
  <conditionalFormatting sqref="M10">
    <cfRule type="expression" dxfId="47" priority="3">
      <formula>ABS(M$7-M$10)&gt;=1000</formula>
    </cfRule>
  </conditionalFormatting>
  <conditionalFormatting sqref="O10:P10">
    <cfRule type="expression" dxfId="46" priority="2">
      <formula>ABS(O$7-O$10)&gt;=1000</formula>
    </cfRule>
  </conditionalFormatting>
  <conditionalFormatting sqref="N10">
    <cfRule type="expression" dxfId="4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7">
    <pageSetUpPr fitToPage="1"/>
  </sheetPr>
  <dimension ref="A1:BA223"/>
  <sheetViews>
    <sheetView view="pageBreakPreview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90" t="s" ph="1">
        <v>54</v>
      </c>
      <c r="D6" s="151">
        <v>0</v>
      </c>
      <c r="E6" s="151">
        <v>0.94059999999999999</v>
      </c>
      <c r="F6" s="151">
        <v>0</v>
      </c>
      <c r="G6" s="151">
        <v>0</v>
      </c>
      <c r="H6" s="70">
        <v>5026</v>
      </c>
      <c r="I6" s="70">
        <v>0</v>
      </c>
      <c r="J6" s="70">
        <v>0</v>
      </c>
      <c r="K6" s="70">
        <v>0</v>
      </c>
      <c r="L6" s="70">
        <v>2821</v>
      </c>
      <c r="M6" s="70">
        <v>930</v>
      </c>
      <c r="N6" s="70">
        <v>2573</v>
      </c>
      <c r="O6" s="70">
        <v>4768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0</v>
      </c>
      <c r="E7" s="72" ph="1">
        <f>((E6*5885)*4.48)*LOOKUP(E8,密度!$A$2:$A$50,密度!$B$2:$B$50)</f>
        <v>19161.979350976002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56320.807374289987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58104.227272000004</v>
      </c>
      <c r="M7" s="72" ph="1">
        <f>M6*26.42*1</f>
        <v>24570.600000000002</v>
      </c>
      <c r="N7" s="72" ph="1">
        <f>N6*18.32*LOOKUP(N8,密度!$A$2:$A$50,密度!$B$2:$B$50)</f>
        <v>36705.862231999999</v>
      </c>
      <c r="O7" s="72" ph="1">
        <f>O6*81.71*LOOKUP(O8,密度!$A$2:$A$50,密度!$B$2:$B$50)</f>
        <v>303726.92108799994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25</v>
      </c>
      <c r="E8" s="73">
        <v>33</v>
      </c>
      <c r="F8" s="73">
        <v>28</v>
      </c>
      <c r="G8" s="73">
        <v>28</v>
      </c>
      <c r="H8" s="73">
        <v>30</v>
      </c>
      <c r="I8" s="73">
        <v>26</v>
      </c>
      <c r="J8" s="73">
        <v>25</v>
      </c>
      <c r="K8" s="73">
        <v>26</v>
      </c>
      <c r="L8" s="73">
        <v>25</v>
      </c>
      <c r="M8" s="73">
        <v>25</v>
      </c>
      <c r="N8" s="73">
        <v>26</v>
      </c>
      <c r="O8" s="73">
        <v>25</v>
      </c>
      <c r="P8" s="73">
        <v>25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90" t="s" ph="1">
        <v>57</v>
      </c>
      <c r="D9" s="151">
        <v>0.54410000000000003</v>
      </c>
      <c r="E9" s="151">
        <v>0.99770000000000003</v>
      </c>
      <c r="F9" s="151">
        <v>0</v>
      </c>
      <c r="G9" s="151">
        <v>0</v>
      </c>
      <c r="H9" s="70">
        <v>3374</v>
      </c>
      <c r="I9" s="70">
        <v>0</v>
      </c>
      <c r="J9" s="70">
        <v>0</v>
      </c>
      <c r="K9" s="70">
        <v>0</v>
      </c>
      <c r="L9" s="70">
        <v>2833</v>
      </c>
      <c r="M9" s="70">
        <v>931</v>
      </c>
      <c r="N9" s="70">
        <v>2672</v>
      </c>
      <c r="O9" s="70">
        <v>5117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90" t="s" ph="1">
        <v>55</v>
      </c>
      <c r="D10" s="72" ph="1">
        <f>((D9*5885)*4.48)*LOOKUP(D11,密度!$A$2:$A$50,密度!$B$2:$B$50)</f>
        <v>11108.835899392001</v>
      </c>
      <c r="E10" s="72" ph="1">
        <f>((E9*5885)*4.48)*LOOKUP(E11,密度!$A$2:$A$50,密度!$B$2:$B$50)</f>
        <v>20393.615992288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36888.698297939998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58351.391656</v>
      </c>
      <c r="M10" s="72" ph="1">
        <f>M9*26.42*1</f>
        <v>24597.02</v>
      </c>
      <c r="N10" s="72" ph="1">
        <f>N9*18.32*LOOKUP(N11,密度!$A$2:$A$50,密度!$B$2:$B$50)</f>
        <v>38118.174847999995</v>
      </c>
      <c r="O10" s="72" ph="1">
        <f>O9*81.71*LOOKUP(O11,密度!$A$2:$A$50,密度!$B$2:$B$50)</f>
        <v>325958.61057199992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90" t="s" ph="1">
        <v>56</v>
      </c>
      <c r="D11" s="73">
        <v>31</v>
      </c>
      <c r="E11" s="73">
        <v>30</v>
      </c>
      <c r="F11" s="73">
        <v>29</v>
      </c>
      <c r="G11" s="73">
        <v>23</v>
      </c>
      <c r="H11" s="73">
        <v>29</v>
      </c>
      <c r="I11" s="73">
        <v>24</v>
      </c>
      <c r="J11" s="73">
        <v>23</v>
      </c>
      <c r="K11" s="73">
        <v>26</v>
      </c>
      <c r="L11" s="73">
        <v>25</v>
      </c>
      <c r="M11" s="73">
        <v>25</v>
      </c>
      <c r="N11" s="73">
        <v>26</v>
      </c>
      <c r="O11" s="73">
        <v>25</v>
      </c>
      <c r="P11" s="73">
        <v>25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190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90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190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90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90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90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90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90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90" t="s" ph="1">
        <v>1</v>
      </c>
      <c r="F32" s="189" t="s" ph="1">
        <v>31</v>
      </c>
      <c r="G32" s="96" t="s" ph="1">
        <v>0</v>
      </c>
      <c r="H32" s="190" t="s" ph="1">
        <v>1</v>
      </c>
      <c r="I32" s="189" t="s" ph="1">
        <v>31</v>
      </c>
      <c r="J32" s="96" t="s" ph="1">
        <v>0</v>
      </c>
      <c r="K32" s="190" t="s" ph="1">
        <v>1</v>
      </c>
      <c r="L32" s="189" t="s" ph="1">
        <v>31</v>
      </c>
      <c r="M32" s="96" t="s" ph="1">
        <v>0</v>
      </c>
      <c r="N32" s="190" t="s" ph="1">
        <v>1</v>
      </c>
      <c r="O32" s="189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90" t="s" ph="1">
        <v>1</v>
      </c>
      <c r="U32" s="98" t="s" ph="1">
        <v>31</v>
      </c>
      <c r="V32" s="96" t="s" ph="1">
        <v>0</v>
      </c>
      <c r="W32" s="190" t="s" ph="1">
        <v>1</v>
      </c>
      <c r="X32" s="98" t="s" ph="1">
        <v>31</v>
      </c>
      <c r="Y32" s="99" t="s" ph="1">
        <v>0</v>
      </c>
      <c r="Z32" s="190" t="s" ph="1">
        <v>1</v>
      </c>
      <c r="AA32" s="189" t="s" ph="1">
        <v>31</v>
      </c>
      <c r="AB32" s="96" t="s" ph="1">
        <v>41</v>
      </c>
      <c r="AC32" s="190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325958.61057199992</v>
      </c>
      <c r="E33" s="245" ph="1">
        <f>H10+I10+J10+K10</f>
        <v>36888.698297939998</v>
      </c>
      <c r="F33" s="269" ph="1">
        <f>L10+N10</f>
        <v>96469.566503999988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88" t="s" ph="1">
        <v>62</v>
      </c>
      <c r="AA36" s="188" ph="1"/>
      <c r="AB36" s="231" t="s" ph="1">
        <v>67</v>
      </c>
      <c r="AC36" s="231" ph="1"/>
      <c r="AD36" s="231" ph="1"/>
      <c r="AE36" s="231" ph="1"/>
    </row>
    <row r="37" spans="1:31" s="188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2053" priority="153">
      <formula>ABS(D$7-D$10)&gt;=1000</formula>
    </cfRule>
  </conditionalFormatting>
  <conditionalFormatting sqref="E4 E6 E8:E9 E11">
    <cfRule type="expression" dxfId="2052" priority="152">
      <formula>ABS(E$7-E$10)&gt;=1000</formula>
    </cfRule>
  </conditionalFormatting>
  <conditionalFormatting sqref="F4 F6 F8:F9 F11">
    <cfRule type="expression" dxfId="2051" priority="151">
      <formula>ABS(F$7-F$10)&gt;=1000</formula>
    </cfRule>
  </conditionalFormatting>
  <conditionalFormatting sqref="G4 G6 G8:G9 G11">
    <cfRule type="expression" dxfId="2050" priority="150">
      <formula>ABS(G$7-G$10)&gt;=1000</formula>
    </cfRule>
  </conditionalFormatting>
  <conditionalFormatting sqref="H4:K4 H8 H11">
    <cfRule type="expression" dxfId="2049" priority="149">
      <formula>ABS(H$7-H$10)&gt;=1000</formula>
    </cfRule>
  </conditionalFormatting>
  <conditionalFormatting sqref="I8 I11">
    <cfRule type="expression" dxfId="2048" priority="148">
      <formula>ABS(I$7-I$10)&gt;=1000</formula>
    </cfRule>
  </conditionalFormatting>
  <conditionalFormatting sqref="J8 J11">
    <cfRule type="expression" dxfId="2047" priority="147">
      <formula>ABS(J$7-J$10)&gt;=1000</formula>
    </cfRule>
  </conditionalFormatting>
  <conditionalFormatting sqref="K8 K11">
    <cfRule type="expression" dxfId="2046" priority="146">
      <formula>ABS(K$7-K$10)&gt;=1000</formula>
    </cfRule>
  </conditionalFormatting>
  <conditionalFormatting sqref="L4:L5 M4:N4 Q4:S4 L8 L11">
    <cfRule type="expression" dxfId="2045" priority="145">
      <formula>ABS(L$7-L$10)&gt;=1000</formula>
    </cfRule>
  </conditionalFormatting>
  <conditionalFormatting sqref="M8 M11">
    <cfRule type="expression" dxfId="2044" priority="144">
      <formula>ABS(M$7-M$10)&gt;=1000</formula>
    </cfRule>
  </conditionalFormatting>
  <conditionalFormatting sqref="N8 N11">
    <cfRule type="expression" dxfId="2043" priority="143">
      <formula>ABS(N$7-N$10)&gt;=1000</formula>
    </cfRule>
  </conditionalFormatting>
  <conditionalFormatting sqref="Q5:Q11">
    <cfRule type="expression" dxfId="2042" priority="142">
      <formula>ABS(Q$7-Q$10)&gt;=1000</formula>
    </cfRule>
  </conditionalFormatting>
  <conditionalFormatting sqref="R5:R11">
    <cfRule type="expression" dxfId="2041" priority="141">
      <formula>ABS(R$7-R$10)&gt;=1000</formula>
    </cfRule>
  </conditionalFormatting>
  <conditionalFormatting sqref="S5:S11">
    <cfRule type="expression" dxfId="2040" priority="140">
      <formula>ABS(S$7-S$10)&gt;=1000</formula>
    </cfRule>
  </conditionalFormatting>
  <conditionalFormatting sqref="T4:T9 T11">
    <cfRule type="expression" dxfId="2039" priority="139">
      <formula>ABS(T$7-T$10)&gt;=1000</formula>
    </cfRule>
  </conditionalFormatting>
  <conditionalFormatting sqref="U4:U9 U11">
    <cfRule type="expression" dxfId="2038" priority="138">
      <formula>ABS(U$7-U$10)&gt;=1000</formula>
    </cfRule>
  </conditionalFormatting>
  <conditionalFormatting sqref="V4:V9 V11">
    <cfRule type="expression" dxfId="2037" priority="137">
      <formula>ABS(V$7-V$10)&gt;=1000</formula>
    </cfRule>
  </conditionalFormatting>
  <conditionalFormatting sqref="W4:W9 W11">
    <cfRule type="expression" dxfId="2036" priority="136">
      <formula>ABS(W$7-W$10)&gt;=1000</formula>
    </cfRule>
  </conditionalFormatting>
  <conditionalFormatting sqref="X4:X9 X11">
    <cfRule type="expression" dxfId="2035" priority="135">
      <formula>ABS(X$7-X$10)&gt;=1000</formula>
    </cfRule>
  </conditionalFormatting>
  <conditionalFormatting sqref="Y4:Y9 Y11">
    <cfRule type="expression" dxfId="2034" priority="134">
      <formula>ABS(Y$7-Y$10)&gt;=1000</formula>
    </cfRule>
  </conditionalFormatting>
  <conditionalFormatting sqref="Z4:Z11">
    <cfRule type="expression" dxfId="2033" priority="133">
      <formula>ABS(Z$7-Z$10)&gt;=1000</formula>
    </cfRule>
  </conditionalFormatting>
  <conditionalFormatting sqref="AA4:AA11">
    <cfRule type="expression" dxfId="2032" priority="132">
      <formula>ABS(AA$7-AA$10)&gt;=1000</formula>
    </cfRule>
  </conditionalFormatting>
  <conditionalFormatting sqref="AB4:AB11">
    <cfRule type="expression" dxfId="2031" priority="131">
      <formula>ABS(AB$7-AB$10)&gt;=1000</formula>
    </cfRule>
  </conditionalFormatting>
  <conditionalFormatting sqref="AC4 AC6:AC11">
    <cfRule type="expression" dxfId="2030" priority="130">
      <formula>ABS(AC$7-AC$10)&gt;=1000</formula>
    </cfRule>
  </conditionalFormatting>
  <conditionalFormatting sqref="AD4 AD6:AD11">
    <cfRule type="expression" dxfId="2029" priority="129">
      <formula>ABS(AD$7-AD$10)&gt;=1000</formula>
    </cfRule>
  </conditionalFormatting>
  <conditionalFormatting sqref="AE4 AE6:AE11">
    <cfRule type="expression" dxfId="2028" priority="128">
      <formula>ABS(AE$7-AE$10)&gt;=1000</formula>
    </cfRule>
  </conditionalFormatting>
  <conditionalFormatting sqref="D13:D20">
    <cfRule type="expression" dxfId="2027" priority="127">
      <formula>ABS(D$16-D$19)&gt;=1000</formula>
    </cfRule>
  </conditionalFormatting>
  <conditionalFormatting sqref="E13:E20">
    <cfRule type="expression" dxfId="2026" priority="126">
      <formula>ABS(E$16-E$19)&gt;=1000</formula>
    </cfRule>
  </conditionalFormatting>
  <conditionalFormatting sqref="F13 F15:F20">
    <cfRule type="expression" dxfId="2025" priority="125">
      <formula>ABS(F$16-F$19)&gt;=1000</formula>
    </cfRule>
  </conditionalFormatting>
  <conditionalFormatting sqref="G13:G20">
    <cfRule type="expression" dxfId="2024" priority="124">
      <formula>ABS(G$16-G$19)&gt;=1000</formula>
    </cfRule>
  </conditionalFormatting>
  <conditionalFormatting sqref="H13 H15:H20">
    <cfRule type="expression" dxfId="2023" priority="123">
      <formula>ABS(H$16-H$19)&gt;=1000</formula>
    </cfRule>
  </conditionalFormatting>
  <conditionalFormatting sqref="I13:I20">
    <cfRule type="expression" dxfId="2022" priority="122">
      <formula>ABS(I$16-I$19)&gt;=1000</formula>
    </cfRule>
  </conditionalFormatting>
  <conditionalFormatting sqref="J13:J20">
    <cfRule type="expression" dxfId="2021" priority="121">
      <formula>ABS(J$16-J$19)&gt;=1000</formula>
    </cfRule>
  </conditionalFormatting>
  <conditionalFormatting sqref="L13:L20">
    <cfRule type="expression" dxfId="2020" priority="120">
      <formula>ABS(L$16-L$19)&gt;=1000</formula>
    </cfRule>
  </conditionalFormatting>
  <conditionalFormatting sqref="M13 M15 M17:M18 M20">
    <cfRule type="expression" dxfId="2019" priority="119">
      <formula>ABS(M$16-M$19)&gt;=1000</formula>
    </cfRule>
  </conditionalFormatting>
  <conditionalFormatting sqref="N13:N20">
    <cfRule type="expression" dxfId="2018" priority="118">
      <formula>ABS(N$16-N$19)&gt;=1000</formula>
    </cfRule>
  </conditionalFormatting>
  <conditionalFormatting sqref="O13:O20">
    <cfRule type="expression" dxfId="2017" priority="117">
      <formula>ABS(O$16-O$19)&gt;=1000</formula>
    </cfRule>
  </conditionalFormatting>
  <conditionalFormatting sqref="P13:P20">
    <cfRule type="expression" dxfId="2016" priority="116">
      <formula>ABS(P$16-P$19)&gt;=1000</formula>
    </cfRule>
  </conditionalFormatting>
  <conditionalFormatting sqref="Q13 Q15:Q20">
    <cfRule type="expression" dxfId="2015" priority="115">
      <formula>ABS(Q$16-Q$19)&gt;=1000</formula>
    </cfRule>
  </conditionalFormatting>
  <conditionalFormatting sqref="R13:R20">
    <cfRule type="expression" dxfId="2014" priority="114">
      <formula>ABS(R$16-R$19)&gt;=1000</formula>
    </cfRule>
  </conditionalFormatting>
  <conditionalFormatting sqref="S13:S20">
    <cfRule type="expression" dxfId="2013" priority="113">
      <formula>ABS(S$16-S$19)&gt;=1000</formula>
    </cfRule>
  </conditionalFormatting>
  <conditionalFormatting sqref="T13:T20">
    <cfRule type="expression" dxfId="2012" priority="112">
      <formula>ABS(T$16-T$19)&gt;=1000</formula>
    </cfRule>
  </conditionalFormatting>
  <conditionalFormatting sqref="U13:U20">
    <cfRule type="expression" dxfId="2011" priority="111">
      <formula>ABS(U$16-U$19)&gt;=1000</formula>
    </cfRule>
  </conditionalFormatting>
  <conditionalFormatting sqref="V13:V20">
    <cfRule type="expression" dxfId="2010" priority="110">
      <formula>ABS(V$16-V$19)&gt;=1000</formula>
    </cfRule>
  </conditionalFormatting>
  <conditionalFormatting sqref="W13 W20 W15:W18">
    <cfRule type="expression" dxfId="2009" priority="109">
      <formula>ABS(W$16-W$19)&gt;=1000</formula>
    </cfRule>
  </conditionalFormatting>
  <conditionalFormatting sqref="X13 X15:X20 Y19">
    <cfRule type="expression" dxfId="2008" priority="108">
      <formula>ABS(X$16-X$19)&gt;=1000</formula>
    </cfRule>
  </conditionalFormatting>
  <conditionalFormatting sqref="Y13 Y15:Y18 Y20">
    <cfRule type="expression" dxfId="2007" priority="107">
      <formula>ABS(Y$16-Y$19)&gt;=1000</formula>
    </cfRule>
  </conditionalFormatting>
  <conditionalFormatting sqref="Z13:Z20">
    <cfRule type="expression" dxfId="2006" priority="106">
      <formula>ABS(Z$16-Z$19)&gt;=1000</formula>
    </cfRule>
  </conditionalFormatting>
  <conditionalFormatting sqref="AA13:AA20">
    <cfRule type="expression" dxfId="2005" priority="105">
      <formula>ABS(AA$16-AA$19)&gt;=1000</formula>
    </cfRule>
  </conditionalFormatting>
  <conditionalFormatting sqref="AB13 AB15:AB20">
    <cfRule type="expression" dxfId="2004" priority="104">
      <formula>ABS(AB$16-AB$19)&gt;=1000</formula>
    </cfRule>
  </conditionalFormatting>
  <conditionalFormatting sqref="AC13 AC15:AC20">
    <cfRule type="expression" dxfId="2003" priority="103">
      <formula>ABS(AC$16-AC$19)&gt;=1000</formula>
    </cfRule>
  </conditionalFormatting>
  <conditionalFormatting sqref="AD13:AD20">
    <cfRule type="expression" dxfId="2002" priority="102">
      <formula>ABS(AD$16-AD$19)&gt;=1000</formula>
    </cfRule>
  </conditionalFormatting>
  <conditionalFormatting sqref="AE13:AE20">
    <cfRule type="expression" dxfId="2001" priority="101">
      <formula>ABS(AE$16-AE$19)&gt;=1000</formula>
    </cfRule>
  </conditionalFormatting>
  <conditionalFormatting sqref="D22:D29">
    <cfRule type="expression" dxfId="2000" priority="100">
      <formula>ABS(D$25-D$28)&gt;=1000</formula>
    </cfRule>
  </conditionalFormatting>
  <conditionalFormatting sqref="E22:E29">
    <cfRule type="expression" dxfId="1999" priority="99">
      <formula>ABS(E$25-E$28)&gt;=1000</formula>
    </cfRule>
  </conditionalFormatting>
  <conditionalFormatting sqref="F22:F29">
    <cfRule type="expression" dxfId="1998" priority="98">
      <formula>ABS(F$25-F$28)&gt;=1000</formula>
    </cfRule>
  </conditionalFormatting>
  <conditionalFormatting sqref="G22:G29">
    <cfRule type="expression" dxfId="1997" priority="97">
      <formula>ABS(G$25-G$28)&gt;=1000</formula>
    </cfRule>
  </conditionalFormatting>
  <conditionalFormatting sqref="H22:H29">
    <cfRule type="expression" dxfId="1996" priority="96">
      <formula>ABS(H$25-H$28)&gt;=1000</formula>
    </cfRule>
  </conditionalFormatting>
  <conditionalFormatting sqref="I22 I24:I29">
    <cfRule type="expression" dxfId="1995" priority="95">
      <formula>ABS(I$25-I$28)&gt;=1000</formula>
    </cfRule>
  </conditionalFormatting>
  <conditionalFormatting sqref="J22:J29 K22">
    <cfRule type="expression" dxfId="1994" priority="94">
      <formula>ABS(J$25-J$28)&gt;=1000</formula>
    </cfRule>
  </conditionalFormatting>
  <conditionalFormatting sqref="K23:K29 L25 L28">
    <cfRule type="expression" dxfId="1993" priority="93">
      <formula>ABS(K$25-K$28)&gt;=1000</formula>
    </cfRule>
  </conditionalFormatting>
  <conditionalFormatting sqref="L22 L26:L27 L29 L24">
    <cfRule type="expression" dxfId="1992" priority="92">
      <formula>ABS(L$25-L$28)&gt;=1000</formula>
    </cfRule>
  </conditionalFormatting>
  <conditionalFormatting sqref="M22:M29">
    <cfRule type="expression" dxfId="1991" priority="91">
      <formula>ABS(M$25-M$28)&gt;=1000</formula>
    </cfRule>
  </conditionalFormatting>
  <conditionalFormatting sqref="N22:N29">
    <cfRule type="expression" dxfId="1990" priority="90">
      <formula>ABS(N$25-N$28)&gt;=1000</formula>
    </cfRule>
  </conditionalFormatting>
  <conditionalFormatting sqref="O22:O29">
    <cfRule type="expression" dxfId="1989" priority="89">
      <formula>ABS(O$25-O$28)&gt;=1000</formula>
    </cfRule>
  </conditionalFormatting>
  <conditionalFormatting sqref="P22:P29">
    <cfRule type="expression" dxfId="1988" priority="88">
      <formula>ABS(P$25-P$28)&gt;=1000</formula>
    </cfRule>
  </conditionalFormatting>
  <conditionalFormatting sqref="Q22:Q29">
    <cfRule type="expression" dxfId="1987" priority="87">
      <formula>ABS(Q$25-Q$28)&gt;=1000</formula>
    </cfRule>
  </conditionalFormatting>
  <conditionalFormatting sqref="R22:R29">
    <cfRule type="expression" dxfId="1986" priority="86">
      <formula>ABS(R$25-R$28)&gt;=1000</formula>
    </cfRule>
  </conditionalFormatting>
  <conditionalFormatting sqref="S22:S29">
    <cfRule type="expression" dxfId="1985" priority="85">
      <formula>ABS(S$25-S$28)&gt;=1000</formula>
    </cfRule>
  </conditionalFormatting>
  <conditionalFormatting sqref="T22:T29">
    <cfRule type="expression" dxfId="1984" priority="84">
      <formula>ABS(T$25-T$28)&gt;=1000</formula>
    </cfRule>
  </conditionalFormatting>
  <conditionalFormatting sqref="U22:U29">
    <cfRule type="expression" dxfId="1983" priority="83">
      <formula>ABS(U$25-U$28)&gt;=1000</formula>
    </cfRule>
  </conditionalFormatting>
  <conditionalFormatting sqref="V22:V29">
    <cfRule type="expression" dxfId="1982" priority="82">
      <formula>ABS(V$25-V$28)&gt;=1000</formula>
    </cfRule>
  </conditionalFormatting>
  <conditionalFormatting sqref="W22:W29">
    <cfRule type="expression" dxfId="1981" priority="81">
      <formula>ABS(W$25-W$28)&gt;=1000</formula>
    </cfRule>
  </conditionalFormatting>
  <conditionalFormatting sqref="X22:X29">
    <cfRule type="expression" dxfId="1980" priority="80">
      <formula>ABS(X$25-X$28)&gt;=1000</formula>
    </cfRule>
  </conditionalFormatting>
  <conditionalFormatting sqref="Y22:Y29">
    <cfRule type="expression" dxfId="1979" priority="79">
      <formula>ABS(Y$25-Y$28)&gt;=1000</formula>
    </cfRule>
  </conditionalFormatting>
  <conditionalFormatting sqref="I23">
    <cfRule type="expression" dxfId="1978" priority="78">
      <formula>ABS(I$25-I$28)&gt;=1000</formula>
    </cfRule>
  </conditionalFormatting>
  <conditionalFormatting sqref="Q14">
    <cfRule type="expression" dxfId="1977" priority="77">
      <formula>ABS(Q$16-Q$19)&gt;=1000</formula>
    </cfRule>
  </conditionalFormatting>
  <conditionalFormatting sqref="W14">
    <cfRule type="expression" dxfId="1976" priority="76">
      <formula>ABS(W$16-W$19)&gt;=1000</formula>
    </cfRule>
  </conditionalFormatting>
  <conditionalFormatting sqref="X14">
    <cfRule type="expression" dxfId="1975" priority="75">
      <formula>ABS(X$16-X$19)&gt;=1000</formula>
    </cfRule>
  </conditionalFormatting>
  <conditionalFormatting sqref="T10:Y10">
    <cfRule type="expression" dxfId="1974" priority="74">
      <formula>ABS(T$7-T$10)&gt;=1000</formula>
    </cfRule>
  </conditionalFormatting>
  <conditionalFormatting sqref="W19">
    <cfRule type="expression" dxfId="1973" priority="73">
      <formula>ABS(W$16-W$19)&gt;=1000</formula>
    </cfRule>
  </conditionalFormatting>
  <conditionalFormatting sqref="AC5">
    <cfRule type="expression" dxfId="1972" priority="72">
      <formula>ABS(AC$7-AC$10)&gt;=1000</formula>
    </cfRule>
  </conditionalFormatting>
  <conditionalFormatting sqref="M14">
    <cfRule type="expression" dxfId="1971" priority="71">
      <formula>ABS(M$16-M$19)&gt;=1000</formula>
    </cfRule>
  </conditionalFormatting>
  <conditionalFormatting sqref="M16">
    <cfRule type="expression" dxfId="1970" priority="70">
      <formula>ABS(M$16-M$19)&gt;=1000</formula>
    </cfRule>
  </conditionalFormatting>
  <conditionalFormatting sqref="M19">
    <cfRule type="expression" dxfId="1969" priority="69">
      <formula>ABS(M$16-M$19)&gt;=1000</formula>
    </cfRule>
  </conditionalFormatting>
  <conditionalFormatting sqref="K13:K20">
    <cfRule type="expression" dxfId="1968" priority="68">
      <formula>ABS(K$16-K$19)&gt;=1000</formula>
    </cfRule>
  </conditionalFormatting>
  <conditionalFormatting sqref="AB14:AC14">
    <cfRule type="expression" dxfId="1967" priority="67">
      <formula>ABS(AB$16-AB$19)&gt;=1000</formula>
    </cfRule>
  </conditionalFormatting>
  <conditionalFormatting sqref="M5">
    <cfRule type="expression" dxfId="1966" priority="66">
      <formula>ABS(M$7-M$10)&gt;=1000</formula>
    </cfRule>
  </conditionalFormatting>
  <conditionalFormatting sqref="N5">
    <cfRule type="expression" dxfId="1965" priority="65">
      <formula>ABS(N$7-N$10)&gt;=1000</formula>
    </cfRule>
  </conditionalFormatting>
  <conditionalFormatting sqref="L23">
    <cfRule type="expression" dxfId="1964" priority="64">
      <formula>ABS(L$25-L$28)&gt;=1000</formula>
    </cfRule>
  </conditionalFormatting>
  <conditionalFormatting sqref="Y14">
    <cfRule type="expression" dxfId="1963" priority="63">
      <formula>ABS(Y$16-Y$19)&gt;=1000</formula>
    </cfRule>
  </conditionalFormatting>
  <conditionalFormatting sqref="F14">
    <cfRule type="expression" dxfId="1962" priority="62">
      <formula>ABS(F$16-F$19)&gt;=1000</formula>
    </cfRule>
  </conditionalFormatting>
  <conditionalFormatting sqref="H14">
    <cfRule type="expression" dxfId="1961" priority="61">
      <formula>ABS(H$16-H$19)&gt;=1000</formula>
    </cfRule>
  </conditionalFormatting>
  <conditionalFormatting sqref="AD5">
    <cfRule type="expression" dxfId="1960" priority="60">
      <formula>ABS(AD$7-AD$10)&gt;=1000</formula>
    </cfRule>
  </conditionalFormatting>
  <conditionalFormatting sqref="AE5">
    <cfRule type="expression" dxfId="1959" priority="59">
      <formula>ABS(AE$7-AE$10)&gt;=1000</formula>
    </cfRule>
  </conditionalFormatting>
  <conditionalFormatting sqref="D5">
    <cfRule type="expression" dxfId="1958" priority="58">
      <formula>ABS(D$7-D$10)&gt;=1000</formula>
    </cfRule>
  </conditionalFormatting>
  <conditionalFormatting sqref="E5:G5">
    <cfRule type="expression" dxfId="1957" priority="57">
      <formula>ABS(E$7-E$10)&gt;=1000</formula>
    </cfRule>
  </conditionalFormatting>
  <conditionalFormatting sqref="H5">
    <cfRule type="expression" dxfId="1956" priority="56">
      <formula>ABS(H$7-H$10)&gt;=1000</formula>
    </cfRule>
  </conditionalFormatting>
  <conditionalFormatting sqref="O4:P4">
    <cfRule type="expression" dxfId="1955" priority="55">
      <formula>ABS(O$7-O$10)&gt;=1000</formula>
    </cfRule>
  </conditionalFormatting>
  <conditionalFormatting sqref="O5 O8 O11">
    <cfRule type="expression" dxfId="1954" priority="54">
      <formula>ABS(O$7-O$10)&gt;=1000</formula>
    </cfRule>
  </conditionalFormatting>
  <conditionalFormatting sqref="P8 P11">
    <cfRule type="expression" dxfId="1953" priority="53">
      <formula>ABS(P$7-P$10)&gt;=1000</formula>
    </cfRule>
  </conditionalFormatting>
  <conditionalFormatting sqref="I5">
    <cfRule type="expression" dxfId="1952" priority="52">
      <formula>ABS(I$7-I$10)&gt;=1000</formula>
    </cfRule>
  </conditionalFormatting>
  <conditionalFormatting sqref="J5">
    <cfRule type="expression" dxfId="1951" priority="51">
      <formula>ABS(J$7-J$10)&gt;=1000</formula>
    </cfRule>
  </conditionalFormatting>
  <conditionalFormatting sqref="K5">
    <cfRule type="expression" dxfId="1950" priority="50">
      <formula>ABS(K$7-K$10)&gt;=1000</formula>
    </cfRule>
  </conditionalFormatting>
  <conditionalFormatting sqref="H6">
    <cfRule type="expression" dxfId="1932" priority="31">
      <formula>ABS(H$7-H$10)&gt;=1000</formula>
    </cfRule>
  </conditionalFormatting>
  <conditionalFormatting sqref="J6">
    <cfRule type="expression" dxfId="1931" priority="30">
      <formula>ABS(J$7-J$10)&gt;=1000</formula>
    </cfRule>
  </conditionalFormatting>
  <conditionalFormatting sqref="K6">
    <cfRule type="expression" dxfId="1930" priority="29">
      <formula>ABS(K$7-K$10)&gt;=1000</formula>
    </cfRule>
  </conditionalFormatting>
  <conditionalFormatting sqref="L6">
    <cfRule type="expression" dxfId="1929" priority="28">
      <formula>ABS(L$7-L$10)&gt;=1000</formula>
    </cfRule>
  </conditionalFormatting>
  <conditionalFormatting sqref="M6">
    <cfRule type="expression" dxfId="1928" priority="27">
      <formula>ABS(M$7-M$10)&gt;=1000</formula>
    </cfRule>
  </conditionalFormatting>
  <conditionalFormatting sqref="N6">
    <cfRule type="expression" dxfId="1927" priority="26">
      <formula>ABS(N$7-N$10)&gt;=1000</formula>
    </cfRule>
  </conditionalFormatting>
  <conditionalFormatting sqref="O6">
    <cfRule type="expression" dxfId="1926" priority="25">
      <formula>ABS(O$7-O$10)&gt;=1000</formula>
    </cfRule>
  </conditionalFormatting>
  <conditionalFormatting sqref="P6">
    <cfRule type="expression" dxfId="1925" priority="24">
      <formula>ABS(P$7-P$10)&gt;=1000</formula>
    </cfRule>
  </conditionalFormatting>
  <conditionalFormatting sqref="I6">
    <cfRule type="expression" dxfId="1924" priority="23">
      <formula>ABS(I$7-I$10)&gt;=1000</formula>
    </cfRule>
  </conditionalFormatting>
  <conditionalFormatting sqref="H9">
    <cfRule type="expression" dxfId="1923" priority="22">
      <formula>ABS(H$7-H$10)&gt;=1000</formula>
    </cfRule>
  </conditionalFormatting>
  <conditionalFormatting sqref="J9">
    <cfRule type="expression" dxfId="1922" priority="21">
      <formula>ABS(J$7-J$10)&gt;=1000</formula>
    </cfRule>
  </conditionalFormatting>
  <conditionalFormatting sqref="K9">
    <cfRule type="expression" dxfId="1921" priority="20">
      <formula>ABS(K$7-K$10)&gt;=1000</formula>
    </cfRule>
  </conditionalFormatting>
  <conditionalFormatting sqref="L9">
    <cfRule type="expression" dxfId="1920" priority="19">
      <formula>ABS(L$7-L$10)&gt;=1000</formula>
    </cfRule>
  </conditionalFormatting>
  <conditionalFormatting sqref="M9">
    <cfRule type="expression" dxfId="1919" priority="18">
      <formula>ABS(M$7-M$10)&gt;=1000</formula>
    </cfRule>
  </conditionalFormatting>
  <conditionalFormatting sqref="N9">
    <cfRule type="expression" dxfId="1918" priority="17">
      <formula>ABS(N$7-N$10)&gt;=1000</formula>
    </cfRule>
  </conditionalFormatting>
  <conditionalFormatting sqref="O9">
    <cfRule type="expression" dxfId="1917" priority="16">
      <formula>ABS(O$7-O$10)&gt;=1000</formula>
    </cfRule>
  </conditionalFormatting>
  <conditionalFormatting sqref="P9">
    <cfRule type="expression" dxfId="1916" priority="15">
      <formula>ABS(P$7-P$10)&gt;=1000</formula>
    </cfRule>
  </conditionalFormatting>
  <conditionalFormatting sqref="I9">
    <cfRule type="expression" dxfId="1915" priority="14">
      <formula>ABS(I$7-I$10)&gt;=1000</formula>
    </cfRule>
  </conditionalFormatting>
  <conditionalFormatting sqref="P5">
    <cfRule type="expression" dxfId="1914" priority="13">
      <formula>ABS(P$7-P$10)&gt;=1000</formula>
    </cfRule>
  </conditionalFormatting>
  <conditionalFormatting sqref="D7:G7">
    <cfRule type="expression" dxfId="44" priority="10">
      <formula>ABS(D$7-D$10)&gt;=1000</formula>
    </cfRule>
  </conditionalFormatting>
  <conditionalFormatting sqref="H7:L7">
    <cfRule type="expression" dxfId="43" priority="9">
      <formula>ABS(H$7-H$10)&gt;=1000</formula>
    </cfRule>
  </conditionalFormatting>
  <conditionalFormatting sqref="M7">
    <cfRule type="expression" dxfId="42" priority="8">
      <formula>ABS(M$7-M$10)&gt;=1000</formula>
    </cfRule>
  </conditionalFormatting>
  <conditionalFormatting sqref="O7:P7">
    <cfRule type="expression" dxfId="41" priority="7">
      <formula>ABS(O$7-O$10)&gt;=1000</formula>
    </cfRule>
  </conditionalFormatting>
  <conditionalFormatting sqref="N7">
    <cfRule type="expression" dxfId="40" priority="6">
      <formula>ABS(N$7-N$10)&gt;=1000</formula>
    </cfRule>
  </conditionalFormatting>
  <conditionalFormatting sqref="D10:G10">
    <cfRule type="expression" dxfId="39" priority="5">
      <formula>ABS(D$7-D$10)&gt;=1000</formula>
    </cfRule>
  </conditionalFormatting>
  <conditionalFormatting sqref="H10:L10">
    <cfRule type="expression" dxfId="38" priority="4">
      <formula>ABS(H$7-H$10)&gt;=1000</formula>
    </cfRule>
  </conditionalFormatting>
  <conditionalFormatting sqref="M10">
    <cfRule type="expression" dxfId="37" priority="3">
      <formula>ABS(M$7-M$10)&gt;=1000</formula>
    </cfRule>
  </conditionalFormatting>
  <conditionalFormatting sqref="O10:P10">
    <cfRule type="expression" dxfId="36" priority="2">
      <formula>ABS(O$7-O$10)&gt;=1000</formula>
    </cfRule>
  </conditionalFormatting>
  <conditionalFormatting sqref="N10">
    <cfRule type="expression" dxfId="3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98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8">
    <pageSetUpPr fitToPage="1"/>
  </sheetPr>
  <dimension ref="A1:BA223"/>
  <sheetViews>
    <sheetView view="pageBreakPreview" zoomScale="110" zoomScaleNormal="100" zoomScaleSheetLayoutView="110" workbookViewId="0">
      <selection activeCell="P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121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96" t="s" ph="1">
        <v>54</v>
      </c>
      <c r="D6" s="151">
        <v>0.99729999999999996</v>
      </c>
      <c r="E6" s="151">
        <v>0.74360000000000004</v>
      </c>
      <c r="F6" s="151">
        <v>0</v>
      </c>
      <c r="G6" s="151">
        <v>0</v>
      </c>
      <c r="H6" s="70">
        <v>3655</v>
      </c>
      <c r="I6" s="70">
        <v>0</v>
      </c>
      <c r="J6" s="70">
        <v>0</v>
      </c>
      <c r="K6" s="70">
        <v>0</v>
      </c>
      <c r="L6" s="70">
        <v>2922</v>
      </c>
      <c r="M6" s="70">
        <v>931</v>
      </c>
      <c r="N6" s="70">
        <v>2956</v>
      </c>
      <c r="O6" s="70">
        <v>4719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20409.103994048</v>
      </c>
      <c r="E7" s="72" ph="1">
        <f>((E6*5885)*4.48)*LOOKUP(E8,密度!$A$2:$A$50,密度!$B$2:$B$50)</f>
        <v>15148.679401856003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40246.597670999996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60184.527503999998</v>
      </c>
      <c r="M7" s="72" ph="1">
        <f>M6*26.42*1</f>
        <v>24597.02</v>
      </c>
      <c r="N7" s="72" ph="1">
        <f>N6*18.32*LOOKUP(N8,密度!$A$2:$A$50,密度!$B$2:$B$50)</f>
        <v>42218.396031999997</v>
      </c>
      <c r="O7" s="72" ph="1">
        <f>O6*81.71*LOOKUP(O8,密度!$A$2:$A$50,密度!$B$2:$B$50)</f>
        <v>300605.56640399998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29</v>
      </c>
      <c r="E8" s="73">
        <v>33</v>
      </c>
      <c r="F8" s="73">
        <v>28</v>
      </c>
      <c r="G8" s="73">
        <v>25</v>
      </c>
      <c r="H8" s="73">
        <v>28</v>
      </c>
      <c r="I8" s="73">
        <v>25</v>
      </c>
      <c r="J8" s="73">
        <v>24</v>
      </c>
      <c r="K8" s="73">
        <v>26</v>
      </c>
      <c r="L8" s="73">
        <v>25</v>
      </c>
      <c r="M8" s="73">
        <v>25</v>
      </c>
      <c r="N8" s="73">
        <v>25</v>
      </c>
      <c r="O8" s="73">
        <v>25</v>
      </c>
      <c r="P8" s="73">
        <v>25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96" t="s" ph="1">
        <v>57</v>
      </c>
      <c r="D9" s="151">
        <v>0</v>
      </c>
      <c r="E9" s="151">
        <v>0.99470000000000003</v>
      </c>
      <c r="F9" s="151">
        <v>0</v>
      </c>
      <c r="G9" s="151">
        <v>0</v>
      </c>
      <c r="H9" s="70">
        <v>3319</v>
      </c>
      <c r="I9" s="70">
        <v>0</v>
      </c>
      <c r="J9" s="70">
        <v>0</v>
      </c>
      <c r="K9" s="70">
        <v>0</v>
      </c>
      <c r="L9" s="70">
        <v>2977</v>
      </c>
      <c r="M9" s="70">
        <v>929</v>
      </c>
      <c r="N9" s="70">
        <v>3015</v>
      </c>
      <c r="O9" s="70">
        <v>4797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96" t="s" ph="1">
        <v>55</v>
      </c>
      <c r="D10" s="72" ph="1">
        <f>((D9*5885)*4.48)*LOOKUP(D11,密度!$A$2:$A$50,密度!$B$2:$B$50)</f>
        <v>0</v>
      </c>
      <c r="E10" s="72" ph="1">
        <f>((E9*5885)*4.48)*LOOKUP(E11,密度!$A$2:$A$50,密度!$B$2:$B$50)</f>
        <v>20264.108930912003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36239.568835639991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61317.364264000003</v>
      </c>
      <c r="M10" s="72" ph="1">
        <f>M9*26.42*1</f>
        <v>24544.18</v>
      </c>
      <c r="N10" s="72" ph="1">
        <f>N9*18.32*LOOKUP(N11,密度!$A$2:$A$50,密度!$B$2:$B$50)</f>
        <v>43011.338759999999</v>
      </c>
      <c r="O10" s="72" ph="1">
        <f>O9*81.71*LOOKUP(O11,密度!$A$2:$A$50,密度!$B$2:$B$50)</f>
        <v>305574.25345199998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96" t="s" ph="1">
        <v>56</v>
      </c>
      <c r="D11" s="73">
        <v>29</v>
      </c>
      <c r="E11" s="73">
        <v>33</v>
      </c>
      <c r="F11" s="73">
        <v>28</v>
      </c>
      <c r="G11" s="73">
        <v>30</v>
      </c>
      <c r="H11" s="73">
        <v>29</v>
      </c>
      <c r="I11" s="73">
        <v>30</v>
      </c>
      <c r="J11" s="73">
        <v>31</v>
      </c>
      <c r="K11" s="73">
        <v>28</v>
      </c>
      <c r="L11" s="73">
        <v>25</v>
      </c>
      <c r="M11" s="73">
        <v>25</v>
      </c>
      <c r="N11" s="73">
        <v>26</v>
      </c>
      <c r="O11" s="73">
        <v>25</v>
      </c>
      <c r="P11" s="73">
        <v>28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196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96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196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96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96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96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96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96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96" t="s" ph="1">
        <v>1</v>
      </c>
      <c r="F32" s="195" t="s" ph="1">
        <v>31</v>
      </c>
      <c r="G32" s="96" t="s" ph="1">
        <v>0</v>
      </c>
      <c r="H32" s="196" t="s" ph="1">
        <v>1</v>
      </c>
      <c r="I32" s="195" t="s" ph="1">
        <v>31</v>
      </c>
      <c r="J32" s="96" t="s" ph="1">
        <v>0</v>
      </c>
      <c r="K32" s="196" t="s" ph="1">
        <v>1</v>
      </c>
      <c r="L32" s="195" t="s" ph="1">
        <v>31</v>
      </c>
      <c r="M32" s="96" t="s" ph="1">
        <v>0</v>
      </c>
      <c r="N32" s="196" t="s" ph="1">
        <v>1</v>
      </c>
      <c r="O32" s="195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96" t="s" ph="1">
        <v>1</v>
      </c>
      <c r="U32" s="98" t="s" ph="1">
        <v>31</v>
      </c>
      <c r="V32" s="96" t="s" ph="1">
        <v>0</v>
      </c>
      <c r="W32" s="196" t="s" ph="1">
        <v>1</v>
      </c>
      <c r="X32" s="98" t="s" ph="1">
        <v>31</v>
      </c>
      <c r="Y32" s="99" t="s" ph="1">
        <v>0</v>
      </c>
      <c r="Z32" s="196" t="s" ph="1">
        <v>1</v>
      </c>
      <c r="AA32" s="195" t="s" ph="1">
        <v>31</v>
      </c>
      <c r="AB32" s="96" t="s" ph="1">
        <v>41</v>
      </c>
      <c r="AC32" s="196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305574.25345199998</v>
      </c>
      <c r="E33" s="245" ph="1">
        <f>H10+I10+J10+K10</f>
        <v>36239.568835639991</v>
      </c>
      <c r="F33" s="269" ph="1">
        <f>L10+N10</f>
        <v>104328.703024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94" t="s" ph="1">
        <v>62</v>
      </c>
      <c r="AA36" s="194" ph="1"/>
      <c r="AB36" s="231" t="s" ph="1">
        <v>67</v>
      </c>
      <c r="AC36" s="231" ph="1"/>
      <c r="AD36" s="231" ph="1"/>
      <c r="AE36" s="231" ph="1"/>
    </row>
    <row r="37" spans="1:31" s="194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911" priority="153">
      <formula>ABS(D$7-D$10)&gt;=1000</formula>
    </cfRule>
  </conditionalFormatting>
  <conditionalFormatting sqref="E4 E6 E8:E9 E11">
    <cfRule type="expression" dxfId="1910" priority="152">
      <formula>ABS(E$7-E$10)&gt;=1000</formula>
    </cfRule>
  </conditionalFormatting>
  <conditionalFormatting sqref="F4 F6 F8:F9 F11">
    <cfRule type="expression" dxfId="1909" priority="151">
      <formula>ABS(F$7-F$10)&gt;=1000</formula>
    </cfRule>
  </conditionalFormatting>
  <conditionalFormatting sqref="G4 G6 G8:G9 G11">
    <cfRule type="expression" dxfId="1908" priority="150">
      <formula>ABS(G$7-G$10)&gt;=1000</formula>
    </cfRule>
  </conditionalFormatting>
  <conditionalFormatting sqref="H4:K4 H8 H11">
    <cfRule type="expression" dxfId="1907" priority="149">
      <formula>ABS(H$7-H$10)&gt;=1000</formula>
    </cfRule>
  </conditionalFormatting>
  <conditionalFormatting sqref="I8 I11">
    <cfRule type="expression" dxfId="1906" priority="148">
      <formula>ABS(I$7-I$10)&gt;=1000</formula>
    </cfRule>
  </conditionalFormatting>
  <conditionalFormatting sqref="J8 J11">
    <cfRule type="expression" dxfId="1905" priority="147">
      <formula>ABS(J$7-J$10)&gt;=1000</formula>
    </cfRule>
  </conditionalFormatting>
  <conditionalFormatting sqref="K8 K11">
    <cfRule type="expression" dxfId="1904" priority="146">
      <formula>ABS(K$7-K$10)&gt;=1000</formula>
    </cfRule>
  </conditionalFormatting>
  <conditionalFormatting sqref="L4:L5 M4:N4 Q4:S4 L8 L11">
    <cfRule type="expression" dxfId="1903" priority="145">
      <formula>ABS(L$7-L$10)&gt;=1000</formula>
    </cfRule>
  </conditionalFormatting>
  <conditionalFormatting sqref="M8 M11">
    <cfRule type="expression" dxfId="1902" priority="144">
      <formula>ABS(M$7-M$10)&gt;=1000</formula>
    </cfRule>
  </conditionalFormatting>
  <conditionalFormatting sqref="N8 N11">
    <cfRule type="expression" dxfId="1901" priority="143">
      <formula>ABS(N$7-N$10)&gt;=1000</formula>
    </cfRule>
  </conditionalFormatting>
  <conditionalFormatting sqref="Q5:Q11">
    <cfRule type="expression" dxfId="1900" priority="142">
      <formula>ABS(Q$7-Q$10)&gt;=1000</formula>
    </cfRule>
  </conditionalFormatting>
  <conditionalFormatting sqref="R5:R11">
    <cfRule type="expression" dxfId="1899" priority="141">
      <formula>ABS(R$7-R$10)&gt;=1000</formula>
    </cfRule>
  </conditionalFormatting>
  <conditionalFormatting sqref="S5:S11">
    <cfRule type="expression" dxfId="1898" priority="140">
      <formula>ABS(S$7-S$10)&gt;=1000</formula>
    </cfRule>
  </conditionalFormatting>
  <conditionalFormatting sqref="T4:T9 T11">
    <cfRule type="expression" dxfId="1897" priority="139">
      <formula>ABS(T$7-T$10)&gt;=1000</formula>
    </cfRule>
  </conditionalFormatting>
  <conditionalFormatting sqref="U4:U9 U11">
    <cfRule type="expression" dxfId="1896" priority="138">
      <formula>ABS(U$7-U$10)&gt;=1000</formula>
    </cfRule>
  </conditionalFormatting>
  <conditionalFormatting sqref="V4:V9 V11">
    <cfRule type="expression" dxfId="1895" priority="137">
      <formula>ABS(V$7-V$10)&gt;=1000</formula>
    </cfRule>
  </conditionalFormatting>
  <conditionalFormatting sqref="W4:W9 W11">
    <cfRule type="expression" dxfId="1894" priority="136">
      <formula>ABS(W$7-W$10)&gt;=1000</formula>
    </cfRule>
  </conditionalFormatting>
  <conditionalFormatting sqref="X4:X9 X11">
    <cfRule type="expression" dxfId="1893" priority="135">
      <formula>ABS(X$7-X$10)&gt;=1000</formula>
    </cfRule>
  </conditionalFormatting>
  <conditionalFormatting sqref="Y4:Y9 Y11">
    <cfRule type="expression" dxfId="1892" priority="134">
      <formula>ABS(Y$7-Y$10)&gt;=1000</formula>
    </cfRule>
  </conditionalFormatting>
  <conditionalFormatting sqref="Z4:Z11">
    <cfRule type="expression" dxfId="1891" priority="133">
      <formula>ABS(Z$7-Z$10)&gt;=1000</formula>
    </cfRule>
  </conditionalFormatting>
  <conditionalFormatting sqref="AA4:AA11">
    <cfRule type="expression" dxfId="1890" priority="132">
      <formula>ABS(AA$7-AA$10)&gt;=1000</formula>
    </cfRule>
  </conditionalFormatting>
  <conditionalFormatting sqref="AB4:AB11">
    <cfRule type="expression" dxfId="1889" priority="131">
      <formula>ABS(AB$7-AB$10)&gt;=1000</formula>
    </cfRule>
  </conditionalFormatting>
  <conditionalFormatting sqref="AC4 AC6:AC11">
    <cfRule type="expression" dxfId="1888" priority="130">
      <formula>ABS(AC$7-AC$10)&gt;=1000</formula>
    </cfRule>
  </conditionalFormatting>
  <conditionalFormatting sqref="AD4 AD6:AD11">
    <cfRule type="expression" dxfId="1887" priority="129">
      <formula>ABS(AD$7-AD$10)&gt;=1000</formula>
    </cfRule>
  </conditionalFormatting>
  <conditionalFormatting sqref="AE4 AE6:AE11">
    <cfRule type="expression" dxfId="1886" priority="128">
      <formula>ABS(AE$7-AE$10)&gt;=1000</formula>
    </cfRule>
  </conditionalFormatting>
  <conditionalFormatting sqref="D13:D20">
    <cfRule type="expression" dxfId="1885" priority="127">
      <formula>ABS(D$16-D$19)&gt;=1000</formula>
    </cfRule>
  </conditionalFormatting>
  <conditionalFormatting sqref="E13:E20">
    <cfRule type="expression" dxfId="1884" priority="126">
      <formula>ABS(E$16-E$19)&gt;=1000</formula>
    </cfRule>
  </conditionalFormatting>
  <conditionalFormatting sqref="F13 F15:F20">
    <cfRule type="expression" dxfId="1883" priority="125">
      <formula>ABS(F$16-F$19)&gt;=1000</formula>
    </cfRule>
  </conditionalFormatting>
  <conditionalFormatting sqref="G13:G20">
    <cfRule type="expression" dxfId="1882" priority="124">
      <formula>ABS(G$16-G$19)&gt;=1000</formula>
    </cfRule>
  </conditionalFormatting>
  <conditionalFormatting sqref="H13 H15:H20">
    <cfRule type="expression" dxfId="1881" priority="123">
      <formula>ABS(H$16-H$19)&gt;=1000</formula>
    </cfRule>
  </conditionalFormatting>
  <conditionalFormatting sqref="I13:I20">
    <cfRule type="expression" dxfId="1880" priority="122">
      <formula>ABS(I$16-I$19)&gt;=1000</formula>
    </cfRule>
  </conditionalFormatting>
  <conditionalFormatting sqref="J13:J20">
    <cfRule type="expression" dxfId="1879" priority="121">
      <formula>ABS(J$16-J$19)&gt;=1000</formula>
    </cfRule>
  </conditionalFormatting>
  <conditionalFormatting sqref="L13:L20">
    <cfRule type="expression" dxfId="1878" priority="120">
      <formula>ABS(L$16-L$19)&gt;=1000</formula>
    </cfRule>
  </conditionalFormatting>
  <conditionalFormatting sqref="M13 M15 M17:M18 M20">
    <cfRule type="expression" dxfId="1877" priority="119">
      <formula>ABS(M$16-M$19)&gt;=1000</formula>
    </cfRule>
  </conditionalFormatting>
  <conditionalFormatting sqref="N13:N20">
    <cfRule type="expression" dxfId="1876" priority="118">
      <formula>ABS(N$16-N$19)&gt;=1000</formula>
    </cfRule>
  </conditionalFormatting>
  <conditionalFormatting sqref="O13:O20">
    <cfRule type="expression" dxfId="1875" priority="117">
      <formula>ABS(O$16-O$19)&gt;=1000</formula>
    </cfRule>
  </conditionalFormatting>
  <conditionalFormatting sqref="P13:P20">
    <cfRule type="expression" dxfId="1874" priority="116">
      <formula>ABS(P$16-P$19)&gt;=1000</formula>
    </cfRule>
  </conditionalFormatting>
  <conditionalFormatting sqref="Q13 Q15:Q20">
    <cfRule type="expression" dxfId="1873" priority="115">
      <formula>ABS(Q$16-Q$19)&gt;=1000</formula>
    </cfRule>
  </conditionalFormatting>
  <conditionalFormatting sqref="R13:R20">
    <cfRule type="expression" dxfId="1872" priority="114">
      <formula>ABS(R$16-R$19)&gt;=1000</formula>
    </cfRule>
  </conditionalFormatting>
  <conditionalFormatting sqref="S13:S20">
    <cfRule type="expression" dxfId="1871" priority="113">
      <formula>ABS(S$16-S$19)&gt;=1000</formula>
    </cfRule>
  </conditionalFormatting>
  <conditionalFormatting sqref="T13:T20">
    <cfRule type="expression" dxfId="1870" priority="112">
      <formula>ABS(T$16-T$19)&gt;=1000</formula>
    </cfRule>
  </conditionalFormatting>
  <conditionalFormatting sqref="U13:U20">
    <cfRule type="expression" dxfId="1869" priority="111">
      <formula>ABS(U$16-U$19)&gt;=1000</formula>
    </cfRule>
  </conditionalFormatting>
  <conditionalFormatting sqref="V13:V20">
    <cfRule type="expression" dxfId="1868" priority="110">
      <formula>ABS(V$16-V$19)&gt;=1000</formula>
    </cfRule>
  </conditionalFormatting>
  <conditionalFormatting sqref="W13 W20 W15:W18">
    <cfRule type="expression" dxfId="1867" priority="109">
      <formula>ABS(W$16-W$19)&gt;=1000</formula>
    </cfRule>
  </conditionalFormatting>
  <conditionalFormatting sqref="X13 X15:X20 Y19">
    <cfRule type="expression" dxfId="1866" priority="108">
      <formula>ABS(X$16-X$19)&gt;=1000</formula>
    </cfRule>
  </conditionalFormatting>
  <conditionalFormatting sqref="Y13 Y15:Y18 Y20">
    <cfRule type="expression" dxfId="1865" priority="107">
      <formula>ABS(Y$16-Y$19)&gt;=1000</formula>
    </cfRule>
  </conditionalFormatting>
  <conditionalFormatting sqref="Z13:Z20">
    <cfRule type="expression" dxfId="1864" priority="106">
      <formula>ABS(Z$16-Z$19)&gt;=1000</formula>
    </cfRule>
  </conditionalFormatting>
  <conditionalFormatting sqref="AA13:AA20">
    <cfRule type="expression" dxfId="1863" priority="105">
      <formula>ABS(AA$16-AA$19)&gt;=1000</formula>
    </cfRule>
  </conditionalFormatting>
  <conditionalFormatting sqref="AB13 AB15:AB20">
    <cfRule type="expression" dxfId="1862" priority="104">
      <formula>ABS(AB$16-AB$19)&gt;=1000</formula>
    </cfRule>
  </conditionalFormatting>
  <conditionalFormatting sqref="AC13 AC15:AC20">
    <cfRule type="expression" dxfId="1861" priority="103">
      <formula>ABS(AC$16-AC$19)&gt;=1000</formula>
    </cfRule>
  </conditionalFormatting>
  <conditionalFormatting sqref="AD13:AD20">
    <cfRule type="expression" dxfId="1860" priority="102">
      <formula>ABS(AD$16-AD$19)&gt;=1000</formula>
    </cfRule>
  </conditionalFormatting>
  <conditionalFormatting sqref="AE13:AE20">
    <cfRule type="expression" dxfId="1859" priority="101">
      <formula>ABS(AE$16-AE$19)&gt;=1000</formula>
    </cfRule>
  </conditionalFormatting>
  <conditionalFormatting sqref="D22:D29">
    <cfRule type="expression" dxfId="1858" priority="100">
      <formula>ABS(D$25-D$28)&gt;=1000</formula>
    </cfRule>
  </conditionalFormatting>
  <conditionalFormatting sqref="E22:E29">
    <cfRule type="expression" dxfId="1857" priority="99">
      <formula>ABS(E$25-E$28)&gt;=1000</formula>
    </cfRule>
  </conditionalFormatting>
  <conditionalFormatting sqref="F22:F29">
    <cfRule type="expression" dxfId="1856" priority="98">
      <formula>ABS(F$25-F$28)&gt;=1000</formula>
    </cfRule>
  </conditionalFormatting>
  <conditionalFormatting sqref="G22:G29">
    <cfRule type="expression" dxfId="1855" priority="97">
      <formula>ABS(G$25-G$28)&gt;=1000</formula>
    </cfRule>
  </conditionalFormatting>
  <conditionalFormatting sqref="H22:H29">
    <cfRule type="expression" dxfId="1854" priority="96">
      <formula>ABS(H$25-H$28)&gt;=1000</formula>
    </cfRule>
  </conditionalFormatting>
  <conditionalFormatting sqref="I22 I24:I29">
    <cfRule type="expression" dxfId="1853" priority="95">
      <formula>ABS(I$25-I$28)&gt;=1000</formula>
    </cfRule>
  </conditionalFormatting>
  <conditionalFormatting sqref="J22:J29 K22">
    <cfRule type="expression" dxfId="1852" priority="94">
      <formula>ABS(J$25-J$28)&gt;=1000</formula>
    </cfRule>
  </conditionalFormatting>
  <conditionalFormatting sqref="K23:K29 L25 L28">
    <cfRule type="expression" dxfId="1851" priority="93">
      <formula>ABS(K$25-K$28)&gt;=1000</formula>
    </cfRule>
  </conditionalFormatting>
  <conditionalFormatting sqref="L22 L26:L27 L29 L24">
    <cfRule type="expression" dxfId="1850" priority="92">
      <formula>ABS(L$25-L$28)&gt;=1000</formula>
    </cfRule>
  </conditionalFormatting>
  <conditionalFormatting sqref="M22:M29">
    <cfRule type="expression" dxfId="1849" priority="91">
      <formula>ABS(M$25-M$28)&gt;=1000</formula>
    </cfRule>
  </conditionalFormatting>
  <conditionalFormatting sqref="N22:N29">
    <cfRule type="expression" dxfId="1848" priority="90">
      <formula>ABS(N$25-N$28)&gt;=1000</formula>
    </cfRule>
  </conditionalFormatting>
  <conditionalFormatting sqref="O22:O29">
    <cfRule type="expression" dxfId="1847" priority="89">
      <formula>ABS(O$25-O$28)&gt;=1000</formula>
    </cfRule>
  </conditionalFormatting>
  <conditionalFormatting sqref="P22:P29">
    <cfRule type="expression" dxfId="1846" priority="88">
      <formula>ABS(P$25-P$28)&gt;=1000</formula>
    </cfRule>
  </conditionalFormatting>
  <conditionalFormatting sqref="Q22:Q29">
    <cfRule type="expression" dxfId="1845" priority="87">
      <formula>ABS(Q$25-Q$28)&gt;=1000</formula>
    </cfRule>
  </conditionalFormatting>
  <conditionalFormatting sqref="R22:R29">
    <cfRule type="expression" dxfId="1844" priority="86">
      <formula>ABS(R$25-R$28)&gt;=1000</formula>
    </cfRule>
  </conditionalFormatting>
  <conditionalFormatting sqref="S22:S29">
    <cfRule type="expression" dxfId="1843" priority="85">
      <formula>ABS(S$25-S$28)&gt;=1000</formula>
    </cfRule>
  </conditionalFormatting>
  <conditionalFormatting sqref="T22:T29">
    <cfRule type="expression" dxfId="1842" priority="84">
      <formula>ABS(T$25-T$28)&gt;=1000</formula>
    </cfRule>
  </conditionalFormatting>
  <conditionalFormatting sqref="U22:U29">
    <cfRule type="expression" dxfId="1841" priority="83">
      <formula>ABS(U$25-U$28)&gt;=1000</formula>
    </cfRule>
  </conditionalFormatting>
  <conditionalFormatting sqref="V22:V29">
    <cfRule type="expression" dxfId="1840" priority="82">
      <formula>ABS(V$25-V$28)&gt;=1000</formula>
    </cfRule>
  </conditionalFormatting>
  <conditionalFormatting sqref="W22:W29">
    <cfRule type="expression" dxfId="1839" priority="81">
      <formula>ABS(W$25-W$28)&gt;=1000</formula>
    </cfRule>
  </conditionalFormatting>
  <conditionalFormatting sqref="X22:X29">
    <cfRule type="expression" dxfId="1838" priority="80">
      <formula>ABS(X$25-X$28)&gt;=1000</formula>
    </cfRule>
  </conditionalFormatting>
  <conditionalFormatting sqref="Y22:Y29">
    <cfRule type="expression" dxfId="1837" priority="79">
      <formula>ABS(Y$25-Y$28)&gt;=1000</formula>
    </cfRule>
  </conditionalFormatting>
  <conditionalFormatting sqref="I23">
    <cfRule type="expression" dxfId="1836" priority="78">
      <formula>ABS(I$25-I$28)&gt;=1000</formula>
    </cfRule>
  </conditionalFormatting>
  <conditionalFormatting sqref="Q14">
    <cfRule type="expression" dxfId="1835" priority="77">
      <formula>ABS(Q$16-Q$19)&gt;=1000</formula>
    </cfRule>
  </conditionalFormatting>
  <conditionalFormatting sqref="W14">
    <cfRule type="expression" dxfId="1834" priority="76">
      <formula>ABS(W$16-W$19)&gt;=1000</formula>
    </cfRule>
  </conditionalFormatting>
  <conditionalFormatting sqref="X14">
    <cfRule type="expression" dxfId="1833" priority="75">
      <formula>ABS(X$16-X$19)&gt;=1000</formula>
    </cfRule>
  </conditionalFormatting>
  <conditionalFormatting sqref="T10:Y10">
    <cfRule type="expression" dxfId="1832" priority="74">
      <formula>ABS(T$7-T$10)&gt;=1000</formula>
    </cfRule>
  </conditionalFormatting>
  <conditionalFormatting sqref="W19">
    <cfRule type="expression" dxfId="1831" priority="73">
      <formula>ABS(W$16-W$19)&gt;=1000</formula>
    </cfRule>
  </conditionalFormatting>
  <conditionalFormatting sqref="AC5">
    <cfRule type="expression" dxfId="1830" priority="72">
      <formula>ABS(AC$7-AC$10)&gt;=1000</formula>
    </cfRule>
  </conditionalFormatting>
  <conditionalFormatting sqref="M14">
    <cfRule type="expression" dxfId="1829" priority="71">
      <formula>ABS(M$16-M$19)&gt;=1000</formula>
    </cfRule>
  </conditionalFormatting>
  <conditionalFormatting sqref="M16">
    <cfRule type="expression" dxfId="1828" priority="70">
      <formula>ABS(M$16-M$19)&gt;=1000</formula>
    </cfRule>
  </conditionalFormatting>
  <conditionalFormatting sqref="M19">
    <cfRule type="expression" dxfId="1827" priority="69">
      <formula>ABS(M$16-M$19)&gt;=1000</formula>
    </cfRule>
  </conditionalFormatting>
  <conditionalFormatting sqref="K13:K20">
    <cfRule type="expression" dxfId="1826" priority="68">
      <formula>ABS(K$16-K$19)&gt;=1000</formula>
    </cfRule>
  </conditionalFormatting>
  <conditionalFormatting sqref="AB14:AC14">
    <cfRule type="expression" dxfId="1825" priority="67">
      <formula>ABS(AB$16-AB$19)&gt;=1000</formula>
    </cfRule>
  </conditionalFormatting>
  <conditionalFormatting sqref="M5">
    <cfRule type="expression" dxfId="1824" priority="66">
      <formula>ABS(M$7-M$10)&gt;=1000</formula>
    </cfRule>
  </conditionalFormatting>
  <conditionalFormatting sqref="N5">
    <cfRule type="expression" dxfId="1823" priority="65">
      <formula>ABS(N$7-N$10)&gt;=1000</formula>
    </cfRule>
  </conditionalFormatting>
  <conditionalFormatting sqref="L23">
    <cfRule type="expression" dxfId="1822" priority="64">
      <formula>ABS(L$25-L$28)&gt;=1000</formula>
    </cfRule>
  </conditionalFormatting>
  <conditionalFormatting sqref="Y14">
    <cfRule type="expression" dxfId="1821" priority="63">
      <formula>ABS(Y$16-Y$19)&gt;=1000</formula>
    </cfRule>
  </conditionalFormatting>
  <conditionalFormatting sqref="F14">
    <cfRule type="expression" dxfId="1820" priority="62">
      <formula>ABS(F$16-F$19)&gt;=1000</formula>
    </cfRule>
  </conditionalFormatting>
  <conditionalFormatting sqref="H14">
    <cfRule type="expression" dxfId="1819" priority="61">
      <formula>ABS(H$16-H$19)&gt;=1000</formula>
    </cfRule>
  </conditionalFormatting>
  <conditionalFormatting sqref="AD5">
    <cfRule type="expression" dxfId="1818" priority="60">
      <formula>ABS(AD$7-AD$10)&gt;=1000</formula>
    </cfRule>
  </conditionalFormatting>
  <conditionalFormatting sqref="AE5">
    <cfRule type="expression" dxfId="1817" priority="59">
      <formula>ABS(AE$7-AE$10)&gt;=1000</formula>
    </cfRule>
  </conditionalFormatting>
  <conditionalFormatting sqref="D5">
    <cfRule type="expression" dxfId="1816" priority="58">
      <formula>ABS(D$7-D$10)&gt;=1000</formula>
    </cfRule>
  </conditionalFormatting>
  <conditionalFormatting sqref="E5:G5">
    <cfRule type="expression" dxfId="1815" priority="57">
      <formula>ABS(E$7-E$10)&gt;=1000</formula>
    </cfRule>
  </conditionalFormatting>
  <conditionalFormatting sqref="H5">
    <cfRule type="expression" dxfId="1814" priority="56">
      <formula>ABS(H$7-H$10)&gt;=1000</formula>
    </cfRule>
  </conditionalFormatting>
  <conditionalFormatting sqref="O4:P4">
    <cfRule type="expression" dxfId="1813" priority="55">
      <formula>ABS(O$7-O$10)&gt;=1000</formula>
    </cfRule>
  </conditionalFormatting>
  <conditionalFormatting sqref="O5 O8 O11">
    <cfRule type="expression" dxfId="1812" priority="54">
      <formula>ABS(O$7-O$10)&gt;=1000</formula>
    </cfRule>
  </conditionalFormatting>
  <conditionalFormatting sqref="P8 P11">
    <cfRule type="expression" dxfId="1811" priority="53">
      <formula>ABS(P$7-P$10)&gt;=1000</formula>
    </cfRule>
  </conditionalFormatting>
  <conditionalFormatting sqref="I5">
    <cfRule type="expression" dxfId="1810" priority="52">
      <formula>ABS(I$7-I$10)&gt;=1000</formula>
    </cfRule>
  </conditionalFormatting>
  <conditionalFormatting sqref="J5">
    <cfRule type="expression" dxfId="1809" priority="51">
      <formula>ABS(J$7-J$10)&gt;=1000</formula>
    </cfRule>
  </conditionalFormatting>
  <conditionalFormatting sqref="K5">
    <cfRule type="expression" dxfId="1808" priority="50">
      <formula>ABS(K$7-K$10)&gt;=1000</formula>
    </cfRule>
  </conditionalFormatting>
  <conditionalFormatting sqref="H6">
    <cfRule type="expression" dxfId="1790" priority="31">
      <formula>ABS(H$7-H$10)&gt;=1000</formula>
    </cfRule>
  </conditionalFormatting>
  <conditionalFormatting sqref="J6">
    <cfRule type="expression" dxfId="1789" priority="30">
      <formula>ABS(J$7-J$10)&gt;=1000</formula>
    </cfRule>
  </conditionalFormatting>
  <conditionalFormatting sqref="K6">
    <cfRule type="expression" dxfId="1788" priority="29">
      <formula>ABS(K$7-K$10)&gt;=1000</formula>
    </cfRule>
  </conditionalFormatting>
  <conditionalFormatting sqref="L6">
    <cfRule type="expression" dxfId="1787" priority="28">
      <formula>ABS(L$7-L$10)&gt;=1000</formula>
    </cfRule>
  </conditionalFormatting>
  <conditionalFormatting sqref="M6">
    <cfRule type="expression" dxfId="1786" priority="27">
      <formula>ABS(M$7-M$10)&gt;=1000</formula>
    </cfRule>
  </conditionalFormatting>
  <conditionalFormatting sqref="N6">
    <cfRule type="expression" dxfId="1785" priority="26">
      <formula>ABS(N$7-N$10)&gt;=1000</formula>
    </cfRule>
  </conditionalFormatting>
  <conditionalFormatting sqref="O6">
    <cfRule type="expression" dxfId="1784" priority="25">
      <formula>ABS(O$7-O$10)&gt;=1000</formula>
    </cfRule>
  </conditionalFormatting>
  <conditionalFormatting sqref="P6">
    <cfRule type="expression" dxfId="1783" priority="24">
      <formula>ABS(P$7-P$10)&gt;=1000</formula>
    </cfRule>
  </conditionalFormatting>
  <conditionalFormatting sqref="I6">
    <cfRule type="expression" dxfId="1782" priority="23">
      <formula>ABS(I$7-I$10)&gt;=1000</formula>
    </cfRule>
  </conditionalFormatting>
  <conditionalFormatting sqref="H9">
    <cfRule type="expression" dxfId="1781" priority="22">
      <formula>ABS(H$7-H$10)&gt;=1000</formula>
    </cfRule>
  </conditionalFormatting>
  <conditionalFormatting sqref="J9">
    <cfRule type="expression" dxfId="1780" priority="21">
      <formula>ABS(J$7-J$10)&gt;=1000</formula>
    </cfRule>
  </conditionalFormatting>
  <conditionalFormatting sqref="K9">
    <cfRule type="expression" dxfId="1779" priority="20">
      <formula>ABS(K$7-K$10)&gt;=1000</formula>
    </cfRule>
  </conditionalFormatting>
  <conditionalFormatting sqref="L9">
    <cfRule type="expression" dxfId="1778" priority="19">
      <formula>ABS(L$7-L$10)&gt;=1000</formula>
    </cfRule>
  </conditionalFormatting>
  <conditionalFormatting sqref="M9">
    <cfRule type="expression" dxfId="1777" priority="18">
      <formula>ABS(M$7-M$10)&gt;=1000</formula>
    </cfRule>
  </conditionalFormatting>
  <conditionalFormatting sqref="N9">
    <cfRule type="expression" dxfId="1776" priority="17">
      <formula>ABS(N$7-N$10)&gt;=1000</formula>
    </cfRule>
  </conditionalFormatting>
  <conditionalFormatting sqref="O9">
    <cfRule type="expression" dxfId="1775" priority="16">
      <formula>ABS(O$7-O$10)&gt;=1000</formula>
    </cfRule>
  </conditionalFormatting>
  <conditionalFormatting sqref="P9">
    <cfRule type="expression" dxfId="1774" priority="15">
      <formula>ABS(P$7-P$10)&gt;=1000</formula>
    </cfRule>
  </conditionalFormatting>
  <conditionalFormatting sqref="I9">
    <cfRule type="expression" dxfId="1773" priority="14">
      <formula>ABS(I$7-I$10)&gt;=1000</formula>
    </cfRule>
  </conditionalFormatting>
  <conditionalFormatting sqref="P5">
    <cfRule type="expression" dxfId="1772" priority="13">
      <formula>ABS(P$7-P$10)&gt;=1000</formula>
    </cfRule>
  </conditionalFormatting>
  <conditionalFormatting sqref="D7:G7">
    <cfRule type="expression" dxfId="34" priority="10">
      <formula>ABS(D$7-D$10)&gt;=1000</formula>
    </cfRule>
  </conditionalFormatting>
  <conditionalFormatting sqref="H7:L7">
    <cfRule type="expression" dxfId="33" priority="9">
      <formula>ABS(H$7-H$10)&gt;=1000</formula>
    </cfRule>
  </conditionalFormatting>
  <conditionalFormatting sqref="M7">
    <cfRule type="expression" dxfId="32" priority="8">
      <formula>ABS(M$7-M$10)&gt;=1000</formula>
    </cfRule>
  </conditionalFormatting>
  <conditionalFormatting sqref="O7:P7">
    <cfRule type="expression" dxfId="31" priority="7">
      <formula>ABS(O$7-O$10)&gt;=1000</formula>
    </cfRule>
  </conditionalFormatting>
  <conditionalFormatting sqref="N7">
    <cfRule type="expression" dxfId="30" priority="6">
      <formula>ABS(N$7-N$10)&gt;=1000</formula>
    </cfRule>
  </conditionalFormatting>
  <conditionalFormatting sqref="D10:G10">
    <cfRule type="expression" dxfId="29" priority="5">
      <formula>ABS(D$7-D$10)&gt;=1000</formula>
    </cfRule>
  </conditionalFormatting>
  <conditionalFormatting sqref="H10:L10">
    <cfRule type="expression" dxfId="28" priority="4">
      <formula>ABS(H$7-H$10)&gt;=1000</formula>
    </cfRule>
  </conditionalFormatting>
  <conditionalFormatting sqref="M10">
    <cfRule type="expression" dxfId="27" priority="3">
      <formula>ABS(M$7-M$10)&gt;=1000</formula>
    </cfRule>
  </conditionalFormatting>
  <conditionalFormatting sqref="O10:P10">
    <cfRule type="expression" dxfId="26" priority="2">
      <formula>ABS(O$7-O$10)&gt;=1000</formula>
    </cfRule>
  </conditionalFormatting>
  <conditionalFormatting sqref="N10">
    <cfRule type="expression" dxfId="2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08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9">
    <pageSetUpPr fitToPage="1"/>
  </sheetPr>
  <dimension ref="A1:BA223"/>
  <sheetViews>
    <sheetView view="pageBreakPreview" zoomScale="110" zoomScaleNormal="100" zoomScaleSheetLayoutView="110" workbookViewId="0">
      <selection activeCell="P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177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87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199" t="s" ph="1">
        <v>54</v>
      </c>
      <c r="D6" s="151">
        <v>0.84789999999999999</v>
      </c>
      <c r="E6" s="151">
        <v>0.99639999999999995</v>
      </c>
      <c r="F6" s="151">
        <v>0</v>
      </c>
      <c r="G6" s="151">
        <v>0</v>
      </c>
      <c r="H6" s="70">
        <v>2980</v>
      </c>
      <c r="I6" s="70">
        <v>0</v>
      </c>
      <c r="J6" s="70">
        <v>0</v>
      </c>
      <c r="K6" s="70">
        <v>0</v>
      </c>
      <c r="L6" s="70">
        <v>3142</v>
      </c>
      <c r="M6" s="70">
        <v>929</v>
      </c>
      <c r="N6" s="70">
        <v>3920</v>
      </c>
      <c r="O6" s="70">
        <v>3189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17291.371217120002</v>
      </c>
      <c r="E7" s="72" ph="1">
        <f>((E6*5885)*4.48)*LOOKUP(E8,密度!$A$2:$A$50,密度!$B$2:$B$50)</f>
        <v>20343.400275967997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32163.809955199995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64641.164067999998</v>
      </c>
      <c r="M7" s="72" ph="1">
        <f>M6*26.42*1</f>
        <v>24544.18</v>
      </c>
      <c r="N7" s="72" ph="1">
        <f>N6*18.32*LOOKUP(N8,密度!$A$2:$A$50,密度!$B$2:$B$50)</f>
        <v>55864.421759999997</v>
      </c>
      <c r="O7" s="72" ph="1">
        <f>O6*81.71*LOOKUP(O8,密度!$A$2:$A$50,密度!$B$2:$B$50)</f>
        <v>202908.34305299996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32</v>
      </c>
      <c r="E8" s="73">
        <v>31</v>
      </c>
      <c r="F8" s="73">
        <v>28</v>
      </c>
      <c r="G8" s="73">
        <v>28</v>
      </c>
      <c r="H8" s="73">
        <v>31</v>
      </c>
      <c r="I8" s="73">
        <v>27</v>
      </c>
      <c r="J8" s="73">
        <v>26</v>
      </c>
      <c r="K8" s="73">
        <v>27</v>
      </c>
      <c r="L8" s="73">
        <v>26</v>
      </c>
      <c r="M8" s="73">
        <v>25</v>
      </c>
      <c r="N8" s="73">
        <v>27</v>
      </c>
      <c r="O8" s="73">
        <v>26</v>
      </c>
      <c r="P8" s="73">
        <v>27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199" t="s" ph="1">
        <v>57</v>
      </c>
      <c r="D9" s="151">
        <v>0.99990000000000001</v>
      </c>
      <c r="E9" s="151">
        <v>0.14249999999999999</v>
      </c>
      <c r="F9" s="151">
        <v>0</v>
      </c>
      <c r="G9" s="151">
        <v>0</v>
      </c>
      <c r="H9" s="70">
        <v>4641</v>
      </c>
      <c r="I9" s="70">
        <v>961</v>
      </c>
      <c r="J9" s="70">
        <v>0</v>
      </c>
      <c r="K9" s="70">
        <v>0</v>
      </c>
      <c r="L9" s="70">
        <v>3144</v>
      </c>
      <c r="M9" s="70">
        <v>929</v>
      </c>
      <c r="N9" s="70">
        <v>4150</v>
      </c>
      <c r="O9" s="70">
        <v>3202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199" t="s" ph="1">
        <v>55</v>
      </c>
      <c r="D10" s="72" ph="1">
        <f>((D9*5885)*4.48)*LOOKUP(D11,密度!$A$2:$A$50,密度!$B$2:$B$50)</f>
        <v>20391.133482720001</v>
      </c>
      <c r="E10" s="72" ph="1">
        <f>((E9*5885)*4.48)*LOOKUP(E11,密度!$A$2:$A$50,密度!$B$2:$B$50)</f>
        <v>2899.6402512000004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51722.058910719999</v>
      </c>
      <c r="I10" s="72" ph="1">
        <f>IF(I9&lt;=0,0,IF(I9&lt;=745,PI()*(5.3235*(I9/1000)^2-(4/3)*(I9/1000)^3),7.55+15.2053*((I9-745)/1000))*LOOKUP(I11,密度!$A$2:$A$50,密度!$B$2:$B$50)*1000)</f>
        <v>8371.6982269600012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64615.858992000009</v>
      </c>
      <c r="M10" s="72" ph="1">
        <f>M9*26.42*1</f>
        <v>24544.18</v>
      </c>
      <c r="N10" s="72" ph="1">
        <f>N9*18.32*LOOKUP(N11,密度!$A$2:$A$50,密度!$B$2:$B$50)</f>
        <v>59012.933599999997</v>
      </c>
      <c r="O10" s="72" ph="1">
        <f>O9*81.71*LOOKUP(O11,密度!$A$2:$A$50,密度!$B$2:$B$50)</f>
        <v>203735.50155399999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199" t="s" ph="1">
        <v>56</v>
      </c>
      <c r="D11" s="73">
        <v>32</v>
      </c>
      <c r="E11" s="73">
        <v>34</v>
      </c>
      <c r="F11" s="73">
        <v>30</v>
      </c>
      <c r="G11" s="73">
        <v>29</v>
      </c>
      <c r="H11" s="73">
        <v>31</v>
      </c>
      <c r="I11" s="73">
        <v>33</v>
      </c>
      <c r="J11" s="73">
        <v>33</v>
      </c>
      <c r="K11" s="73">
        <v>28</v>
      </c>
      <c r="L11" s="73">
        <v>27</v>
      </c>
      <c r="M11" s="73">
        <v>29</v>
      </c>
      <c r="N11" s="73">
        <v>29</v>
      </c>
      <c r="O11" s="73">
        <v>26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199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199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199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199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199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199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199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199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199" t="s" ph="1">
        <v>1</v>
      </c>
      <c r="F32" s="198" t="s" ph="1">
        <v>31</v>
      </c>
      <c r="G32" s="96" t="s" ph="1">
        <v>0</v>
      </c>
      <c r="H32" s="199" t="s" ph="1">
        <v>1</v>
      </c>
      <c r="I32" s="198" t="s" ph="1">
        <v>31</v>
      </c>
      <c r="J32" s="96" t="s" ph="1">
        <v>0</v>
      </c>
      <c r="K32" s="199" t="s" ph="1">
        <v>1</v>
      </c>
      <c r="L32" s="198" t="s" ph="1">
        <v>31</v>
      </c>
      <c r="M32" s="96" t="s" ph="1">
        <v>0</v>
      </c>
      <c r="N32" s="199" t="s" ph="1">
        <v>1</v>
      </c>
      <c r="O32" s="198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99" t="s" ph="1">
        <v>1</v>
      </c>
      <c r="U32" s="98" t="s" ph="1">
        <v>31</v>
      </c>
      <c r="V32" s="96" t="s" ph="1">
        <v>0</v>
      </c>
      <c r="W32" s="199" t="s" ph="1">
        <v>1</v>
      </c>
      <c r="X32" s="98" t="s" ph="1">
        <v>31</v>
      </c>
      <c r="Y32" s="99" t="s" ph="1">
        <v>0</v>
      </c>
      <c r="Z32" s="199" t="s" ph="1">
        <v>1</v>
      </c>
      <c r="AA32" s="198" t="s" ph="1">
        <v>31</v>
      </c>
      <c r="AB32" s="96" t="s" ph="1">
        <v>41</v>
      </c>
      <c r="AC32" s="199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203735.50155399999</v>
      </c>
      <c r="E33" s="245" ph="1">
        <f>H10+I10+J10+K10</f>
        <v>60093.757137680004</v>
      </c>
      <c r="F33" s="269" ph="1">
        <f>L10+N10</f>
        <v>123628.79259200001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197" t="s" ph="1">
        <v>62</v>
      </c>
      <c r="AA36" s="197" ph="1"/>
      <c r="AB36" s="231" t="s" ph="1">
        <v>67</v>
      </c>
      <c r="AC36" s="231" ph="1"/>
      <c r="AD36" s="231" ph="1"/>
      <c r="AE36" s="231" ph="1"/>
    </row>
    <row r="37" spans="1:31" s="19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769" priority="154">
      <formula>ABS(D$7-D$10)&gt;=1000</formula>
    </cfRule>
  </conditionalFormatting>
  <conditionalFormatting sqref="E4 E6 E8:E9 E11">
    <cfRule type="expression" dxfId="1768" priority="153">
      <formula>ABS(E$7-E$10)&gt;=1000</formula>
    </cfRule>
  </conditionalFormatting>
  <conditionalFormatting sqref="F4 F6 F8:F9 F11">
    <cfRule type="expression" dxfId="1767" priority="152">
      <formula>ABS(F$7-F$10)&gt;=1000</formula>
    </cfRule>
  </conditionalFormatting>
  <conditionalFormatting sqref="G4 G6 G8:G9 G11">
    <cfRule type="expression" dxfId="1766" priority="151">
      <formula>ABS(G$7-G$10)&gt;=1000</formula>
    </cfRule>
  </conditionalFormatting>
  <conditionalFormatting sqref="H4 H8 H11 J4:K4">
    <cfRule type="expression" dxfId="1765" priority="150">
      <formula>ABS(H$7-H$10)&gt;=1000</formula>
    </cfRule>
  </conditionalFormatting>
  <conditionalFormatting sqref="I8 I11">
    <cfRule type="expression" dxfId="1764" priority="149">
      <formula>ABS(I$7-I$10)&gt;=1000</formula>
    </cfRule>
  </conditionalFormatting>
  <conditionalFormatting sqref="J8 J11">
    <cfRule type="expression" dxfId="1763" priority="148">
      <formula>ABS(J$7-J$10)&gt;=1000</formula>
    </cfRule>
  </conditionalFormatting>
  <conditionalFormatting sqref="K8 K11">
    <cfRule type="expression" dxfId="1762" priority="147">
      <formula>ABS(K$7-K$10)&gt;=1000</formula>
    </cfRule>
  </conditionalFormatting>
  <conditionalFormatting sqref="L4:L5 M4:N4 Q4:S4 L8 L11">
    <cfRule type="expression" dxfId="1761" priority="146">
      <formula>ABS(L$7-L$10)&gt;=1000</formula>
    </cfRule>
  </conditionalFormatting>
  <conditionalFormatting sqref="M8 M11">
    <cfRule type="expression" dxfId="1760" priority="145">
      <formula>ABS(M$7-M$10)&gt;=1000</formula>
    </cfRule>
  </conditionalFormatting>
  <conditionalFormatting sqref="N8 N11">
    <cfRule type="expression" dxfId="1759" priority="144">
      <formula>ABS(N$7-N$10)&gt;=1000</formula>
    </cfRule>
  </conditionalFormatting>
  <conditionalFormatting sqref="Q5:Q11">
    <cfRule type="expression" dxfId="1758" priority="143">
      <formula>ABS(Q$7-Q$10)&gt;=1000</formula>
    </cfRule>
  </conditionalFormatting>
  <conditionalFormatting sqref="R5:R11">
    <cfRule type="expression" dxfId="1757" priority="142">
      <formula>ABS(R$7-R$10)&gt;=1000</formula>
    </cfRule>
  </conditionalFormatting>
  <conditionalFormatting sqref="S5:S11">
    <cfRule type="expression" dxfId="1756" priority="141">
      <formula>ABS(S$7-S$10)&gt;=1000</formula>
    </cfRule>
  </conditionalFormatting>
  <conditionalFormatting sqref="T4:T9 T11">
    <cfRule type="expression" dxfId="1755" priority="140">
      <formula>ABS(T$7-T$10)&gt;=1000</formula>
    </cfRule>
  </conditionalFormatting>
  <conditionalFormatting sqref="U4:U9 U11">
    <cfRule type="expression" dxfId="1754" priority="139">
      <formula>ABS(U$7-U$10)&gt;=1000</formula>
    </cfRule>
  </conditionalFormatting>
  <conditionalFormatting sqref="V4:V9 V11">
    <cfRule type="expression" dxfId="1753" priority="138">
      <formula>ABS(V$7-V$10)&gt;=1000</formula>
    </cfRule>
  </conditionalFormatting>
  <conditionalFormatting sqref="W4:W9 W11">
    <cfRule type="expression" dxfId="1752" priority="137">
      <formula>ABS(W$7-W$10)&gt;=1000</formula>
    </cfRule>
  </conditionalFormatting>
  <conditionalFormatting sqref="X4:X9 X11">
    <cfRule type="expression" dxfId="1751" priority="136">
      <formula>ABS(X$7-X$10)&gt;=1000</formula>
    </cfRule>
  </conditionalFormatting>
  <conditionalFormatting sqref="Y4:Y9 Y11">
    <cfRule type="expression" dxfId="1750" priority="135">
      <formula>ABS(Y$7-Y$10)&gt;=1000</formula>
    </cfRule>
  </conditionalFormatting>
  <conditionalFormatting sqref="Z4:Z11">
    <cfRule type="expression" dxfId="1749" priority="134">
      <formula>ABS(Z$7-Z$10)&gt;=1000</formula>
    </cfRule>
  </conditionalFormatting>
  <conditionalFormatting sqref="AA4:AA11">
    <cfRule type="expression" dxfId="1748" priority="133">
      <formula>ABS(AA$7-AA$10)&gt;=1000</formula>
    </cfRule>
  </conditionalFormatting>
  <conditionalFormatting sqref="AB4:AB11">
    <cfRule type="expression" dxfId="1747" priority="132">
      <formula>ABS(AB$7-AB$10)&gt;=1000</formula>
    </cfRule>
  </conditionalFormatting>
  <conditionalFormatting sqref="AC4 AC6:AC11">
    <cfRule type="expression" dxfId="1746" priority="131">
      <formula>ABS(AC$7-AC$10)&gt;=1000</formula>
    </cfRule>
  </conditionalFormatting>
  <conditionalFormatting sqref="AD4 AD6:AD11">
    <cfRule type="expression" dxfId="1745" priority="130">
      <formula>ABS(AD$7-AD$10)&gt;=1000</formula>
    </cfRule>
  </conditionalFormatting>
  <conditionalFormatting sqref="AE4 AE6:AE11">
    <cfRule type="expression" dxfId="1744" priority="129">
      <formula>ABS(AE$7-AE$10)&gt;=1000</formula>
    </cfRule>
  </conditionalFormatting>
  <conditionalFormatting sqref="D13:D20">
    <cfRule type="expression" dxfId="1743" priority="128">
      <formula>ABS(D$16-D$19)&gt;=1000</formula>
    </cfRule>
  </conditionalFormatting>
  <conditionalFormatting sqref="E13:E20">
    <cfRule type="expression" dxfId="1742" priority="127">
      <formula>ABS(E$16-E$19)&gt;=1000</formula>
    </cfRule>
  </conditionalFormatting>
  <conditionalFormatting sqref="F13 F15:F20">
    <cfRule type="expression" dxfId="1741" priority="126">
      <formula>ABS(F$16-F$19)&gt;=1000</formula>
    </cfRule>
  </conditionalFormatting>
  <conditionalFormatting sqref="G13:G20">
    <cfRule type="expression" dxfId="1740" priority="125">
      <formula>ABS(G$16-G$19)&gt;=1000</formula>
    </cfRule>
  </conditionalFormatting>
  <conditionalFormatting sqref="H13 H15:H20">
    <cfRule type="expression" dxfId="1739" priority="124">
      <formula>ABS(H$16-H$19)&gt;=1000</formula>
    </cfRule>
  </conditionalFormatting>
  <conditionalFormatting sqref="I13:I20">
    <cfRule type="expression" dxfId="1738" priority="123">
      <formula>ABS(I$16-I$19)&gt;=1000</formula>
    </cfRule>
  </conditionalFormatting>
  <conditionalFormatting sqref="J13:J20">
    <cfRule type="expression" dxfId="1737" priority="122">
      <formula>ABS(J$16-J$19)&gt;=1000</formula>
    </cfRule>
  </conditionalFormatting>
  <conditionalFormatting sqref="L13:L20">
    <cfRule type="expression" dxfId="1736" priority="121">
      <formula>ABS(L$16-L$19)&gt;=1000</formula>
    </cfRule>
  </conditionalFormatting>
  <conditionalFormatting sqref="M13 M15 M17:M18 M20">
    <cfRule type="expression" dxfId="1735" priority="120">
      <formula>ABS(M$16-M$19)&gt;=1000</formula>
    </cfRule>
  </conditionalFormatting>
  <conditionalFormatting sqref="N13:N20">
    <cfRule type="expression" dxfId="1734" priority="119">
      <formula>ABS(N$16-N$19)&gt;=1000</formula>
    </cfRule>
  </conditionalFormatting>
  <conditionalFormatting sqref="O13:O20">
    <cfRule type="expression" dxfId="1733" priority="118">
      <formula>ABS(O$16-O$19)&gt;=1000</formula>
    </cfRule>
  </conditionalFormatting>
  <conditionalFormatting sqref="P13:P20">
    <cfRule type="expression" dxfId="1732" priority="117">
      <formula>ABS(P$16-P$19)&gt;=1000</formula>
    </cfRule>
  </conditionalFormatting>
  <conditionalFormatting sqref="Q13 Q15:Q20">
    <cfRule type="expression" dxfId="1731" priority="116">
      <formula>ABS(Q$16-Q$19)&gt;=1000</formula>
    </cfRule>
  </conditionalFormatting>
  <conditionalFormatting sqref="R13:R20">
    <cfRule type="expression" dxfId="1730" priority="115">
      <formula>ABS(R$16-R$19)&gt;=1000</formula>
    </cfRule>
  </conditionalFormatting>
  <conditionalFormatting sqref="S13:S20">
    <cfRule type="expression" dxfId="1729" priority="114">
      <formula>ABS(S$16-S$19)&gt;=1000</formula>
    </cfRule>
  </conditionalFormatting>
  <conditionalFormatting sqref="T13:T20">
    <cfRule type="expression" dxfId="1728" priority="113">
      <formula>ABS(T$16-T$19)&gt;=1000</formula>
    </cfRule>
  </conditionalFormatting>
  <conditionalFormatting sqref="U13:U20">
    <cfRule type="expression" dxfId="1727" priority="112">
      <formula>ABS(U$16-U$19)&gt;=1000</formula>
    </cfRule>
  </conditionalFormatting>
  <conditionalFormatting sqref="V13:V20">
    <cfRule type="expression" dxfId="1726" priority="111">
      <formula>ABS(V$16-V$19)&gt;=1000</formula>
    </cfRule>
  </conditionalFormatting>
  <conditionalFormatting sqref="W13 W20 W15:W18">
    <cfRule type="expression" dxfId="1725" priority="110">
      <formula>ABS(W$16-W$19)&gt;=1000</formula>
    </cfRule>
  </conditionalFormatting>
  <conditionalFormatting sqref="X13 X15:X20 Y19">
    <cfRule type="expression" dxfId="1724" priority="109">
      <formula>ABS(X$16-X$19)&gt;=1000</formula>
    </cfRule>
  </conditionalFormatting>
  <conditionalFormatting sqref="Y13 Y15:Y18 Y20">
    <cfRule type="expression" dxfId="1723" priority="108">
      <formula>ABS(Y$16-Y$19)&gt;=1000</formula>
    </cfRule>
  </conditionalFormatting>
  <conditionalFormatting sqref="Z13:Z20">
    <cfRule type="expression" dxfId="1722" priority="107">
      <formula>ABS(Z$16-Z$19)&gt;=1000</formula>
    </cfRule>
  </conditionalFormatting>
  <conditionalFormatting sqref="AA13:AA20">
    <cfRule type="expression" dxfId="1721" priority="106">
      <formula>ABS(AA$16-AA$19)&gt;=1000</formula>
    </cfRule>
  </conditionalFormatting>
  <conditionalFormatting sqref="AB13 AB15:AB20">
    <cfRule type="expression" dxfId="1720" priority="105">
      <formula>ABS(AB$16-AB$19)&gt;=1000</formula>
    </cfRule>
  </conditionalFormatting>
  <conditionalFormatting sqref="AC13 AC15:AC20">
    <cfRule type="expression" dxfId="1719" priority="104">
      <formula>ABS(AC$16-AC$19)&gt;=1000</formula>
    </cfRule>
  </conditionalFormatting>
  <conditionalFormatting sqref="AD13:AD20">
    <cfRule type="expression" dxfId="1718" priority="103">
      <formula>ABS(AD$16-AD$19)&gt;=1000</formula>
    </cfRule>
  </conditionalFormatting>
  <conditionalFormatting sqref="AE13:AE20">
    <cfRule type="expression" dxfId="1717" priority="102">
      <formula>ABS(AE$16-AE$19)&gt;=1000</formula>
    </cfRule>
  </conditionalFormatting>
  <conditionalFormatting sqref="D22:D29">
    <cfRule type="expression" dxfId="1716" priority="101">
      <formula>ABS(D$25-D$28)&gt;=1000</formula>
    </cfRule>
  </conditionalFormatting>
  <conditionalFormatting sqref="E22:E29">
    <cfRule type="expression" dxfId="1715" priority="100">
      <formula>ABS(E$25-E$28)&gt;=1000</formula>
    </cfRule>
  </conditionalFormatting>
  <conditionalFormatting sqref="F22:F29">
    <cfRule type="expression" dxfId="1714" priority="99">
      <formula>ABS(F$25-F$28)&gt;=1000</formula>
    </cfRule>
  </conditionalFormatting>
  <conditionalFormatting sqref="G22:G29">
    <cfRule type="expression" dxfId="1713" priority="98">
      <formula>ABS(G$25-G$28)&gt;=1000</formula>
    </cfRule>
  </conditionalFormatting>
  <conditionalFormatting sqref="H22:H29">
    <cfRule type="expression" dxfId="1712" priority="97">
      <formula>ABS(H$25-H$28)&gt;=1000</formula>
    </cfRule>
  </conditionalFormatting>
  <conditionalFormatting sqref="I22 I24:I29">
    <cfRule type="expression" dxfId="1711" priority="96">
      <formula>ABS(I$25-I$28)&gt;=1000</formula>
    </cfRule>
  </conditionalFormatting>
  <conditionalFormatting sqref="J22:J29 K22">
    <cfRule type="expression" dxfId="1710" priority="95">
      <formula>ABS(J$25-J$28)&gt;=1000</formula>
    </cfRule>
  </conditionalFormatting>
  <conditionalFormatting sqref="K23:K29 L25 L28">
    <cfRule type="expression" dxfId="1709" priority="94">
      <formula>ABS(K$25-K$28)&gt;=1000</formula>
    </cfRule>
  </conditionalFormatting>
  <conditionalFormatting sqref="L22 L26:L27 L29 L24">
    <cfRule type="expression" dxfId="1708" priority="93">
      <formula>ABS(L$25-L$28)&gt;=1000</formula>
    </cfRule>
  </conditionalFormatting>
  <conditionalFormatting sqref="M22:M29">
    <cfRule type="expression" dxfId="1707" priority="92">
      <formula>ABS(M$25-M$28)&gt;=1000</formula>
    </cfRule>
  </conditionalFormatting>
  <conditionalFormatting sqref="N22:N29">
    <cfRule type="expression" dxfId="1706" priority="91">
      <formula>ABS(N$25-N$28)&gt;=1000</formula>
    </cfRule>
  </conditionalFormatting>
  <conditionalFormatting sqref="O22:O29">
    <cfRule type="expression" dxfId="1705" priority="90">
      <formula>ABS(O$25-O$28)&gt;=1000</formula>
    </cfRule>
  </conditionalFormatting>
  <conditionalFormatting sqref="P22:P29">
    <cfRule type="expression" dxfId="1704" priority="89">
      <formula>ABS(P$25-P$28)&gt;=1000</formula>
    </cfRule>
  </conditionalFormatting>
  <conditionalFormatting sqref="Q22:Q29">
    <cfRule type="expression" dxfId="1703" priority="88">
      <formula>ABS(Q$25-Q$28)&gt;=1000</formula>
    </cfRule>
  </conditionalFormatting>
  <conditionalFormatting sqref="R22:R29">
    <cfRule type="expression" dxfId="1702" priority="87">
      <formula>ABS(R$25-R$28)&gt;=1000</formula>
    </cfRule>
  </conditionalFormatting>
  <conditionalFormatting sqref="S22:S29">
    <cfRule type="expression" dxfId="1701" priority="86">
      <formula>ABS(S$25-S$28)&gt;=1000</formula>
    </cfRule>
  </conditionalFormatting>
  <conditionalFormatting sqref="T22:T29">
    <cfRule type="expression" dxfId="1700" priority="85">
      <formula>ABS(T$25-T$28)&gt;=1000</formula>
    </cfRule>
  </conditionalFormatting>
  <conditionalFormatting sqref="U22:U29">
    <cfRule type="expression" dxfId="1699" priority="84">
      <formula>ABS(U$25-U$28)&gt;=1000</formula>
    </cfRule>
  </conditionalFormatting>
  <conditionalFormatting sqref="V22:V29">
    <cfRule type="expression" dxfId="1698" priority="83">
      <formula>ABS(V$25-V$28)&gt;=1000</formula>
    </cfRule>
  </conditionalFormatting>
  <conditionalFormatting sqref="W22:W29">
    <cfRule type="expression" dxfId="1697" priority="82">
      <formula>ABS(W$25-W$28)&gt;=1000</formula>
    </cfRule>
  </conditionalFormatting>
  <conditionalFormatting sqref="X22:X29">
    <cfRule type="expression" dxfId="1696" priority="81">
      <formula>ABS(X$25-X$28)&gt;=1000</formula>
    </cfRule>
  </conditionalFormatting>
  <conditionalFormatting sqref="Y22:Y29">
    <cfRule type="expression" dxfId="1695" priority="80">
      <formula>ABS(Y$25-Y$28)&gt;=1000</formula>
    </cfRule>
  </conditionalFormatting>
  <conditionalFormatting sqref="I23">
    <cfRule type="expression" dxfId="1694" priority="79">
      <formula>ABS(I$25-I$28)&gt;=1000</formula>
    </cfRule>
  </conditionalFormatting>
  <conditionalFormatting sqref="Q14">
    <cfRule type="expression" dxfId="1693" priority="78">
      <formula>ABS(Q$16-Q$19)&gt;=1000</formula>
    </cfRule>
  </conditionalFormatting>
  <conditionalFormatting sqref="W14">
    <cfRule type="expression" dxfId="1692" priority="77">
      <formula>ABS(W$16-W$19)&gt;=1000</formula>
    </cfRule>
  </conditionalFormatting>
  <conditionalFormatting sqref="X14">
    <cfRule type="expression" dxfId="1691" priority="76">
      <formula>ABS(X$16-X$19)&gt;=1000</formula>
    </cfRule>
  </conditionalFormatting>
  <conditionalFormatting sqref="T10:Y10">
    <cfRule type="expression" dxfId="1690" priority="75">
      <formula>ABS(T$7-T$10)&gt;=1000</formula>
    </cfRule>
  </conditionalFormatting>
  <conditionalFormatting sqref="W19">
    <cfRule type="expression" dxfId="1689" priority="74">
      <formula>ABS(W$16-W$19)&gt;=1000</formula>
    </cfRule>
  </conditionalFormatting>
  <conditionalFormatting sqref="AC5">
    <cfRule type="expression" dxfId="1688" priority="73">
      <formula>ABS(AC$7-AC$10)&gt;=1000</formula>
    </cfRule>
  </conditionalFormatting>
  <conditionalFormatting sqref="M14">
    <cfRule type="expression" dxfId="1687" priority="72">
      <formula>ABS(M$16-M$19)&gt;=1000</formula>
    </cfRule>
  </conditionalFormatting>
  <conditionalFormatting sqref="M16">
    <cfRule type="expression" dxfId="1686" priority="71">
      <formula>ABS(M$16-M$19)&gt;=1000</formula>
    </cfRule>
  </conditionalFormatting>
  <conditionalFormatting sqref="M19">
    <cfRule type="expression" dxfId="1685" priority="70">
      <formula>ABS(M$16-M$19)&gt;=1000</formula>
    </cfRule>
  </conditionalFormatting>
  <conditionalFormatting sqref="K13:K20">
    <cfRule type="expression" dxfId="1684" priority="69">
      <formula>ABS(K$16-K$19)&gt;=1000</formula>
    </cfRule>
  </conditionalFormatting>
  <conditionalFormatting sqref="AB14:AC14">
    <cfRule type="expression" dxfId="1683" priority="68">
      <formula>ABS(AB$16-AB$19)&gt;=1000</formula>
    </cfRule>
  </conditionalFormatting>
  <conditionalFormatting sqref="M5">
    <cfRule type="expression" dxfId="1682" priority="67">
      <formula>ABS(M$7-M$10)&gt;=1000</formula>
    </cfRule>
  </conditionalFormatting>
  <conditionalFormatting sqref="N5">
    <cfRule type="expression" dxfId="1681" priority="66">
      <formula>ABS(N$7-N$10)&gt;=1000</formula>
    </cfRule>
  </conditionalFormatting>
  <conditionalFormatting sqref="L23">
    <cfRule type="expression" dxfId="1680" priority="65">
      <formula>ABS(L$25-L$28)&gt;=1000</formula>
    </cfRule>
  </conditionalFormatting>
  <conditionalFormatting sqref="Y14">
    <cfRule type="expression" dxfId="1679" priority="64">
      <formula>ABS(Y$16-Y$19)&gt;=1000</formula>
    </cfRule>
  </conditionalFormatting>
  <conditionalFormatting sqref="F14">
    <cfRule type="expression" dxfId="1678" priority="63">
      <formula>ABS(F$16-F$19)&gt;=1000</formula>
    </cfRule>
  </conditionalFormatting>
  <conditionalFormatting sqref="H14">
    <cfRule type="expression" dxfId="1677" priority="62">
      <formula>ABS(H$16-H$19)&gt;=1000</formula>
    </cfRule>
  </conditionalFormatting>
  <conditionalFormatting sqref="AD5">
    <cfRule type="expression" dxfId="1676" priority="61">
      <formula>ABS(AD$7-AD$10)&gt;=1000</formula>
    </cfRule>
  </conditionalFormatting>
  <conditionalFormatting sqref="AE5">
    <cfRule type="expression" dxfId="1675" priority="60">
      <formula>ABS(AE$7-AE$10)&gt;=1000</formula>
    </cfRule>
  </conditionalFormatting>
  <conditionalFormatting sqref="D5">
    <cfRule type="expression" dxfId="1674" priority="59">
      <formula>ABS(D$7-D$10)&gt;=1000</formula>
    </cfRule>
  </conditionalFormatting>
  <conditionalFormatting sqref="E5:G5">
    <cfRule type="expression" dxfId="1673" priority="58">
      <formula>ABS(E$7-E$10)&gt;=1000</formula>
    </cfRule>
  </conditionalFormatting>
  <conditionalFormatting sqref="H5">
    <cfRule type="expression" dxfId="1672" priority="57">
      <formula>ABS(H$7-H$10)&gt;=1000</formula>
    </cfRule>
  </conditionalFormatting>
  <conditionalFormatting sqref="O4:P4">
    <cfRule type="expression" dxfId="1671" priority="56">
      <formula>ABS(O$7-O$10)&gt;=1000</formula>
    </cfRule>
  </conditionalFormatting>
  <conditionalFormatting sqref="O5 O8 O11">
    <cfRule type="expression" dxfId="1670" priority="55">
      <formula>ABS(O$7-O$10)&gt;=1000</formula>
    </cfRule>
  </conditionalFormatting>
  <conditionalFormatting sqref="P8 P11">
    <cfRule type="expression" dxfId="1669" priority="54">
      <formula>ABS(P$7-P$10)&gt;=1000</formula>
    </cfRule>
  </conditionalFormatting>
  <conditionalFormatting sqref="J5">
    <cfRule type="expression" dxfId="1668" priority="52">
      <formula>ABS(J$7-J$10)&gt;=1000</formula>
    </cfRule>
  </conditionalFormatting>
  <conditionalFormatting sqref="K5">
    <cfRule type="expression" dxfId="1667" priority="51">
      <formula>ABS(K$7-K$10)&gt;=1000</formula>
    </cfRule>
  </conditionalFormatting>
  <conditionalFormatting sqref="H6">
    <cfRule type="expression" dxfId="1649" priority="33">
      <formula>ABS(H$7-H$10)&gt;=1000</formula>
    </cfRule>
  </conditionalFormatting>
  <conditionalFormatting sqref="J6">
    <cfRule type="expression" dxfId="1648" priority="32">
      <formula>ABS(J$7-J$10)&gt;=1000</formula>
    </cfRule>
  </conditionalFormatting>
  <conditionalFormatting sqref="K6">
    <cfRule type="expression" dxfId="1647" priority="31">
      <formula>ABS(K$7-K$10)&gt;=1000</formula>
    </cfRule>
  </conditionalFormatting>
  <conditionalFormatting sqref="L6">
    <cfRule type="expression" dxfId="1646" priority="30">
      <formula>ABS(L$7-L$10)&gt;=1000</formula>
    </cfRule>
  </conditionalFormatting>
  <conditionalFormatting sqref="M6">
    <cfRule type="expression" dxfId="1645" priority="29">
      <formula>ABS(M$7-M$10)&gt;=1000</formula>
    </cfRule>
  </conditionalFormatting>
  <conditionalFormatting sqref="N6">
    <cfRule type="expression" dxfId="1644" priority="28">
      <formula>ABS(N$7-N$10)&gt;=1000</formula>
    </cfRule>
  </conditionalFormatting>
  <conditionalFormatting sqref="O6">
    <cfRule type="expression" dxfId="1643" priority="27">
      <formula>ABS(O$7-O$10)&gt;=1000</formula>
    </cfRule>
  </conditionalFormatting>
  <conditionalFormatting sqref="P6">
    <cfRule type="expression" dxfId="1642" priority="26">
      <formula>ABS(P$7-P$10)&gt;=1000</formula>
    </cfRule>
  </conditionalFormatting>
  <conditionalFormatting sqref="I6">
    <cfRule type="expression" dxfId="1641" priority="25">
      <formula>ABS(I$7-I$10)&gt;=1000</formula>
    </cfRule>
  </conditionalFormatting>
  <conditionalFormatting sqref="H9">
    <cfRule type="expression" dxfId="1640" priority="24">
      <formula>ABS(H$7-H$10)&gt;=1000</formula>
    </cfRule>
  </conditionalFormatting>
  <conditionalFormatting sqref="J9">
    <cfRule type="expression" dxfId="1639" priority="23">
      <formula>ABS(J$7-J$10)&gt;=1000</formula>
    </cfRule>
  </conditionalFormatting>
  <conditionalFormatting sqref="K9">
    <cfRule type="expression" dxfId="1638" priority="22">
      <formula>ABS(K$7-K$10)&gt;=1000</formula>
    </cfRule>
  </conditionalFormatting>
  <conditionalFormatting sqref="L9">
    <cfRule type="expression" dxfId="1637" priority="21">
      <formula>ABS(L$7-L$10)&gt;=1000</formula>
    </cfRule>
  </conditionalFormatting>
  <conditionalFormatting sqref="M9">
    <cfRule type="expression" dxfId="1636" priority="20">
      <formula>ABS(M$7-M$10)&gt;=1000</formula>
    </cfRule>
  </conditionalFormatting>
  <conditionalFormatting sqref="N9">
    <cfRule type="expression" dxfId="1635" priority="19">
      <formula>ABS(N$7-N$10)&gt;=1000</formula>
    </cfRule>
  </conditionalFormatting>
  <conditionalFormatting sqref="O9">
    <cfRule type="expression" dxfId="1634" priority="18">
      <formula>ABS(O$7-O$10)&gt;=1000</formula>
    </cfRule>
  </conditionalFormatting>
  <conditionalFormatting sqref="P9">
    <cfRule type="expression" dxfId="1633" priority="17">
      <formula>ABS(P$7-P$10)&gt;=1000</formula>
    </cfRule>
  </conditionalFormatting>
  <conditionalFormatting sqref="I9">
    <cfRule type="expression" dxfId="1632" priority="16">
      <formula>ABS(I$7-I$10)&gt;=1000</formula>
    </cfRule>
  </conditionalFormatting>
  <conditionalFormatting sqref="P5">
    <cfRule type="expression" dxfId="1631" priority="15">
      <formula>ABS(P$7-P$10)&gt;=1000</formula>
    </cfRule>
  </conditionalFormatting>
  <conditionalFormatting sqref="I4">
    <cfRule type="expression" dxfId="1630" priority="14">
      <formula>ABS(I$7-I$10)&gt;=1000</formula>
    </cfRule>
  </conditionalFormatting>
  <conditionalFormatting sqref="I5">
    <cfRule type="expression" dxfId="1629" priority="13">
      <formula>ABS(I$7-I$10)&gt;=1000</formula>
    </cfRule>
  </conditionalFormatting>
  <conditionalFormatting sqref="D7:G7">
    <cfRule type="expression" dxfId="24" priority="10">
      <formula>ABS(D$7-D$10)&gt;=1000</formula>
    </cfRule>
  </conditionalFormatting>
  <conditionalFormatting sqref="H7:L7">
    <cfRule type="expression" dxfId="23" priority="9">
      <formula>ABS(H$7-H$10)&gt;=1000</formula>
    </cfRule>
  </conditionalFormatting>
  <conditionalFormatting sqref="M7">
    <cfRule type="expression" dxfId="22" priority="8">
      <formula>ABS(M$7-M$10)&gt;=1000</formula>
    </cfRule>
  </conditionalFormatting>
  <conditionalFormatting sqref="O7:P7">
    <cfRule type="expression" dxfId="21" priority="7">
      <formula>ABS(O$7-O$10)&gt;=1000</formula>
    </cfRule>
  </conditionalFormatting>
  <conditionalFormatting sqref="N7">
    <cfRule type="expression" dxfId="20" priority="6">
      <formula>ABS(N$7-N$10)&gt;=1000</formula>
    </cfRule>
  </conditionalFormatting>
  <conditionalFormatting sqref="D10:G10">
    <cfRule type="expression" dxfId="19" priority="5">
      <formula>ABS(D$7-D$10)&gt;=1000</formula>
    </cfRule>
  </conditionalFormatting>
  <conditionalFormatting sqref="H10:L10">
    <cfRule type="expression" dxfId="18" priority="4">
      <formula>ABS(H$7-H$10)&gt;=1000</formula>
    </cfRule>
  </conditionalFormatting>
  <conditionalFormatting sqref="M10">
    <cfRule type="expression" dxfId="17" priority="3">
      <formula>ABS(M$7-M$10)&gt;=1000</formula>
    </cfRule>
  </conditionalFormatting>
  <conditionalFormatting sqref="O10:P10">
    <cfRule type="expression" dxfId="16" priority="2">
      <formula>ABS(O$7-O$10)&gt;=1000</formula>
    </cfRule>
  </conditionalFormatting>
  <conditionalFormatting sqref="N10">
    <cfRule type="expression" dxfId="1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39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0">
    <pageSetUpPr fitToPage="1"/>
  </sheetPr>
  <dimension ref="A1:BA223"/>
  <sheetViews>
    <sheetView view="pageBreakPreview" zoomScale="110" zoomScaleNormal="100" zoomScaleSheetLayoutView="110" workbookViewId="0">
      <selection activeCell="P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47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176</v>
      </c>
      <c r="I4" s="67" t="s" ph="1">
        <v>177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27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87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00" t="s" ph="1">
        <v>54</v>
      </c>
      <c r="D6" s="151">
        <v>0.37280000000000002</v>
      </c>
      <c r="E6" s="151">
        <v>0.99550000000000005</v>
      </c>
      <c r="F6" s="151">
        <v>0</v>
      </c>
      <c r="G6" s="151">
        <v>0</v>
      </c>
      <c r="H6" s="70">
        <v>3392</v>
      </c>
      <c r="I6" s="70">
        <v>960</v>
      </c>
      <c r="J6" s="70">
        <v>3150</v>
      </c>
      <c r="K6" s="70">
        <v>0</v>
      </c>
      <c r="L6" s="70">
        <v>3139</v>
      </c>
      <c r="M6" s="70">
        <v>929</v>
      </c>
      <c r="N6" s="70">
        <v>4278</v>
      </c>
      <c r="O6" s="70">
        <v>2788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55</v>
      </c>
      <c r="D7" s="72" ph="1">
        <f>((D6*5885)*4.48)*LOOKUP(D8,密度!$A$2:$A$50,密度!$B$2:$B$50)</f>
        <v>7594.7117818880024</v>
      </c>
      <c r="E7" s="72" ph="1">
        <f>((E6*5885)*4.48)*LOOKUP(E8,密度!$A$2:$A$50,密度!$B$2:$B$50)</f>
        <v>20301.403522400004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37058.122081229994</v>
      </c>
      <c r="I7" s="72" ph="1">
        <f>IF(I6&lt;=0,0,IF(I6&lt;=745,PI()*(5.3235*(I6/1000)^2-(4/3)*(I6/1000)^3),7.55+15.2053*((I6-745)/1000))*LOOKUP(I8,密度!$A$2:$A$50,密度!$B$2:$B$50)*1000)</f>
        <v>8397.8160798999979</v>
      </c>
      <c r="J7" s="72" ph="1">
        <f>IF(J6&lt;=0,0,IF(J6&lt;=745,PI()*(5.3235*(J6/1000)^2-(4/3)*(J6/1000)^3),7.55+15.2053*((J6-745)/1000))*LOOKUP(J8,密度!$A$2:$A$50,密度!$B$2:$B$50)*1000)</f>
        <v>34355.267899549995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64513.098402000003</v>
      </c>
      <c r="M7" s="72" ph="1">
        <f>M6*26.42*1</f>
        <v>24544.18</v>
      </c>
      <c r="N7" s="72" ph="1">
        <f>N6*18.32*LOOKUP(N8,密度!$A$2:$A$50,密度!$B$2:$B$50)</f>
        <v>60895.78992000001</v>
      </c>
      <c r="O7" s="72" ph="1">
        <f>O6*81.71*LOOKUP(O8,密度!$A$2:$A$50,密度!$B$2:$B$50)</f>
        <v>177393.68467599998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56</v>
      </c>
      <c r="D8" s="73">
        <v>33</v>
      </c>
      <c r="E8" s="73">
        <v>32</v>
      </c>
      <c r="F8" s="73">
        <v>29</v>
      </c>
      <c r="G8" s="73">
        <v>29</v>
      </c>
      <c r="H8" s="73">
        <v>30</v>
      </c>
      <c r="I8" s="73">
        <v>29</v>
      </c>
      <c r="J8" s="73">
        <v>26</v>
      </c>
      <c r="K8" s="73">
        <v>28</v>
      </c>
      <c r="L8" s="73">
        <v>27</v>
      </c>
      <c r="M8" s="73">
        <v>25</v>
      </c>
      <c r="N8" s="73">
        <v>28</v>
      </c>
      <c r="O8" s="73">
        <v>26</v>
      </c>
      <c r="P8" s="73">
        <v>27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00" t="s" ph="1">
        <v>57</v>
      </c>
      <c r="D9" s="151">
        <v>0.96309999999999996</v>
      </c>
      <c r="E9" s="151">
        <v>0.2286</v>
      </c>
      <c r="F9" s="151">
        <v>0</v>
      </c>
      <c r="G9" s="151">
        <v>0</v>
      </c>
      <c r="H9" s="70">
        <v>4718</v>
      </c>
      <c r="I9" s="70">
        <v>958</v>
      </c>
      <c r="J9" s="70">
        <v>0</v>
      </c>
      <c r="K9" s="70">
        <v>0</v>
      </c>
      <c r="L9" s="70">
        <v>4353</v>
      </c>
      <c r="M9" s="70">
        <v>952</v>
      </c>
      <c r="N9" s="70">
        <v>2678</v>
      </c>
      <c r="O9" s="70">
        <v>2584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00" t="s" ph="1">
        <v>55</v>
      </c>
      <c r="D10" s="72" ph="1">
        <f>((D9*5885)*4.48)*LOOKUP(D11,密度!$A$2:$A$50,密度!$B$2:$B$50)</f>
        <v>19620.351172576004</v>
      </c>
      <c r="E10" s="72" ph="1">
        <f>((E9*5885)*4.48)*LOOKUP(E11,密度!$A$2:$A$50,密度!$B$2:$B$50)</f>
        <v>4661.8793020800003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52628.732703359994</v>
      </c>
      <c r="I10" s="72" ph="1">
        <f>IF(I9&lt;=0,0,IF(I9&lt;=745,PI()*(5.3235*(I9/1000)^2-(4/3)*(I9/1000)^3),7.55+15.2053*((I9-745)/1000))*LOOKUP(I11,密度!$A$2:$A$50,密度!$B$2:$B$50)*1000)</f>
        <v>8364.5015161699994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89359.864020000008</v>
      </c>
      <c r="M10" s="72" ph="1">
        <f>M9*26.42*1</f>
        <v>25151.84</v>
      </c>
      <c r="N10" s="72" ph="1">
        <f>N9*18.32*LOOKUP(N11,密度!$A$2:$A$50,密度!$B$2:$B$50)</f>
        <v>38081.117151999999</v>
      </c>
      <c r="O10" s="72" ph="1">
        <f>O9*81.71*LOOKUP(O11,密度!$A$2:$A$50,密度!$B$2:$B$50)</f>
        <v>164413.65896799997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200" t="s" ph="1">
        <v>56</v>
      </c>
      <c r="D11" s="73">
        <v>33</v>
      </c>
      <c r="E11" s="73">
        <v>32</v>
      </c>
      <c r="F11" s="73">
        <v>29</v>
      </c>
      <c r="G11" s="73">
        <v>29</v>
      </c>
      <c r="H11" s="73">
        <v>31</v>
      </c>
      <c r="I11" s="73">
        <v>30</v>
      </c>
      <c r="J11" s="73">
        <v>31</v>
      </c>
      <c r="K11" s="73">
        <v>29</v>
      </c>
      <c r="L11" s="73">
        <v>28</v>
      </c>
      <c r="M11" s="73">
        <v>28</v>
      </c>
      <c r="N11" s="73">
        <v>29</v>
      </c>
      <c r="O11" s="73">
        <v>26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200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00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00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00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00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00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00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00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79" t="s" ph="1">
        <v>26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200" t="s" ph="1">
        <v>1</v>
      </c>
      <c r="F32" s="201" t="s" ph="1">
        <v>31</v>
      </c>
      <c r="G32" s="96" t="s" ph="1">
        <v>0</v>
      </c>
      <c r="H32" s="200" t="s" ph="1">
        <v>1</v>
      </c>
      <c r="I32" s="201" t="s" ph="1">
        <v>31</v>
      </c>
      <c r="J32" s="96" t="s" ph="1">
        <v>0</v>
      </c>
      <c r="K32" s="200" t="s" ph="1">
        <v>1</v>
      </c>
      <c r="L32" s="201" t="s" ph="1">
        <v>31</v>
      </c>
      <c r="M32" s="96" t="s" ph="1">
        <v>0</v>
      </c>
      <c r="N32" s="200" t="s" ph="1">
        <v>1</v>
      </c>
      <c r="O32" s="201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00" t="s" ph="1">
        <v>1</v>
      </c>
      <c r="U32" s="98" t="s" ph="1">
        <v>31</v>
      </c>
      <c r="V32" s="96" t="s" ph="1">
        <v>0</v>
      </c>
      <c r="W32" s="200" t="s" ph="1">
        <v>1</v>
      </c>
      <c r="X32" s="98" t="s" ph="1">
        <v>31</v>
      </c>
      <c r="Y32" s="99" t="s" ph="1">
        <v>0</v>
      </c>
      <c r="Z32" s="200" t="s" ph="1">
        <v>1</v>
      </c>
      <c r="AA32" s="201" t="s" ph="1">
        <v>31</v>
      </c>
      <c r="AB32" s="96" t="s" ph="1">
        <v>41</v>
      </c>
      <c r="AC32" s="200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164413.65896799997</v>
      </c>
      <c r="E33" s="245" ph="1">
        <f>H10+I10+J10+K10</f>
        <v>60993.234219529993</v>
      </c>
      <c r="F33" s="269" ph="1">
        <f>L10+N10</f>
        <v>127440.981172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202" t="s" ph="1">
        <v>62</v>
      </c>
      <c r="AA36" s="202" ph="1"/>
      <c r="AB36" s="231" t="s" ph="1">
        <v>67</v>
      </c>
      <c r="AC36" s="231" ph="1"/>
      <c r="AD36" s="231" ph="1"/>
      <c r="AE36" s="231" ph="1"/>
    </row>
    <row r="37" spans="1:31" s="202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1626" priority="166">
      <formula>ABS(D$7-D$10)&gt;=1000</formula>
    </cfRule>
  </conditionalFormatting>
  <conditionalFormatting sqref="E4 E6 E8:E9 E11">
    <cfRule type="expression" dxfId="1625" priority="165">
      <formula>ABS(E$7-E$10)&gt;=1000</formula>
    </cfRule>
  </conditionalFormatting>
  <conditionalFormatting sqref="F4 F6 F8:F9 F11">
    <cfRule type="expression" dxfId="1624" priority="164">
      <formula>ABS(F$7-F$10)&gt;=1000</formula>
    </cfRule>
  </conditionalFormatting>
  <conditionalFormatting sqref="G4 G6 G8:G9 G11">
    <cfRule type="expression" dxfId="1623" priority="163">
      <formula>ABS(G$7-G$10)&gt;=1000</formula>
    </cfRule>
  </conditionalFormatting>
  <conditionalFormatting sqref="H4:K4 H8 H11">
    <cfRule type="expression" dxfId="1622" priority="162">
      <formula>ABS(H$7-H$10)&gt;=1000</formula>
    </cfRule>
  </conditionalFormatting>
  <conditionalFormatting sqref="I8 I11">
    <cfRule type="expression" dxfId="1621" priority="161">
      <formula>ABS(I$7-I$10)&gt;=1000</formula>
    </cfRule>
  </conditionalFormatting>
  <conditionalFormatting sqref="J8 J11">
    <cfRule type="expression" dxfId="1620" priority="160">
      <formula>ABS(J$7-J$10)&gt;=1000</formula>
    </cfRule>
  </conditionalFormatting>
  <conditionalFormatting sqref="K8 K11">
    <cfRule type="expression" dxfId="1619" priority="159">
      <formula>ABS(K$7-K$10)&gt;=1000</formula>
    </cfRule>
  </conditionalFormatting>
  <conditionalFormatting sqref="L4:L5 M4:N4 Q4:S4 L8 L11">
    <cfRule type="expression" dxfId="1618" priority="158">
      <formula>ABS(L$7-L$10)&gt;=1000</formula>
    </cfRule>
  </conditionalFormatting>
  <conditionalFormatting sqref="M8 M11">
    <cfRule type="expression" dxfId="1617" priority="157">
      <formula>ABS(M$7-M$10)&gt;=1000</formula>
    </cfRule>
  </conditionalFormatting>
  <conditionalFormatting sqref="N8 N11">
    <cfRule type="expression" dxfId="1616" priority="156">
      <formula>ABS(N$7-N$10)&gt;=1000</formula>
    </cfRule>
  </conditionalFormatting>
  <conditionalFormatting sqref="Q5:Q11">
    <cfRule type="expression" dxfId="1615" priority="155">
      <formula>ABS(Q$7-Q$10)&gt;=1000</formula>
    </cfRule>
  </conditionalFormatting>
  <conditionalFormatting sqref="R5:R11">
    <cfRule type="expression" dxfId="1614" priority="154">
      <formula>ABS(R$7-R$10)&gt;=1000</formula>
    </cfRule>
  </conditionalFormatting>
  <conditionalFormatting sqref="S5:S11">
    <cfRule type="expression" dxfId="1613" priority="153">
      <formula>ABS(S$7-S$10)&gt;=1000</formula>
    </cfRule>
  </conditionalFormatting>
  <conditionalFormatting sqref="T4:T9 T11">
    <cfRule type="expression" dxfId="1612" priority="152">
      <formula>ABS(T$7-T$10)&gt;=1000</formula>
    </cfRule>
  </conditionalFormatting>
  <conditionalFormatting sqref="U4:U9 U11">
    <cfRule type="expression" dxfId="1611" priority="151">
      <formula>ABS(U$7-U$10)&gt;=1000</formula>
    </cfRule>
  </conditionalFormatting>
  <conditionalFormatting sqref="V4:V9 V11">
    <cfRule type="expression" dxfId="1610" priority="150">
      <formula>ABS(V$7-V$10)&gt;=1000</formula>
    </cfRule>
  </conditionalFormatting>
  <conditionalFormatting sqref="W4:W9 W11">
    <cfRule type="expression" dxfId="1609" priority="149">
      <formula>ABS(W$7-W$10)&gt;=1000</formula>
    </cfRule>
  </conditionalFormatting>
  <conditionalFormatting sqref="X4:X9 X11">
    <cfRule type="expression" dxfId="1608" priority="148">
      <formula>ABS(X$7-X$10)&gt;=1000</formula>
    </cfRule>
  </conditionalFormatting>
  <conditionalFormatting sqref="Y4:Y9 Y11">
    <cfRule type="expression" dxfId="1607" priority="147">
      <formula>ABS(Y$7-Y$10)&gt;=1000</formula>
    </cfRule>
  </conditionalFormatting>
  <conditionalFormatting sqref="Z4:Z11">
    <cfRule type="expression" dxfId="1606" priority="146">
      <formula>ABS(Z$7-Z$10)&gt;=1000</formula>
    </cfRule>
  </conditionalFormatting>
  <conditionalFormatting sqref="AA4:AA11">
    <cfRule type="expression" dxfId="1605" priority="145">
      <formula>ABS(AA$7-AA$10)&gt;=1000</formula>
    </cfRule>
  </conditionalFormatting>
  <conditionalFormatting sqref="AB4:AB11">
    <cfRule type="expression" dxfId="1604" priority="144">
      <formula>ABS(AB$7-AB$10)&gt;=1000</formula>
    </cfRule>
  </conditionalFormatting>
  <conditionalFormatting sqref="AC4 AC6:AC11">
    <cfRule type="expression" dxfId="1603" priority="143">
      <formula>ABS(AC$7-AC$10)&gt;=1000</formula>
    </cfRule>
  </conditionalFormatting>
  <conditionalFormatting sqref="AD4 AD6:AD11">
    <cfRule type="expression" dxfId="1602" priority="142">
      <formula>ABS(AD$7-AD$10)&gt;=1000</formula>
    </cfRule>
  </conditionalFormatting>
  <conditionalFormatting sqref="AE4 AE6:AE11">
    <cfRule type="expression" dxfId="1601" priority="141">
      <formula>ABS(AE$7-AE$10)&gt;=1000</formula>
    </cfRule>
  </conditionalFormatting>
  <conditionalFormatting sqref="D13:D20">
    <cfRule type="expression" dxfId="1600" priority="140">
      <formula>ABS(D$16-D$19)&gt;=1000</formula>
    </cfRule>
  </conditionalFormatting>
  <conditionalFormatting sqref="E13:E20">
    <cfRule type="expression" dxfId="1599" priority="139">
      <formula>ABS(E$16-E$19)&gt;=1000</formula>
    </cfRule>
  </conditionalFormatting>
  <conditionalFormatting sqref="F13 F15:F20">
    <cfRule type="expression" dxfId="1598" priority="138">
      <formula>ABS(F$16-F$19)&gt;=1000</formula>
    </cfRule>
  </conditionalFormatting>
  <conditionalFormatting sqref="G13:G20">
    <cfRule type="expression" dxfId="1597" priority="137">
      <formula>ABS(G$16-G$19)&gt;=1000</formula>
    </cfRule>
  </conditionalFormatting>
  <conditionalFormatting sqref="H13 H15:H20">
    <cfRule type="expression" dxfId="1596" priority="136">
      <formula>ABS(H$16-H$19)&gt;=1000</formula>
    </cfRule>
  </conditionalFormatting>
  <conditionalFormatting sqref="I13:I20">
    <cfRule type="expression" dxfId="1595" priority="135">
      <formula>ABS(I$16-I$19)&gt;=1000</formula>
    </cfRule>
  </conditionalFormatting>
  <conditionalFormatting sqref="J13:J20">
    <cfRule type="expression" dxfId="1594" priority="134">
      <formula>ABS(J$16-J$19)&gt;=1000</formula>
    </cfRule>
  </conditionalFormatting>
  <conditionalFormatting sqref="L13:L20">
    <cfRule type="expression" dxfId="1593" priority="133">
      <formula>ABS(L$16-L$19)&gt;=1000</formula>
    </cfRule>
  </conditionalFormatting>
  <conditionalFormatting sqref="M13 M15 M17:M18 M20">
    <cfRule type="expression" dxfId="1592" priority="132">
      <formula>ABS(M$16-M$19)&gt;=1000</formula>
    </cfRule>
  </conditionalFormatting>
  <conditionalFormatting sqref="N13:N20">
    <cfRule type="expression" dxfId="1591" priority="131">
      <formula>ABS(N$16-N$19)&gt;=1000</formula>
    </cfRule>
  </conditionalFormatting>
  <conditionalFormatting sqref="O13:O20">
    <cfRule type="expression" dxfId="1590" priority="130">
      <formula>ABS(O$16-O$19)&gt;=1000</formula>
    </cfRule>
  </conditionalFormatting>
  <conditionalFormatting sqref="P13:P20">
    <cfRule type="expression" dxfId="1589" priority="129">
      <formula>ABS(P$16-P$19)&gt;=1000</formula>
    </cfRule>
  </conditionalFormatting>
  <conditionalFormatting sqref="Q13 Q15:Q20">
    <cfRule type="expression" dxfId="1588" priority="128">
      <formula>ABS(Q$16-Q$19)&gt;=1000</formula>
    </cfRule>
  </conditionalFormatting>
  <conditionalFormatting sqref="R13:R20">
    <cfRule type="expression" dxfId="1587" priority="127">
      <formula>ABS(R$16-R$19)&gt;=1000</formula>
    </cfRule>
  </conditionalFormatting>
  <conditionalFormatting sqref="S13:S20">
    <cfRule type="expression" dxfId="1586" priority="126">
      <formula>ABS(S$16-S$19)&gt;=1000</formula>
    </cfRule>
  </conditionalFormatting>
  <conditionalFormatting sqref="T13:T20">
    <cfRule type="expression" dxfId="1585" priority="125">
      <formula>ABS(T$16-T$19)&gt;=1000</formula>
    </cfRule>
  </conditionalFormatting>
  <conditionalFormatting sqref="U13:U20">
    <cfRule type="expression" dxfId="1584" priority="124">
      <formula>ABS(U$16-U$19)&gt;=1000</formula>
    </cfRule>
  </conditionalFormatting>
  <conditionalFormatting sqref="V13:V20">
    <cfRule type="expression" dxfId="1583" priority="123">
      <formula>ABS(V$16-V$19)&gt;=1000</formula>
    </cfRule>
  </conditionalFormatting>
  <conditionalFormatting sqref="W13 W20 W15:W18">
    <cfRule type="expression" dxfId="1582" priority="122">
      <formula>ABS(W$16-W$19)&gt;=1000</formula>
    </cfRule>
  </conditionalFormatting>
  <conditionalFormatting sqref="X13 X15:X20 Y19">
    <cfRule type="expression" dxfId="1581" priority="121">
      <formula>ABS(X$16-X$19)&gt;=1000</formula>
    </cfRule>
  </conditionalFormatting>
  <conditionalFormatting sqref="Y13 Y15:Y18 Y20">
    <cfRule type="expression" dxfId="1580" priority="120">
      <formula>ABS(Y$16-Y$19)&gt;=1000</formula>
    </cfRule>
  </conditionalFormatting>
  <conditionalFormatting sqref="Z13:Z20">
    <cfRule type="expression" dxfId="1579" priority="119">
      <formula>ABS(Z$16-Z$19)&gt;=1000</formula>
    </cfRule>
  </conditionalFormatting>
  <conditionalFormatting sqref="AA13:AA20">
    <cfRule type="expression" dxfId="1578" priority="118">
      <formula>ABS(AA$16-AA$19)&gt;=1000</formula>
    </cfRule>
  </conditionalFormatting>
  <conditionalFormatting sqref="AB13 AB15:AB20">
    <cfRule type="expression" dxfId="1577" priority="117">
      <formula>ABS(AB$16-AB$19)&gt;=1000</formula>
    </cfRule>
  </conditionalFormatting>
  <conditionalFormatting sqref="AC13 AC15:AC20">
    <cfRule type="expression" dxfId="1576" priority="116">
      <formula>ABS(AC$16-AC$19)&gt;=1000</formula>
    </cfRule>
  </conditionalFormatting>
  <conditionalFormatting sqref="AD13:AD20">
    <cfRule type="expression" dxfId="1575" priority="115">
      <formula>ABS(AD$16-AD$19)&gt;=1000</formula>
    </cfRule>
  </conditionalFormatting>
  <conditionalFormatting sqref="AE13:AE20">
    <cfRule type="expression" dxfId="1574" priority="114">
      <formula>ABS(AE$16-AE$19)&gt;=1000</formula>
    </cfRule>
  </conditionalFormatting>
  <conditionalFormatting sqref="D22:D29">
    <cfRule type="expression" dxfId="1573" priority="113">
      <formula>ABS(D$25-D$28)&gt;=1000</formula>
    </cfRule>
  </conditionalFormatting>
  <conditionalFormatting sqref="E22:E29">
    <cfRule type="expression" dxfId="1572" priority="112">
      <formula>ABS(E$25-E$28)&gt;=1000</formula>
    </cfRule>
  </conditionalFormatting>
  <conditionalFormatting sqref="F22:F29">
    <cfRule type="expression" dxfId="1571" priority="111">
      <formula>ABS(F$25-F$28)&gt;=1000</formula>
    </cfRule>
  </conditionalFormatting>
  <conditionalFormatting sqref="G22:G29">
    <cfRule type="expression" dxfId="1570" priority="110">
      <formula>ABS(G$25-G$28)&gt;=1000</formula>
    </cfRule>
  </conditionalFormatting>
  <conditionalFormatting sqref="H22:H29">
    <cfRule type="expression" dxfId="1569" priority="109">
      <formula>ABS(H$25-H$28)&gt;=1000</formula>
    </cfRule>
  </conditionalFormatting>
  <conditionalFormatting sqref="I22 I24:I29">
    <cfRule type="expression" dxfId="1568" priority="108">
      <formula>ABS(I$25-I$28)&gt;=1000</formula>
    </cfRule>
  </conditionalFormatting>
  <conditionalFormatting sqref="J22:J29 K22">
    <cfRule type="expression" dxfId="1567" priority="107">
      <formula>ABS(J$25-J$28)&gt;=1000</formula>
    </cfRule>
  </conditionalFormatting>
  <conditionalFormatting sqref="K23:K29 L25 L28">
    <cfRule type="expression" dxfId="1566" priority="106">
      <formula>ABS(K$25-K$28)&gt;=1000</formula>
    </cfRule>
  </conditionalFormatting>
  <conditionalFormatting sqref="L22 L26:L27 L29 L24">
    <cfRule type="expression" dxfId="1565" priority="105">
      <formula>ABS(L$25-L$28)&gt;=1000</formula>
    </cfRule>
  </conditionalFormatting>
  <conditionalFormatting sqref="M22:M29">
    <cfRule type="expression" dxfId="1564" priority="104">
      <formula>ABS(M$25-M$28)&gt;=1000</formula>
    </cfRule>
  </conditionalFormatting>
  <conditionalFormatting sqref="N22:N29">
    <cfRule type="expression" dxfId="1563" priority="103">
      <formula>ABS(N$25-N$28)&gt;=1000</formula>
    </cfRule>
  </conditionalFormatting>
  <conditionalFormatting sqref="O22:O29">
    <cfRule type="expression" dxfId="1562" priority="102">
      <formula>ABS(O$25-O$28)&gt;=1000</formula>
    </cfRule>
  </conditionalFormatting>
  <conditionalFormatting sqref="P22:P29">
    <cfRule type="expression" dxfId="1561" priority="101">
      <formula>ABS(P$25-P$28)&gt;=1000</formula>
    </cfRule>
  </conditionalFormatting>
  <conditionalFormatting sqref="Q22:Q29">
    <cfRule type="expression" dxfId="1560" priority="100">
      <formula>ABS(Q$25-Q$28)&gt;=1000</formula>
    </cfRule>
  </conditionalFormatting>
  <conditionalFormatting sqref="R22:R29">
    <cfRule type="expression" dxfId="1559" priority="99">
      <formula>ABS(R$25-R$28)&gt;=1000</formula>
    </cfRule>
  </conditionalFormatting>
  <conditionalFormatting sqref="S22:S29">
    <cfRule type="expression" dxfId="1558" priority="98">
      <formula>ABS(S$25-S$28)&gt;=1000</formula>
    </cfRule>
  </conditionalFormatting>
  <conditionalFormatting sqref="T22:T29">
    <cfRule type="expression" dxfId="1557" priority="97">
      <formula>ABS(T$25-T$28)&gt;=1000</formula>
    </cfRule>
  </conditionalFormatting>
  <conditionalFormatting sqref="U22:U29">
    <cfRule type="expression" dxfId="1556" priority="96">
      <formula>ABS(U$25-U$28)&gt;=1000</formula>
    </cfRule>
  </conditionalFormatting>
  <conditionalFormatting sqref="V22:V29">
    <cfRule type="expression" dxfId="1555" priority="95">
      <formula>ABS(V$25-V$28)&gt;=1000</formula>
    </cfRule>
  </conditionalFormatting>
  <conditionalFormatting sqref="W22:W29">
    <cfRule type="expression" dxfId="1554" priority="94">
      <formula>ABS(W$25-W$28)&gt;=1000</formula>
    </cfRule>
  </conditionalFormatting>
  <conditionalFormatting sqref="X22:X29">
    <cfRule type="expression" dxfId="1553" priority="93">
      <formula>ABS(X$25-X$28)&gt;=1000</formula>
    </cfRule>
  </conditionalFormatting>
  <conditionalFormatting sqref="Y22:Y29">
    <cfRule type="expression" dxfId="1552" priority="92">
      <formula>ABS(Y$25-Y$28)&gt;=1000</formula>
    </cfRule>
  </conditionalFormatting>
  <conditionalFormatting sqref="I23">
    <cfRule type="expression" dxfId="1551" priority="91">
      <formula>ABS(I$25-I$28)&gt;=1000</formula>
    </cfRule>
  </conditionalFormatting>
  <conditionalFormatting sqref="Q14">
    <cfRule type="expression" dxfId="1550" priority="90">
      <formula>ABS(Q$16-Q$19)&gt;=1000</formula>
    </cfRule>
  </conditionalFormatting>
  <conditionalFormatting sqref="W14">
    <cfRule type="expression" dxfId="1549" priority="89">
      <formula>ABS(W$16-W$19)&gt;=1000</formula>
    </cfRule>
  </conditionalFormatting>
  <conditionalFormatting sqref="X14">
    <cfRule type="expression" dxfId="1548" priority="88">
      <formula>ABS(X$16-X$19)&gt;=1000</formula>
    </cfRule>
  </conditionalFormatting>
  <conditionalFormatting sqref="T10:Y10">
    <cfRule type="expression" dxfId="1547" priority="87">
      <formula>ABS(T$7-T$10)&gt;=1000</formula>
    </cfRule>
  </conditionalFormatting>
  <conditionalFormatting sqref="W19">
    <cfRule type="expression" dxfId="1546" priority="86">
      <formula>ABS(W$16-W$19)&gt;=1000</formula>
    </cfRule>
  </conditionalFormatting>
  <conditionalFormatting sqref="AC5">
    <cfRule type="expression" dxfId="1545" priority="85">
      <formula>ABS(AC$7-AC$10)&gt;=1000</formula>
    </cfRule>
  </conditionalFormatting>
  <conditionalFormatting sqref="M14">
    <cfRule type="expression" dxfId="1544" priority="84">
      <formula>ABS(M$16-M$19)&gt;=1000</formula>
    </cfRule>
  </conditionalFormatting>
  <conditionalFormatting sqref="M16">
    <cfRule type="expression" dxfId="1543" priority="83">
      <formula>ABS(M$16-M$19)&gt;=1000</formula>
    </cfRule>
  </conditionalFormatting>
  <conditionalFormatting sqref="M19">
    <cfRule type="expression" dxfId="1542" priority="82">
      <formula>ABS(M$16-M$19)&gt;=1000</formula>
    </cfRule>
  </conditionalFormatting>
  <conditionalFormatting sqref="K13:K20">
    <cfRule type="expression" dxfId="1541" priority="81">
      <formula>ABS(K$16-K$19)&gt;=1000</formula>
    </cfRule>
  </conditionalFormatting>
  <conditionalFormatting sqref="AB14:AC14">
    <cfRule type="expression" dxfId="1540" priority="80">
      <formula>ABS(AB$16-AB$19)&gt;=1000</formula>
    </cfRule>
  </conditionalFormatting>
  <conditionalFormatting sqref="M5">
    <cfRule type="expression" dxfId="1539" priority="79">
      <formula>ABS(M$7-M$10)&gt;=1000</formula>
    </cfRule>
  </conditionalFormatting>
  <conditionalFormatting sqref="N5">
    <cfRule type="expression" dxfId="1538" priority="78">
      <formula>ABS(N$7-N$10)&gt;=1000</formula>
    </cfRule>
  </conditionalFormatting>
  <conditionalFormatting sqref="L23">
    <cfRule type="expression" dxfId="1537" priority="77">
      <formula>ABS(L$25-L$28)&gt;=1000</formula>
    </cfRule>
  </conditionalFormatting>
  <conditionalFormatting sqref="Y14">
    <cfRule type="expression" dxfId="1536" priority="76">
      <formula>ABS(Y$16-Y$19)&gt;=1000</formula>
    </cfRule>
  </conditionalFormatting>
  <conditionalFormatting sqref="F14">
    <cfRule type="expression" dxfId="1535" priority="75">
      <formula>ABS(F$16-F$19)&gt;=1000</formula>
    </cfRule>
  </conditionalFormatting>
  <conditionalFormatting sqref="H14">
    <cfRule type="expression" dxfId="1534" priority="74">
      <formula>ABS(H$16-H$19)&gt;=1000</formula>
    </cfRule>
  </conditionalFormatting>
  <conditionalFormatting sqref="AD5">
    <cfRule type="expression" dxfId="1533" priority="73">
      <formula>ABS(AD$7-AD$10)&gt;=1000</formula>
    </cfRule>
  </conditionalFormatting>
  <conditionalFormatting sqref="AE5">
    <cfRule type="expression" dxfId="1532" priority="72">
      <formula>ABS(AE$7-AE$10)&gt;=1000</formula>
    </cfRule>
  </conditionalFormatting>
  <conditionalFormatting sqref="D5">
    <cfRule type="expression" dxfId="1531" priority="71">
      <formula>ABS(D$7-D$10)&gt;=1000</formula>
    </cfRule>
  </conditionalFormatting>
  <conditionalFormatting sqref="E5:G5">
    <cfRule type="expression" dxfId="1530" priority="70">
      <formula>ABS(E$7-E$10)&gt;=1000</formula>
    </cfRule>
  </conditionalFormatting>
  <conditionalFormatting sqref="H5">
    <cfRule type="expression" dxfId="1529" priority="69">
      <formula>ABS(H$7-H$10)&gt;=1000</formula>
    </cfRule>
  </conditionalFormatting>
  <conditionalFormatting sqref="O4:P4">
    <cfRule type="expression" dxfId="1528" priority="68">
      <formula>ABS(O$7-O$10)&gt;=1000</formula>
    </cfRule>
  </conditionalFormatting>
  <conditionalFormatting sqref="O5 O8 O11">
    <cfRule type="expression" dxfId="1527" priority="67">
      <formula>ABS(O$7-O$10)&gt;=1000</formula>
    </cfRule>
  </conditionalFormatting>
  <conditionalFormatting sqref="P8 P11">
    <cfRule type="expression" dxfId="1526" priority="66">
      <formula>ABS(P$7-P$10)&gt;=1000</formula>
    </cfRule>
  </conditionalFormatting>
  <conditionalFormatting sqref="J5">
    <cfRule type="expression" dxfId="1525" priority="64">
      <formula>ABS(J$7-J$10)&gt;=1000</formula>
    </cfRule>
  </conditionalFormatting>
  <conditionalFormatting sqref="K5">
    <cfRule type="expression" dxfId="1524" priority="63">
      <formula>ABS(K$7-K$10)&gt;=1000</formula>
    </cfRule>
  </conditionalFormatting>
  <conditionalFormatting sqref="H6">
    <cfRule type="expression" dxfId="1506" priority="45">
      <formula>ABS(H$7-H$10)&gt;=1000</formula>
    </cfRule>
  </conditionalFormatting>
  <conditionalFormatting sqref="J6">
    <cfRule type="expression" dxfId="1505" priority="44">
      <formula>ABS(J$7-J$10)&gt;=1000</formula>
    </cfRule>
  </conditionalFormatting>
  <conditionalFormatting sqref="K6">
    <cfRule type="expression" dxfId="1504" priority="43">
      <formula>ABS(K$7-K$10)&gt;=1000</formula>
    </cfRule>
  </conditionalFormatting>
  <conditionalFormatting sqref="L6">
    <cfRule type="expression" dxfId="1503" priority="42">
      <formula>ABS(L$7-L$10)&gt;=1000</formula>
    </cfRule>
  </conditionalFormatting>
  <conditionalFormatting sqref="M6">
    <cfRule type="expression" dxfId="1502" priority="41">
      <formula>ABS(M$7-M$10)&gt;=1000</formula>
    </cfRule>
  </conditionalFormatting>
  <conditionalFormatting sqref="N6">
    <cfRule type="expression" dxfId="1501" priority="40">
      <formula>ABS(N$7-N$10)&gt;=1000</formula>
    </cfRule>
  </conditionalFormatting>
  <conditionalFormatting sqref="O6">
    <cfRule type="expression" dxfId="1500" priority="39">
      <formula>ABS(O$7-O$10)&gt;=1000</formula>
    </cfRule>
  </conditionalFormatting>
  <conditionalFormatting sqref="P6">
    <cfRule type="expression" dxfId="1499" priority="38">
      <formula>ABS(P$7-P$10)&gt;=1000</formula>
    </cfRule>
  </conditionalFormatting>
  <conditionalFormatting sqref="I6">
    <cfRule type="expression" dxfId="1498" priority="37">
      <formula>ABS(I$7-I$10)&gt;=1000</formula>
    </cfRule>
  </conditionalFormatting>
  <conditionalFormatting sqref="H9">
    <cfRule type="expression" dxfId="1497" priority="36">
      <formula>ABS(H$7-H$10)&gt;=1000</formula>
    </cfRule>
  </conditionalFormatting>
  <conditionalFormatting sqref="J9">
    <cfRule type="expression" dxfId="1496" priority="35">
      <formula>ABS(J$7-J$10)&gt;=1000</formula>
    </cfRule>
  </conditionalFormatting>
  <conditionalFormatting sqref="K9">
    <cfRule type="expression" dxfId="1495" priority="34">
      <formula>ABS(K$7-K$10)&gt;=1000</formula>
    </cfRule>
  </conditionalFormatting>
  <conditionalFormatting sqref="L9">
    <cfRule type="expression" dxfId="1494" priority="33">
      <formula>ABS(L$7-L$10)&gt;=1000</formula>
    </cfRule>
  </conditionalFormatting>
  <conditionalFormatting sqref="M9">
    <cfRule type="expression" dxfId="1493" priority="32">
      <formula>ABS(M$7-M$10)&gt;=1000</formula>
    </cfRule>
  </conditionalFormatting>
  <conditionalFormatting sqref="N9">
    <cfRule type="expression" dxfId="1492" priority="31">
      <formula>ABS(N$7-N$10)&gt;=1000</formula>
    </cfRule>
  </conditionalFormatting>
  <conditionalFormatting sqref="O9">
    <cfRule type="expression" dxfId="1491" priority="30">
      <formula>ABS(O$7-O$10)&gt;=1000</formula>
    </cfRule>
  </conditionalFormatting>
  <conditionalFormatting sqref="P9">
    <cfRule type="expression" dxfId="1490" priority="29">
      <formula>ABS(P$7-P$10)&gt;=1000</formula>
    </cfRule>
  </conditionalFormatting>
  <conditionalFormatting sqref="I9">
    <cfRule type="expression" dxfId="1489" priority="28">
      <formula>ABS(I$7-I$10)&gt;=1000</formula>
    </cfRule>
  </conditionalFormatting>
  <conditionalFormatting sqref="P5">
    <cfRule type="expression" dxfId="1488" priority="27">
      <formula>ABS(P$7-P$10)&gt;=1000</formula>
    </cfRule>
  </conditionalFormatting>
  <conditionalFormatting sqref="I5">
    <cfRule type="expression" dxfId="1487" priority="26">
      <formula>ABS(I$7-I$10)&gt;=1000</formula>
    </cfRule>
  </conditionalFormatting>
  <conditionalFormatting sqref="D7:G7">
    <cfRule type="expression" dxfId="14" priority="10">
      <formula>ABS(D$7-D$10)&gt;=1000</formula>
    </cfRule>
  </conditionalFormatting>
  <conditionalFormatting sqref="H7:L7">
    <cfRule type="expression" dxfId="13" priority="9">
      <formula>ABS(H$7-H$10)&gt;=1000</formula>
    </cfRule>
  </conditionalFormatting>
  <conditionalFormatting sqref="M7">
    <cfRule type="expression" dxfId="12" priority="8">
      <formula>ABS(M$7-M$10)&gt;=1000</formula>
    </cfRule>
  </conditionalFormatting>
  <conditionalFormatting sqref="O7:P7">
    <cfRule type="expression" dxfId="11" priority="7">
      <formula>ABS(O$7-O$10)&gt;=1000</formula>
    </cfRule>
  </conditionalFormatting>
  <conditionalFormatting sqref="N7">
    <cfRule type="expression" dxfId="10" priority="6">
      <formula>ABS(N$7-N$10)&gt;=1000</formula>
    </cfRule>
  </conditionalFormatting>
  <conditionalFormatting sqref="D10:G10">
    <cfRule type="expression" dxfId="9" priority="5">
      <formula>ABS(D$7-D$10)&gt;=1000</formula>
    </cfRule>
  </conditionalFormatting>
  <conditionalFormatting sqref="H10:L10">
    <cfRule type="expression" dxfId="8" priority="4">
      <formula>ABS(H$7-H$10)&gt;=1000</formula>
    </cfRule>
  </conditionalFormatting>
  <conditionalFormatting sqref="M10">
    <cfRule type="expression" dxfId="7" priority="3">
      <formula>ABS(M$7-M$10)&gt;=1000</formula>
    </cfRule>
  </conditionalFormatting>
  <conditionalFormatting sqref="O10:P10">
    <cfRule type="expression" dxfId="6" priority="2">
      <formula>ABS(O$7-O$10)&gt;=1000</formula>
    </cfRule>
  </conditionalFormatting>
  <conditionalFormatting sqref="N10">
    <cfRule type="expression" dxfId="5" priority="1">
      <formula>ABS(N$7-N$10)&gt;=1000</formula>
    </cfRule>
  </conditionalFormatting>
  <dataValidations disablePrompts="1"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70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1">
    <pageSetUpPr fitToPage="1"/>
  </sheetPr>
  <dimension ref="A1:BA223"/>
  <sheetViews>
    <sheetView view="pageBreakPreview" zoomScale="110" zoomScaleNormal="100" zoomScaleSheetLayoutView="110" workbookViewId="0">
      <selection activeCell="G13" sqref="G13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178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179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180</v>
      </c>
      <c r="C4" s="66" t="s" ph="1">
        <v>181</v>
      </c>
      <c r="D4" s="67" t="s" ph="1">
        <v>182</v>
      </c>
      <c r="E4" s="67" t="s" ph="1">
        <v>175</v>
      </c>
      <c r="F4" s="67" t="s" ph="1">
        <v>183</v>
      </c>
      <c r="G4" s="67" t="s" ph="1">
        <v>184</v>
      </c>
      <c r="H4" s="67" t="s" ph="1">
        <v>185</v>
      </c>
      <c r="I4" s="67" t="s" ph="1">
        <v>177</v>
      </c>
      <c r="J4" s="67" t="s" ph="1">
        <v>71</v>
      </c>
      <c r="K4" s="67" t="s" ph="1">
        <v>72</v>
      </c>
      <c r="L4" s="67" t="s" ph="1">
        <v>186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187</v>
      </c>
      <c r="D5" s="141" t="s" ph="1">
        <v>188</v>
      </c>
      <c r="E5" s="141" t="s" ph="1">
        <v>189</v>
      </c>
      <c r="F5" s="141" t="s" ph="1">
        <v>190</v>
      </c>
      <c r="G5" s="141" t="s" ph="1">
        <v>191</v>
      </c>
      <c r="H5" s="141" t="s" ph="1">
        <v>192</v>
      </c>
      <c r="I5" s="141" t="s" ph="1">
        <v>193</v>
      </c>
      <c r="J5" s="141" t="s" ph="1">
        <v>194</v>
      </c>
      <c r="K5" s="141" t="s" ph="1">
        <v>195</v>
      </c>
      <c r="L5" s="140" t="s" ph="1">
        <v>196</v>
      </c>
      <c r="M5" s="140" t="s" ph="1">
        <v>197</v>
      </c>
      <c r="N5" s="140" t="s" ph="1">
        <v>196</v>
      </c>
      <c r="O5" s="140" t="s" ph="1">
        <v>198</v>
      </c>
      <c r="P5" s="140" t="s" ph="1">
        <v>199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03" t="s" ph="1">
        <v>153</v>
      </c>
      <c r="D6" s="151">
        <v>0.39229999999999998</v>
      </c>
      <c r="E6" s="151">
        <v>0.999</v>
      </c>
      <c r="F6" s="151">
        <v>0</v>
      </c>
      <c r="G6" s="151">
        <v>0</v>
      </c>
      <c r="H6" s="70">
        <v>3434</v>
      </c>
      <c r="I6" s="70">
        <v>958</v>
      </c>
      <c r="J6" s="70">
        <v>0</v>
      </c>
      <c r="K6" s="70">
        <v>0</v>
      </c>
      <c r="L6" s="70">
        <v>4377</v>
      </c>
      <c r="M6" s="70">
        <v>990</v>
      </c>
      <c r="N6" s="70">
        <v>2814</v>
      </c>
      <c r="O6" s="70">
        <v>2180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200</v>
      </c>
      <c r="D7" s="72" ph="1">
        <f>((D6*5885)*4.48)*LOOKUP(D8,密度!$A$2:$A$50,密度!$B$2:$B$50)</f>
        <v>7991.9673606080014</v>
      </c>
      <c r="E7" s="72" ph="1">
        <f>((E6*5885)*4.48)*LOOKUP(E8,密度!$A$2:$A$50,密度!$B$2:$B$50)</f>
        <v>20396.484218879999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37553.246183009993</v>
      </c>
      <c r="I7" s="72" ph="1">
        <f>IF(I6&lt;=0,0,IF(I6&lt;=745,PI()*(5.3235*(I6/1000)^2-(4/3)*(I6/1000)^3),7.55+15.2053*((I6-745)/1000))*LOOKUP(I8,密度!$A$2:$A$50,密度!$B$2:$B$50)*1000)</f>
        <v>8392.5522113099996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89956.620486000014</v>
      </c>
      <c r="M7" s="72" ph="1">
        <f>M6*26.42*1</f>
        <v>26155.800000000003</v>
      </c>
      <c r="N7" s="72" ph="1">
        <f>N6*18.32*LOOKUP(N8,密度!$A$2:$A$50,密度!$B$2:$B$50)</f>
        <v>40056.276960000003</v>
      </c>
      <c r="O7" s="72" ph="1">
        <f>O6*81.71*LOOKUP(O8,密度!$A$2:$A$50,密度!$B$2:$B$50)</f>
        <v>138708.11785999997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147</v>
      </c>
      <c r="D8" s="73">
        <v>33</v>
      </c>
      <c r="E8" s="73">
        <v>31</v>
      </c>
      <c r="F8" s="73">
        <v>28</v>
      </c>
      <c r="G8" s="73">
        <v>27</v>
      </c>
      <c r="H8" s="73">
        <v>30</v>
      </c>
      <c r="I8" s="73">
        <v>27</v>
      </c>
      <c r="J8" s="73">
        <v>26</v>
      </c>
      <c r="K8" s="73">
        <v>27</v>
      </c>
      <c r="L8" s="73">
        <v>27</v>
      </c>
      <c r="M8" s="73">
        <v>27</v>
      </c>
      <c r="N8" s="73">
        <v>28</v>
      </c>
      <c r="O8" s="73">
        <v>26</v>
      </c>
      <c r="P8" s="73">
        <v>26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03" t="s" ph="1">
        <v>201</v>
      </c>
      <c r="D9" s="151">
        <v>0.94820000000000004</v>
      </c>
      <c r="E9" s="151">
        <v>0</v>
      </c>
      <c r="F9" s="151">
        <v>0</v>
      </c>
      <c r="G9" s="151">
        <v>0</v>
      </c>
      <c r="H9" s="70">
        <v>4031</v>
      </c>
      <c r="I9" s="70">
        <v>958</v>
      </c>
      <c r="J9" s="70">
        <v>567</v>
      </c>
      <c r="K9" s="70">
        <v>0</v>
      </c>
      <c r="L9" s="70">
        <v>4496</v>
      </c>
      <c r="M9" s="70">
        <v>1594</v>
      </c>
      <c r="N9" s="70">
        <v>2906</v>
      </c>
      <c r="O9" s="70">
        <v>3086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03" t="s" ph="1">
        <v>149</v>
      </c>
      <c r="D10" s="72" ph="1">
        <f>((D9*5885)*4.48)*LOOKUP(D11,密度!$A$2:$A$50,密度!$B$2:$B$50)</f>
        <v>19294.307973248004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44539.318475519991</v>
      </c>
      <c r="I10" s="72" ph="1">
        <f>IF(I9&lt;=0,0,IF(I9&lt;=745,PI()*(5.3235*(I9/1000)^2-(4/3)*(I9/1000)^3),7.55+15.2053*((I9-745)/1000))*LOOKUP(I11,密度!$A$2:$A$50,密度!$B$2:$B$50)*1000)</f>
        <v>8354.7916601599991</v>
      </c>
      <c r="J10" s="72" ph="1">
        <f>IF(J9&lt;=0,0,IF(J9&lt;=745,PI()*(5.3235*(J9/1000)^2-(4/3)*(J9/1000)^3),7.55+15.2053*((J9-745)/1000))*LOOKUP(J11,密度!$A$2:$A$50,密度!$B$2:$B$50)*1000)</f>
        <v>3596.3866506678887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92295.41664000001</v>
      </c>
      <c r="M10" s="72" ph="1">
        <f>M9*26.42*1</f>
        <v>42113.48</v>
      </c>
      <c r="N10" s="72" ph="1">
        <f>N9*18.32*LOOKUP(N11,密度!$A$2:$A$50,密度!$B$2:$B$50)</f>
        <v>41323.273503999997</v>
      </c>
      <c r="O10" s="72" ph="1">
        <f>O9*81.71*LOOKUP(O11,密度!$A$2:$A$50,密度!$B$2:$B$50)</f>
        <v>196354.70262199995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202</v>
      </c>
      <c r="B11" s="296" ph="1"/>
      <c r="C11" s="203" t="s" ph="1">
        <v>203</v>
      </c>
      <c r="D11" s="73">
        <v>34</v>
      </c>
      <c r="E11" s="73">
        <v>31</v>
      </c>
      <c r="F11" s="73">
        <v>30</v>
      </c>
      <c r="G11" s="73">
        <v>31</v>
      </c>
      <c r="H11" s="73">
        <v>31</v>
      </c>
      <c r="I11" s="73">
        <v>31</v>
      </c>
      <c r="J11" s="73">
        <v>25</v>
      </c>
      <c r="K11" s="73">
        <v>31</v>
      </c>
      <c r="L11" s="73">
        <v>28</v>
      </c>
      <c r="M11" s="73">
        <v>28</v>
      </c>
      <c r="N11" s="73">
        <v>29</v>
      </c>
      <c r="O11" s="73">
        <v>26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204</v>
      </c>
      <c r="C13" s="203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205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03" t="s" ph="1">
        <v>206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03" t="s" ph="1">
        <v>207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146</v>
      </c>
      <c r="B17" s="277" ph="1"/>
      <c r="C17" s="78" t="s" ph="1">
        <v>208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148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03" t="s" ph="1">
        <v>149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209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210</v>
      </c>
      <c r="C22" s="84" t="s" ph="1">
        <v>211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151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212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152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03" t="s" ph="1">
        <v>213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149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209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03" t="s" ph="1">
        <v>148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03" t="s" ph="1">
        <v>200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03" t="s" ph="1">
        <v>147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214</v>
      </c>
      <c r="AE30" s="94" ph="1"/>
    </row>
    <row r="31" spans="1:32" ht="28.2" ph="1">
      <c r="A31" s="63"/>
      <c r="B31" s="279" t="s" ph="1">
        <v>215</v>
      </c>
      <c r="C31" s="280" ph="1"/>
      <c r="D31" s="257" t="s" ph="1">
        <v>216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217</v>
      </c>
      <c r="E32" s="203" t="s" ph="1">
        <v>158</v>
      </c>
      <c r="F32" s="204" t="s" ph="1">
        <v>218</v>
      </c>
      <c r="G32" s="96" t="s" ph="1">
        <v>219</v>
      </c>
      <c r="H32" s="203" t="s" ph="1">
        <v>158</v>
      </c>
      <c r="I32" s="204" t="s" ph="1">
        <v>220</v>
      </c>
      <c r="J32" s="96" t="s" ph="1">
        <v>217</v>
      </c>
      <c r="K32" s="203" t="s" ph="1">
        <v>221</v>
      </c>
      <c r="L32" s="204" t="s" ph="1">
        <v>222</v>
      </c>
      <c r="M32" s="96" t="s" ph="1">
        <v>157</v>
      </c>
      <c r="N32" s="203" t="s" ph="1">
        <v>223</v>
      </c>
      <c r="O32" s="204" t="s" ph="1">
        <v>161</v>
      </c>
      <c r="P32" s="96" t="s" ph="1">
        <v>157</v>
      </c>
      <c r="Q32" s="97" t="s" ph="1">
        <v>224</v>
      </c>
      <c r="R32" s="98" t="s" ph="1">
        <v>218</v>
      </c>
      <c r="S32" s="96" t="s" ph="1">
        <v>225</v>
      </c>
      <c r="T32" s="203" t="s" ph="1">
        <v>158</v>
      </c>
      <c r="U32" s="98" t="s" ph="1">
        <v>161</v>
      </c>
      <c r="V32" s="96" t="s" ph="1">
        <v>226</v>
      </c>
      <c r="W32" s="203" t="s" ph="1">
        <v>227</v>
      </c>
      <c r="X32" s="98" t="s" ph="1">
        <v>161</v>
      </c>
      <c r="Y32" s="99" t="s" ph="1">
        <v>157</v>
      </c>
      <c r="Z32" s="203" t="s" ph="1">
        <v>228</v>
      </c>
      <c r="AA32" s="204" t="s" ph="1">
        <v>161</v>
      </c>
      <c r="AB32" s="96" t="s" ph="1">
        <v>164</v>
      </c>
      <c r="AC32" s="203" t="s" ph="1">
        <v>165</v>
      </c>
      <c r="AD32" s="263" t="s" ph="1">
        <v>166</v>
      </c>
      <c r="AE32" s="264"/>
    </row>
    <row r="33" spans="1:31" ph="1">
      <c r="A33" s="63"/>
      <c r="B33" s="265" t="s" ph="1">
        <v>167</v>
      </c>
      <c r="C33" s="266" ph="1"/>
      <c r="D33" s="245" ph="1">
        <f>O10+P10</f>
        <v>196354.70262199995</v>
      </c>
      <c r="E33" s="245" ph="1">
        <f>H10+I10+J10+K10</f>
        <v>56490.496786347881</v>
      </c>
      <c r="F33" s="269" ph="1">
        <f>L10+N10</f>
        <v>133618.69014399999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229</v>
      </c>
      <c r="AD35" s="244"/>
      <c r="AE35" s="244"/>
    </row>
    <row r="36" spans="1:31" ht="28.2" ph="1">
      <c r="A36" s="63"/>
      <c r="B36" s="102" t="s" ph="1">
        <v>230</v>
      </c>
      <c r="I36" s="230" t="s" ph="1">
        <v>170</v>
      </c>
      <c r="J36" s="230" ph="1"/>
      <c r="K36" s="100" ph="1"/>
      <c r="P36" s="100" ph="1"/>
      <c r="R36" s="230" t="s" ph="1">
        <v>231</v>
      </c>
      <c r="S36" s="230" ph="1"/>
      <c r="Y36" s="101" ph="1"/>
      <c r="Z36" s="205" t="s" ph="1">
        <v>232</v>
      </c>
      <c r="AA36" s="205" ph="1"/>
      <c r="AB36" s="231" t="s" ph="1">
        <v>172</v>
      </c>
      <c r="AC36" s="231" ph="1"/>
      <c r="AD36" s="231" ph="1"/>
      <c r="AE36" s="231" ph="1"/>
    </row>
    <row r="37" spans="1:31" s="205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1485" priority="185">
      <formula>ABS(D$7-D$10)&gt;=1000</formula>
    </cfRule>
  </conditionalFormatting>
  <conditionalFormatting sqref="E4 E6 E8:E9 E11">
    <cfRule type="expression" dxfId="1484" priority="184">
      <formula>ABS(E$7-E$10)&gt;=1000</formula>
    </cfRule>
  </conditionalFormatting>
  <conditionalFormatting sqref="F4 F6 F8:F9 F11">
    <cfRule type="expression" dxfId="1483" priority="183">
      <formula>ABS(F$7-F$10)&gt;=1000</formula>
    </cfRule>
  </conditionalFormatting>
  <conditionalFormatting sqref="G4 G6 G8:G9 G11">
    <cfRule type="expression" dxfId="1482" priority="182">
      <formula>ABS(G$7-G$10)&gt;=1000</formula>
    </cfRule>
  </conditionalFormatting>
  <conditionalFormatting sqref="H4:K4 H8 H11">
    <cfRule type="expression" dxfId="1481" priority="181">
      <formula>ABS(H$7-H$10)&gt;=1000</formula>
    </cfRule>
  </conditionalFormatting>
  <conditionalFormatting sqref="I8 I11">
    <cfRule type="expression" dxfId="1480" priority="180">
      <formula>ABS(I$7-I$10)&gt;=1000</formula>
    </cfRule>
  </conditionalFormatting>
  <conditionalFormatting sqref="J8 J11">
    <cfRule type="expression" dxfId="1479" priority="179">
      <formula>ABS(J$7-J$10)&gt;=1000</formula>
    </cfRule>
  </conditionalFormatting>
  <conditionalFormatting sqref="K8 K11">
    <cfRule type="expression" dxfId="1478" priority="178">
      <formula>ABS(K$7-K$10)&gt;=1000</formula>
    </cfRule>
  </conditionalFormatting>
  <conditionalFormatting sqref="L4:L5 M4:N4 Q4:S4 L8 L11">
    <cfRule type="expression" dxfId="1477" priority="177">
      <formula>ABS(L$7-L$10)&gt;=1000</formula>
    </cfRule>
  </conditionalFormatting>
  <conditionalFormatting sqref="M8 M11">
    <cfRule type="expression" dxfId="1476" priority="176">
      <formula>ABS(M$7-M$10)&gt;=1000</formula>
    </cfRule>
  </conditionalFormatting>
  <conditionalFormatting sqref="N8 N11">
    <cfRule type="expression" dxfId="1475" priority="175">
      <formula>ABS(N$7-N$10)&gt;=1000</formula>
    </cfRule>
  </conditionalFormatting>
  <conditionalFormatting sqref="Q5:Q11">
    <cfRule type="expression" dxfId="1474" priority="174">
      <formula>ABS(Q$7-Q$10)&gt;=1000</formula>
    </cfRule>
  </conditionalFormatting>
  <conditionalFormatting sqref="R5:R11">
    <cfRule type="expression" dxfId="1473" priority="173">
      <formula>ABS(R$7-R$10)&gt;=1000</formula>
    </cfRule>
  </conditionalFormatting>
  <conditionalFormatting sqref="S5:S11">
    <cfRule type="expression" dxfId="1472" priority="172">
      <formula>ABS(S$7-S$10)&gt;=1000</formula>
    </cfRule>
  </conditionalFormatting>
  <conditionalFormatting sqref="T4:T9 T11">
    <cfRule type="expression" dxfId="1471" priority="171">
      <formula>ABS(T$7-T$10)&gt;=1000</formula>
    </cfRule>
  </conditionalFormatting>
  <conditionalFormatting sqref="U4:U9 U11">
    <cfRule type="expression" dxfId="1470" priority="170">
      <formula>ABS(U$7-U$10)&gt;=1000</formula>
    </cfRule>
  </conditionalFormatting>
  <conditionalFormatting sqref="V4:V9 V11">
    <cfRule type="expression" dxfId="1469" priority="169">
      <formula>ABS(V$7-V$10)&gt;=1000</formula>
    </cfRule>
  </conditionalFormatting>
  <conditionalFormatting sqref="W4:W9 W11">
    <cfRule type="expression" dxfId="1468" priority="168">
      <formula>ABS(W$7-W$10)&gt;=1000</formula>
    </cfRule>
  </conditionalFormatting>
  <conditionalFormatting sqref="X4:X9 X11">
    <cfRule type="expression" dxfId="1467" priority="167">
      <formula>ABS(X$7-X$10)&gt;=1000</formula>
    </cfRule>
  </conditionalFormatting>
  <conditionalFormatting sqref="Y4:Y9 Y11">
    <cfRule type="expression" dxfId="1466" priority="166">
      <formula>ABS(Y$7-Y$10)&gt;=1000</formula>
    </cfRule>
  </conditionalFormatting>
  <conditionalFormatting sqref="Z4:Z11">
    <cfRule type="expression" dxfId="1465" priority="165">
      <formula>ABS(Z$7-Z$10)&gt;=1000</formula>
    </cfRule>
  </conditionalFormatting>
  <conditionalFormatting sqref="AA4:AA11">
    <cfRule type="expression" dxfId="1464" priority="164">
      <formula>ABS(AA$7-AA$10)&gt;=1000</formula>
    </cfRule>
  </conditionalFormatting>
  <conditionalFormatting sqref="AB4:AB11">
    <cfRule type="expression" dxfId="1463" priority="163">
      <formula>ABS(AB$7-AB$10)&gt;=1000</formula>
    </cfRule>
  </conditionalFormatting>
  <conditionalFormatting sqref="AC4 AC6:AC11">
    <cfRule type="expression" dxfId="1462" priority="162">
      <formula>ABS(AC$7-AC$10)&gt;=1000</formula>
    </cfRule>
  </conditionalFormatting>
  <conditionalFormatting sqref="AD4 AD6:AD11">
    <cfRule type="expression" dxfId="1461" priority="161">
      <formula>ABS(AD$7-AD$10)&gt;=1000</formula>
    </cfRule>
  </conditionalFormatting>
  <conditionalFormatting sqref="AE4 AE6:AE11">
    <cfRule type="expression" dxfId="1460" priority="160">
      <formula>ABS(AE$7-AE$10)&gt;=1000</formula>
    </cfRule>
  </conditionalFormatting>
  <conditionalFormatting sqref="D13:D20">
    <cfRule type="expression" dxfId="1459" priority="159">
      <formula>ABS(D$16-D$19)&gt;=1000</formula>
    </cfRule>
  </conditionalFormatting>
  <conditionalFormatting sqref="E13:E20">
    <cfRule type="expression" dxfId="1458" priority="158">
      <formula>ABS(E$16-E$19)&gt;=1000</formula>
    </cfRule>
  </conditionalFormatting>
  <conditionalFormatting sqref="F13 F15:F20">
    <cfRule type="expression" dxfId="1457" priority="157">
      <formula>ABS(F$16-F$19)&gt;=1000</formula>
    </cfRule>
  </conditionalFormatting>
  <conditionalFormatting sqref="G13:G20">
    <cfRule type="expression" dxfId="1456" priority="156">
      <formula>ABS(G$16-G$19)&gt;=1000</formula>
    </cfRule>
  </conditionalFormatting>
  <conditionalFormatting sqref="H13 H15:H20">
    <cfRule type="expression" dxfId="1455" priority="155">
      <formula>ABS(H$16-H$19)&gt;=1000</formula>
    </cfRule>
  </conditionalFormatting>
  <conditionalFormatting sqref="I13:I20">
    <cfRule type="expression" dxfId="1454" priority="154">
      <formula>ABS(I$16-I$19)&gt;=1000</formula>
    </cfRule>
  </conditionalFormatting>
  <conditionalFormatting sqref="J13:J20">
    <cfRule type="expression" dxfId="1453" priority="153">
      <formula>ABS(J$16-J$19)&gt;=1000</formula>
    </cfRule>
  </conditionalFormatting>
  <conditionalFormatting sqref="L13:L20">
    <cfRule type="expression" dxfId="1452" priority="152">
      <formula>ABS(L$16-L$19)&gt;=1000</formula>
    </cfRule>
  </conditionalFormatting>
  <conditionalFormatting sqref="M13 M15 M17:M18 M20">
    <cfRule type="expression" dxfId="1451" priority="151">
      <formula>ABS(M$16-M$19)&gt;=1000</formula>
    </cfRule>
  </conditionalFormatting>
  <conditionalFormatting sqref="N13:N20">
    <cfRule type="expression" dxfId="1450" priority="150">
      <formula>ABS(N$16-N$19)&gt;=1000</formula>
    </cfRule>
  </conditionalFormatting>
  <conditionalFormatting sqref="O13:O20">
    <cfRule type="expression" dxfId="1449" priority="149">
      <formula>ABS(O$16-O$19)&gt;=1000</formula>
    </cfRule>
  </conditionalFormatting>
  <conditionalFormatting sqref="P13:P20">
    <cfRule type="expression" dxfId="1448" priority="148">
      <formula>ABS(P$16-P$19)&gt;=1000</formula>
    </cfRule>
  </conditionalFormatting>
  <conditionalFormatting sqref="Q13 Q15:Q20">
    <cfRule type="expression" dxfId="1447" priority="147">
      <formula>ABS(Q$16-Q$19)&gt;=1000</formula>
    </cfRule>
  </conditionalFormatting>
  <conditionalFormatting sqref="R13:R20">
    <cfRule type="expression" dxfId="1446" priority="146">
      <formula>ABS(R$16-R$19)&gt;=1000</formula>
    </cfRule>
  </conditionalFormatting>
  <conditionalFormatting sqref="S13:S20">
    <cfRule type="expression" dxfId="1445" priority="145">
      <formula>ABS(S$16-S$19)&gt;=1000</formula>
    </cfRule>
  </conditionalFormatting>
  <conditionalFormatting sqref="T13:T20">
    <cfRule type="expression" dxfId="1444" priority="144">
      <formula>ABS(T$16-T$19)&gt;=1000</formula>
    </cfRule>
  </conditionalFormatting>
  <conditionalFormatting sqref="U13:U20">
    <cfRule type="expression" dxfId="1443" priority="143">
      <formula>ABS(U$16-U$19)&gt;=1000</formula>
    </cfRule>
  </conditionalFormatting>
  <conditionalFormatting sqref="V13:V20">
    <cfRule type="expression" dxfId="1442" priority="142">
      <formula>ABS(V$16-V$19)&gt;=1000</formula>
    </cfRule>
  </conditionalFormatting>
  <conditionalFormatting sqref="W13 W20 W15:W18">
    <cfRule type="expression" dxfId="1441" priority="141">
      <formula>ABS(W$16-W$19)&gt;=1000</formula>
    </cfRule>
  </conditionalFormatting>
  <conditionalFormatting sqref="X13 X15:X20 Y19">
    <cfRule type="expression" dxfId="1440" priority="140">
      <formula>ABS(X$16-X$19)&gt;=1000</formula>
    </cfRule>
  </conditionalFormatting>
  <conditionalFormatting sqref="Y13 Y15:Y18 Y20">
    <cfRule type="expression" dxfId="1439" priority="139">
      <formula>ABS(Y$16-Y$19)&gt;=1000</formula>
    </cfRule>
  </conditionalFormatting>
  <conditionalFormatting sqref="Z13:Z20">
    <cfRule type="expression" dxfId="1438" priority="138">
      <formula>ABS(Z$16-Z$19)&gt;=1000</formula>
    </cfRule>
  </conditionalFormatting>
  <conditionalFormatting sqref="AA13:AA20">
    <cfRule type="expression" dxfId="1437" priority="137">
      <formula>ABS(AA$16-AA$19)&gt;=1000</formula>
    </cfRule>
  </conditionalFormatting>
  <conditionalFormatting sqref="AB13 AB15:AB20">
    <cfRule type="expression" dxfId="1436" priority="136">
      <formula>ABS(AB$16-AB$19)&gt;=1000</formula>
    </cfRule>
  </conditionalFormatting>
  <conditionalFormatting sqref="AC13 AC15:AC20">
    <cfRule type="expression" dxfId="1435" priority="135">
      <formula>ABS(AC$16-AC$19)&gt;=1000</formula>
    </cfRule>
  </conditionalFormatting>
  <conditionalFormatting sqref="AD13:AD20">
    <cfRule type="expression" dxfId="1434" priority="134">
      <formula>ABS(AD$16-AD$19)&gt;=1000</formula>
    </cfRule>
  </conditionalFormatting>
  <conditionalFormatting sqref="AE13:AE20">
    <cfRule type="expression" dxfId="1433" priority="133">
      <formula>ABS(AE$16-AE$19)&gt;=1000</formula>
    </cfRule>
  </conditionalFormatting>
  <conditionalFormatting sqref="D22:D29">
    <cfRule type="expression" dxfId="1432" priority="132">
      <formula>ABS(D$25-D$28)&gt;=1000</formula>
    </cfRule>
  </conditionalFormatting>
  <conditionalFormatting sqref="E22:E29">
    <cfRule type="expression" dxfId="1431" priority="131">
      <formula>ABS(E$25-E$28)&gt;=1000</formula>
    </cfRule>
  </conditionalFormatting>
  <conditionalFormatting sqref="F22:F29">
    <cfRule type="expression" dxfId="1430" priority="130">
      <formula>ABS(F$25-F$28)&gt;=1000</formula>
    </cfRule>
  </conditionalFormatting>
  <conditionalFormatting sqref="G22:G29">
    <cfRule type="expression" dxfId="1429" priority="129">
      <formula>ABS(G$25-G$28)&gt;=1000</formula>
    </cfRule>
  </conditionalFormatting>
  <conditionalFormatting sqref="H22:H29">
    <cfRule type="expression" dxfId="1428" priority="128">
      <formula>ABS(H$25-H$28)&gt;=1000</formula>
    </cfRule>
  </conditionalFormatting>
  <conditionalFormatting sqref="I22 I24:I29">
    <cfRule type="expression" dxfId="1427" priority="127">
      <formula>ABS(I$25-I$28)&gt;=1000</formula>
    </cfRule>
  </conditionalFormatting>
  <conditionalFormatting sqref="J22:J29 K22">
    <cfRule type="expression" dxfId="1426" priority="126">
      <formula>ABS(J$25-J$28)&gt;=1000</formula>
    </cfRule>
  </conditionalFormatting>
  <conditionalFormatting sqref="K23:K29 L25 L28">
    <cfRule type="expression" dxfId="1425" priority="125">
      <formula>ABS(K$25-K$28)&gt;=1000</formula>
    </cfRule>
  </conditionalFormatting>
  <conditionalFormatting sqref="L22 L26:L27 L29 L24">
    <cfRule type="expression" dxfId="1424" priority="124">
      <formula>ABS(L$25-L$28)&gt;=1000</formula>
    </cfRule>
  </conditionalFormatting>
  <conditionalFormatting sqref="M22:M29">
    <cfRule type="expression" dxfId="1423" priority="123">
      <formula>ABS(M$25-M$28)&gt;=1000</formula>
    </cfRule>
  </conditionalFormatting>
  <conditionalFormatting sqref="N22:N29">
    <cfRule type="expression" dxfId="1422" priority="122">
      <formula>ABS(N$25-N$28)&gt;=1000</formula>
    </cfRule>
  </conditionalFormatting>
  <conditionalFormatting sqref="O22:O29">
    <cfRule type="expression" dxfId="1421" priority="121">
      <formula>ABS(O$25-O$28)&gt;=1000</formula>
    </cfRule>
  </conditionalFormatting>
  <conditionalFormatting sqref="P22:P29">
    <cfRule type="expression" dxfId="1420" priority="120">
      <formula>ABS(P$25-P$28)&gt;=1000</formula>
    </cfRule>
  </conditionalFormatting>
  <conditionalFormatting sqref="Q22:Q29">
    <cfRule type="expression" dxfId="1419" priority="119">
      <formula>ABS(Q$25-Q$28)&gt;=1000</formula>
    </cfRule>
  </conditionalFormatting>
  <conditionalFormatting sqref="R22:R29">
    <cfRule type="expression" dxfId="1418" priority="118">
      <formula>ABS(R$25-R$28)&gt;=1000</formula>
    </cfRule>
  </conditionalFormatting>
  <conditionalFormatting sqref="S22:S29">
    <cfRule type="expression" dxfId="1417" priority="117">
      <formula>ABS(S$25-S$28)&gt;=1000</formula>
    </cfRule>
  </conditionalFormatting>
  <conditionalFormatting sqref="T22:T29">
    <cfRule type="expression" dxfId="1416" priority="116">
      <formula>ABS(T$25-T$28)&gt;=1000</formula>
    </cfRule>
  </conditionalFormatting>
  <conditionalFormatting sqref="U22:U29">
    <cfRule type="expression" dxfId="1415" priority="115">
      <formula>ABS(U$25-U$28)&gt;=1000</formula>
    </cfRule>
  </conditionalFormatting>
  <conditionalFormatting sqref="V22:V29">
    <cfRule type="expression" dxfId="1414" priority="114">
      <formula>ABS(V$25-V$28)&gt;=1000</formula>
    </cfRule>
  </conditionalFormatting>
  <conditionalFormatting sqref="W22:W29">
    <cfRule type="expression" dxfId="1413" priority="113">
      <formula>ABS(W$25-W$28)&gt;=1000</formula>
    </cfRule>
  </conditionalFormatting>
  <conditionalFormatting sqref="X22:X29">
    <cfRule type="expression" dxfId="1412" priority="112">
      <formula>ABS(X$25-X$28)&gt;=1000</formula>
    </cfRule>
  </conditionalFormatting>
  <conditionalFormatting sqref="Y22:Y29">
    <cfRule type="expression" dxfId="1411" priority="111">
      <formula>ABS(Y$25-Y$28)&gt;=1000</formula>
    </cfRule>
  </conditionalFormatting>
  <conditionalFormatting sqref="I23">
    <cfRule type="expression" dxfId="1410" priority="110">
      <formula>ABS(I$25-I$28)&gt;=1000</formula>
    </cfRule>
  </conditionalFormatting>
  <conditionalFormatting sqref="Q14">
    <cfRule type="expression" dxfId="1409" priority="109">
      <formula>ABS(Q$16-Q$19)&gt;=1000</formula>
    </cfRule>
  </conditionalFormatting>
  <conditionalFormatting sqref="W14">
    <cfRule type="expression" dxfId="1408" priority="108">
      <formula>ABS(W$16-W$19)&gt;=1000</formula>
    </cfRule>
  </conditionalFormatting>
  <conditionalFormatting sqref="X14">
    <cfRule type="expression" dxfId="1407" priority="107">
      <formula>ABS(X$16-X$19)&gt;=1000</formula>
    </cfRule>
  </conditionalFormatting>
  <conditionalFormatting sqref="T10:Y10">
    <cfRule type="expression" dxfId="1406" priority="106">
      <formula>ABS(T$7-T$10)&gt;=1000</formula>
    </cfRule>
  </conditionalFormatting>
  <conditionalFormatting sqref="W19">
    <cfRule type="expression" dxfId="1405" priority="105">
      <formula>ABS(W$16-W$19)&gt;=1000</formula>
    </cfRule>
  </conditionalFormatting>
  <conditionalFormatting sqref="AC5">
    <cfRule type="expression" dxfId="1404" priority="104">
      <formula>ABS(AC$7-AC$10)&gt;=1000</formula>
    </cfRule>
  </conditionalFormatting>
  <conditionalFormatting sqref="M14">
    <cfRule type="expression" dxfId="1403" priority="103">
      <formula>ABS(M$16-M$19)&gt;=1000</formula>
    </cfRule>
  </conditionalFormatting>
  <conditionalFormatting sqref="M16">
    <cfRule type="expression" dxfId="1402" priority="102">
      <formula>ABS(M$16-M$19)&gt;=1000</formula>
    </cfRule>
  </conditionalFormatting>
  <conditionalFormatting sqref="M19">
    <cfRule type="expression" dxfId="1401" priority="101">
      <formula>ABS(M$16-M$19)&gt;=1000</formula>
    </cfRule>
  </conditionalFormatting>
  <conditionalFormatting sqref="K13:K20">
    <cfRule type="expression" dxfId="1400" priority="100">
      <formula>ABS(K$16-K$19)&gt;=1000</formula>
    </cfRule>
  </conditionalFormatting>
  <conditionalFormatting sqref="AB14:AC14">
    <cfRule type="expression" dxfId="1399" priority="99">
      <formula>ABS(AB$16-AB$19)&gt;=1000</formula>
    </cfRule>
  </conditionalFormatting>
  <conditionalFormatting sqref="M5">
    <cfRule type="expression" dxfId="1398" priority="98">
      <formula>ABS(M$7-M$10)&gt;=1000</formula>
    </cfRule>
  </conditionalFormatting>
  <conditionalFormatting sqref="N5">
    <cfRule type="expression" dxfId="1397" priority="97">
      <formula>ABS(N$7-N$10)&gt;=1000</formula>
    </cfRule>
  </conditionalFormatting>
  <conditionalFormatting sqref="L23">
    <cfRule type="expression" dxfId="1396" priority="96">
      <formula>ABS(L$25-L$28)&gt;=1000</formula>
    </cfRule>
  </conditionalFormatting>
  <conditionalFormatting sqref="Y14">
    <cfRule type="expression" dxfId="1395" priority="95">
      <formula>ABS(Y$16-Y$19)&gt;=1000</formula>
    </cfRule>
  </conditionalFormatting>
  <conditionalFormatting sqref="F14">
    <cfRule type="expression" dxfId="1394" priority="94">
      <formula>ABS(F$16-F$19)&gt;=1000</formula>
    </cfRule>
  </conditionalFormatting>
  <conditionalFormatting sqref="H14">
    <cfRule type="expression" dxfId="1393" priority="93">
      <formula>ABS(H$16-H$19)&gt;=1000</formula>
    </cfRule>
  </conditionalFormatting>
  <conditionalFormatting sqref="AD5">
    <cfRule type="expression" dxfId="1392" priority="92">
      <formula>ABS(AD$7-AD$10)&gt;=1000</formula>
    </cfRule>
  </conditionalFormatting>
  <conditionalFormatting sqref="AE5">
    <cfRule type="expression" dxfId="1391" priority="91">
      <formula>ABS(AE$7-AE$10)&gt;=1000</formula>
    </cfRule>
  </conditionalFormatting>
  <conditionalFormatting sqref="D5">
    <cfRule type="expression" dxfId="1390" priority="90">
      <formula>ABS(D$7-D$10)&gt;=1000</formula>
    </cfRule>
  </conditionalFormatting>
  <conditionalFormatting sqref="E5:G5">
    <cfRule type="expression" dxfId="1389" priority="89">
      <formula>ABS(E$7-E$10)&gt;=1000</formula>
    </cfRule>
  </conditionalFormatting>
  <conditionalFormatting sqref="H5">
    <cfRule type="expression" dxfId="1388" priority="88">
      <formula>ABS(H$7-H$10)&gt;=1000</formula>
    </cfRule>
  </conditionalFormatting>
  <conditionalFormatting sqref="O4:P4">
    <cfRule type="expression" dxfId="1387" priority="87">
      <formula>ABS(O$7-O$10)&gt;=1000</formula>
    </cfRule>
  </conditionalFormatting>
  <conditionalFormatting sqref="O5 O8 O11">
    <cfRule type="expression" dxfId="1386" priority="86">
      <formula>ABS(O$7-O$10)&gt;=1000</formula>
    </cfRule>
  </conditionalFormatting>
  <conditionalFormatting sqref="P8 P11">
    <cfRule type="expression" dxfId="1385" priority="85">
      <formula>ABS(P$7-P$10)&gt;=1000</formula>
    </cfRule>
  </conditionalFormatting>
  <conditionalFormatting sqref="J5">
    <cfRule type="expression" dxfId="1384" priority="84">
      <formula>ABS(J$7-J$10)&gt;=1000</formula>
    </cfRule>
  </conditionalFormatting>
  <conditionalFormatting sqref="K5">
    <cfRule type="expression" dxfId="1383" priority="83">
      <formula>ABS(K$7-K$10)&gt;=1000</formula>
    </cfRule>
  </conditionalFormatting>
  <conditionalFormatting sqref="H6">
    <cfRule type="expression" dxfId="1365" priority="65">
      <formula>ABS(H$7-H$10)&gt;=1000</formula>
    </cfRule>
  </conditionalFormatting>
  <conditionalFormatting sqref="J6">
    <cfRule type="expression" dxfId="1364" priority="64">
      <formula>ABS(J$7-J$10)&gt;=1000</formula>
    </cfRule>
  </conditionalFormatting>
  <conditionalFormatting sqref="K6">
    <cfRule type="expression" dxfId="1363" priority="63">
      <formula>ABS(K$7-K$10)&gt;=1000</formula>
    </cfRule>
  </conditionalFormatting>
  <conditionalFormatting sqref="L6">
    <cfRule type="expression" dxfId="1362" priority="62">
      <formula>ABS(L$7-L$10)&gt;=1000</formula>
    </cfRule>
  </conditionalFormatting>
  <conditionalFormatting sqref="M6">
    <cfRule type="expression" dxfId="1361" priority="61">
      <formula>ABS(M$7-M$10)&gt;=1000</formula>
    </cfRule>
  </conditionalFormatting>
  <conditionalFormatting sqref="N6">
    <cfRule type="expression" dxfId="1360" priority="60">
      <formula>ABS(N$7-N$10)&gt;=1000</formula>
    </cfRule>
  </conditionalFormatting>
  <conditionalFormatting sqref="O6">
    <cfRule type="expression" dxfId="1359" priority="59">
      <formula>ABS(O$7-O$10)&gt;=1000</formula>
    </cfRule>
  </conditionalFormatting>
  <conditionalFormatting sqref="P6">
    <cfRule type="expression" dxfId="1358" priority="58">
      <formula>ABS(P$7-P$10)&gt;=1000</formula>
    </cfRule>
  </conditionalFormatting>
  <conditionalFormatting sqref="I6">
    <cfRule type="expression" dxfId="1357" priority="57">
      <formula>ABS(I$7-I$10)&gt;=1000</formula>
    </cfRule>
  </conditionalFormatting>
  <conditionalFormatting sqref="H9">
    <cfRule type="expression" dxfId="1356" priority="56">
      <formula>ABS(H$7-H$10)&gt;=1000</formula>
    </cfRule>
  </conditionalFormatting>
  <conditionalFormatting sqref="J9">
    <cfRule type="expression" dxfId="1355" priority="55">
      <formula>ABS(J$7-J$10)&gt;=1000</formula>
    </cfRule>
  </conditionalFormatting>
  <conditionalFormatting sqref="K9">
    <cfRule type="expression" dxfId="1354" priority="54">
      <formula>ABS(K$7-K$10)&gt;=1000</formula>
    </cfRule>
  </conditionalFormatting>
  <conditionalFormatting sqref="L9">
    <cfRule type="expression" dxfId="1353" priority="53">
      <formula>ABS(L$7-L$10)&gt;=1000</formula>
    </cfRule>
  </conditionalFormatting>
  <conditionalFormatting sqref="M9">
    <cfRule type="expression" dxfId="1352" priority="52">
      <formula>ABS(M$7-M$10)&gt;=1000</formula>
    </cfRule>
  </conditionalFormatting>
  <conditionalFormatting sqref="N9">
    <cfRule type="expression" dxfId="1351" priority="51">
      <formula>ABS(N$7-N$10)&gt;=1000</formula>
    </cfRule>
  </conditionalFormatting>
  <conditionalFormatting sqref="O9">
    <cfRule type="expression" dxfId="1350" priority="50">
      <formula>ABS(O$7-O$10)&gt;=1000</formula>
    </cfRule>
  </conditionalFormatting>
  <conditionalFormatting sqref="P9">
    <cfRule type="expression" dxfId="1349" priority="49">
      <formula>ABS(P$7-P$10)&gt;=1000</formula>
    </cfRule>
  </conditionalFormatting>
  <conditionalFormatting sqref="I9">
    <cfRule type="expression" dxfId="1348" priority="48">
      <formula>ABS(I$7-I$10)&gt;=1000</formula>
    </cfRule>
  </conditionalFormatting>
  <conditionalFormatting sqref="P5">
    <cfRule type="expression" dxfId="1347" priority="47">
      <formula>ABS(P$7-P$10)&gt;=1000</formula>
    </cfRule>
  </conditionalFormatting>
  <conditionalFormatting sqref="I5">
    <cfRule type="expression" dxfId="1346" priority="46">
      <formula>ABS(I$7-I$10)&gt;=1000</formula>
    </cfRule>
  </conditionalFormatting>
  <conditionalFormatting sqref="D7:G7">
    <cfRule type="expression" dxfId="104" priority="15">
      <formula>ABS(D$7-D$10)&gt;=1000</formula>
    </cfRule>
  </conditionalFormatting>
  <conditionalFormatting sqref="H7:L7">
    <cfRule type="expression" dxfId="103" priority="14">
      <formula>ABS(H$7-H$10)&gt;=1000</formula>
    </cfRule>
  </conditionalFormatting>
  <conditionalFormatting sqref="M7">
    <cfRule type="expression" dxfId="102" priority="13">
      <formula>ABS(M$7-M$10)&gt;=1000</formula>
    </cfRule>
  </conditionalFormatting>
  <conditionalFormatting sqref="O7:P7">
    <cfRule type="expression" dxfId="101" priority="12">
      <formula>ABS(O$7-O$10)&gt;=1000</formula>
    </cfRule>
  </conditionalFormatting>
  <conditionalFormatting sqref="N7">
    <cfRule type="expression" dxfId="100" priority="11">
      <formula>ABS(N$7-N$10)&gt;=1000</formula>
    </cfRule>
  </conditionalFormatting>
  <conditionalFormatting sqref="D10:G10">
    <cfRule type="expression" dxfId="4" priority="5">
      <formula>ABS(D$7-D$10)&gt;=1000</formula>
    </cfRule>
  </conditionalFormatting>
  <conditionalFormatting sqref="H10:L10">
    <cfRule type="expression" dxfId="3" priority="4">
      <formula>ABS(H$7-H$10)&gt;=1000</formula>
    </cfRule>
  </conditionalFormatting>
  <conditionalFormatting sqref="M10">
    <cfRule type="expression" dxfId="2" priority="3">
      <formula>ABS(M$7-M$10)&gt;=1000</formula>
    </cfRule>
  </conditionalFormatting>
  <conditionalFormatting sqref="O10:P10">
    <cfRule type="expression" dxfId="1" priority="2">
      <formula>ABS(O$7-O$10)&gt;=1000</formula>
    </cfRule>
  </conditionalFormatting>
  <conditionalFormatting sqref="N10">
    <cfRule type="expression" dxfId="0" priority="1">
      <formula>ABS(N$7-N$10)&gt;=1000</formula>
    </cfRule>
  </conditionalFormatting>
  <dataValidations disablePrompts="1"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80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2">
    <pageSetUpPr fitToPage="1"/>
  </sheetPr>
  <dimension ref="A1:BA223"/>
  <sheetViews>
    <sheetView view="pageBreakPreview" zoomScale="110" zoomScaleNormal="100" zoomScaleSheetLayoutView="110" workbookViewId="0">
      <selection activeCell="D10" sqref="D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233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234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235</v>
      </c>
      <c r="C4" s="66" t="s" ph="1">
        <v>236</v>
      </c>
      <c r="D4" s="67" t="s" ph="1">
        <v>237</v>
      </c>
      <c r="E4" s="67" t="s" ph="1">
        <v>238</v>
      </c>
      <c r="F4" s="67" t="s" ph="1">
        <v>239</v>
      </c>
      <c r="G4" s="67" t="s" ph="1">
        <v>240</v>
      </c>
      <c r="H4" s="67" t="s" ph="1">
        <v>241</v>
      </c>
      <c r="I4" s="67" t="s" ph="1">
        <v>242</v>
      </c>
      <c r="J4" s="67" t="s" ph="1">
        <v>71</v>
      </c>
      <c r="K4" s="67" t="s" ph="1">
        <v>72</v>
      </c>
      <c r="L4" s="67" t="s" ph="1">
        <v>243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244</v>
      </c>
      <c r="D5" s="141" t="s" ph="1">
        <v>245</v>
      </c>
      <c r="E5" s="141" t="s" ph="1">
        <v>245</v>
      </c>
      <c r="F5" s="141" t="s" ph="1">
        <v>246</v>
      </c>
      <c r="G5" s="141" t="s" ph="1">
        <v>246</v>
      </c>
      <c r="H5" s="141" t="s" ph="1">
        <v>245</v>
      </c>
      <c r="I5" s="141" t="s" ph="1">
        <v>245</v>
      </c>
      <c r="J5" s="141" t="s" ph="1">
        <v>246</v>
      </c>
      <c r="K5" s="141" t="s" ph="1">
        <v>246</v>
      </c>
      <c r="L5" s="140" t="s" ph="1">
        <v>247</v>
      </c>
      <c r="M5" s="140" t="s" ph="1">
        <v>248</v>
      </c>
      <c r="N5" s="140" t="s" ph="1">
        <v>247</v>
      </c>
      <c r="O5" s="140" t="s" ph="1">
        <v>249</v>
      </c>
      <c r="P5" s="140" t="s" ph="1">
        <v>249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08" t="s" ph="1">
        <v>250</v>
      </c>
      <c r="D6" s="151">
        <v>0.2198</v>
      </c>
      <c r="E6" s="151">
        <v>0.998</v>
      </c>
      <c r="F6" s="151">
        <v>0</v>
      </c>
      <c r="G6" s="151">
        <v>0</v>
      </c>
      <c r="H6" s="70">
        <v>4689</v>
      </c>
      <c r="I6" s="70">
        <v>958</v>
      </c>
      <c r="J6" s="70">
        <v>0</v>
      </c>
      <c r="K6" s="70">
        <v>0</v>
      </c>
      <c r="L6" s="70">
        <v>4496</v>
      </c>
      <c r="M6" s="70">
        <v>1614</v>
      </c>
      <c r="N6" s="70">
        <v>3044</v>
      </c>
      <c r="O6" s="70">
        <v>2673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251</v>
      </c>
      <c r="D7" s="72" ph="1">
        <f>((D6*5885)*4.48)*LOOKUP(D8,密度!$A$2:$A$50,密度!$B$2:$B$50)</f>
        <v>4472.5679102720005</v>
      </c>
      <c r="E7" s="72" ph="1">
        <f>((E6*5885)*4.48)*LOOKUP(E8,密度!$A$2:$A$50,密度!$B$2:$B$50)</f>
        <v>20331.336798080003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52287.258158079996</v>
      </c>
      <c r="I7" s="72" ph="1">
        <f>IF(I6&lt;=0,0,IF(I6&lt;=745,PI()*(5.3235*(I6/1000)^2-(4/3)*(I6/1000)^3),7.55+15.2053*((I6-745)/1000))*LOOKUP(I8,密度!$A$2:$A$50,密度!$B$2:$B$50)*1000)</f>
        <v>8382.8423552999993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92295.41664000001</v>
      </c>
      <c r="M7" s="72" ph="1">
        <f>M6*26.42*1</f>
        <v>42641.880000000005</v>
      </c>
      <c r="N7" s="72" ph="1">
        <f>N6*18.32*LOOKUP(N8,密度!$A$2:$A$50,密度!$B$2:$B$50)</f>
        <v>43330.244160000002</v>
      </c>
      <c r="O7" s="72" ph="1">
        <f>O6*81.71*LOOKUP(O8,密度!$A$2:$A$50,密度!$B$2:$B$50)</f>
        <v>170076.51332099998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252</v>
      </c>
      <c r="D8" s="73">
        <v>34</v>
      </c>
      <c r="E8" s="73">
        <v>33</v>
      </c>
      <c r="F8" s="73">
        <v>29</v>
      </c>
      <c r="G8" s="73">
        <v>28</v>
      </c>
      <c r="H8" s="73">
        <v>31</v>
      </c>
      <c r="I8" s="73">
        <v>28</v>
      </c>
      <c r="J8" s="73">
        <v>27</v>
      </c>
      <c r="K8" s="73">
        <v>28</v>
      </c>
      <c r="L8" s="73">
        <v>28</v>
      </c>
      <c r="M8" s="73">
        <v>28</v>
      </c>
      <c r="N8" s="73">
        <v>28</v>
      </c>
      <c r="O8" s="73">
        <v>26</v>
      </c>
      <c r="P8" s="73">
        <v>26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08" t="s" ph="1">
        <v>253</v>
      </c>
      <c r="D9" s="151">
        <v>0.7913</v>
      </c>
      <c r="E9" s="151">
        <v>0.99790000000000001</v>
      </c>
      <c r="F9" s="151">
        <v>0</v>
      </c>
      <c r="G9" s="151">
        <v>0</v>
      </c>
      <c r="H9" s="70">
        <v>2558</v>
      </c>
      <c r="I9" s="70">
        <v>4</v>
      </c>
      <c r="J9" s="70">
        <v>0</v>
      </c>
      <c r="K9" s="70">
        <v>0</v>
      </c>
      <c r="L9" s="70">
        <v>4916</v>
      </c>
      <c r="M9" s="70">
        <v>1903</v>
      </c>
      <c r="N9" s="70">
        <v>3162</v>
      </c>
      <c r="O9" s="70">
        <v>4394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08" t="s" ph="1">
        <v>140</v>
      </c>
      <c r="D10" s="72" ph="1">
        <f>((D9*5885)*4.48)*LOOKUP(D11,密度!$A$2:$A$50,密度!$B$2:$B$50)</f>
        <v>16082.875224416002</v>
      </c>
      <c r="E10" s="72" ph="1">
        <f>((E9*5885)*4.48)*LOOKUP(E11,密度!$A$2:$A$50,密度!$B$2:$B$50)</f>
        <v>20350.347137119999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27194.766572159995</v>
      </c>
      <c r="I10" s="72" ph="1">
        <f>IF(I9&lt;=0,0,IF(I9&lt;=745,PI()*(5.3235*(I9/1000)^2-(4/3)*(I9/1000)^3),7.55+15.2053*((I9-745)/1000))*LOOKUP(I11,密度!$A$2:$A$50,密度!$B$2:$B$50)*1000)</f>
        <v>0.20701277317104644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100917.31944000001</v>
      </c>
      <c r="M10" s="72" ph="1">
        <f>M9*26.42*1</f>
        <v>50277.26</v>
      </c>
      <c r="N10" s="72" ph="1">
        <f>N9*18.32*LOOKUP(N11,密度!$A$2:$A$50,密度!$B$2:$B$50)</f>
        <v>44963.589408</v>
      </c>
      <c r="O10" s="72" ph="1">
        <f>O9*81.71*LOOKUP(O11,密度!$A$2:$A$50,密度!$B$2:$B$50)</f>
        <v>279579.57333799999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254</v>
      </c>
      <c r="B11" s="296" ph="1"/>
      <c r="C11" s="208" t="s" ph="1">
        <v>118</v>
      </c>
      <c r="D11" s="73">
        <v>35</v>
      </c>
      <c r="E11" s="73">
        <v>32</v>
      </c>
      <c r="F11" s="73">
        <v>30</v>
      </c>
      <c r="G11" s="73">
        <v>31</v>
      </c>
      <c r="H11" s="73">
        <v>31</v>
      </c>
      <c r="I11" s="73">
        <v>31</v>
      </c>
      <c r="J11" s="73">
        <v>31</v>
      </c>
      <c r="K11" s="73">
        <v>31</v>
      </c>
      <c r="L11" s="73">
        <v>28</v>
      </c>
      <c r="M11" s="73">
        <v>28</v>
      </c>
      <c r="N11" s="73">
        <v>29</v>
      </c>
      <c r="O11" s="73">
        <v>26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124</v>
      </c>
      <c r="C13" s="208" t="s" ph="1">
        <v>181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08" t="s" ph="1">
        <v>255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08" t="s" ph="1">
        <v>251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256</v>
      </c>
      <c r="B17" s="277" ph="1"/>
      <c r="C17" s="78" t="s" ph="1">
        <v>252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253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08" t="s" ph="1">
        <v>140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252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257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235</v>
      </c>
      <c r="C22" s="84" t="s" ph="1">
        <v>181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258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08" t="s" ph="1">
        <v>250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08" t="s" ph="1">
        <v>253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08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08" t="s" ph="1">
        <v>118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257</v>
      </c>
      <c r="AE30" s="94" ph="1"/>
    </row>
    <row r="31" spans="1:32" ht="28.2" ph="1">
      <c r="A31" s="63"/>
      <c r="B31" s="279" t="s" ph="1">
        <v>257</v>
      </c>
      <c r="C31" s="280" ph="1"/>
      <c r="D31" s="257" t="s" ph="1">
        <v>156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119</v>
      </c>
      <c r="E32" s="208" t="s" ph="1">
        <v>259</v>
      </c>
      <c r="F32" s="207" t="s" ph="1">
        <v>260</v>
      </c>
      <c r="G32" s="96" t="s" ph="1">
        <v>261</v>
      </c>
      <c r="H32" s="208" t="s" ph="1">
        <v>259</v>
      </c>
      <c r="I32" s="207" t="s" ph="1">
        <v>260</v>
      </c>
      <c r="J32" s="96" t="s" ph="1">
        <v>119</v>
      </c>
      <c r="K32" s="208" t="s" ph="1">
        <v>158</v>
      </c>
      <c r="L32" s="207" t="s" ph="1">
        <v>260</v>
      </c>
      <c r="M32" s="96" t="s" ph="1">
        <v>261</v>
      </c>
      <c r="N32" s="208" t="s" ph="1">
        <v>259</v>
      </c>
      <c r="O32" s="207" t="s" ph="1">
        <v>260</v>
      </c>
      <c r="P32" s="96" t="s" ph="1">
        <v>261</v>
      </c>
      <c r="Q32" s="97" t="s" ph="1">
        <v>158</v>
      </c>
      <c r="R32" s="98" t="s" ph="1">
        <v>159</v>
      </c>
      <c r="S32" s="96" t="s" ph="1">
        <v>261</v>
      </c>
      <c r="T32" s="208" t="s" ph="1">
        <v>158</v>
      </c>
      <c r="U32" s="98" t="s" ph="1">
        <v>260</v>
      </c>
      <c r="V32" s="96" t="s" ph="1">
        <v>119</v>
      </c>
      <c r="W32" s="208" t="s" ph="1">
        <v>259</v>
      </c>
      <c r="X32" s="98" t="s" ph="1">
        <v>159</v>
      </c>
      <c r="Y32" s="99" t="s" ph="1">
        <v>119</v>
      </c>
      <c r="Z32" s="208" t="s" ph="1">
        <v>158</v>
      </c>
      <c r="AA32" s="207" t="s" ph="1">
        <v>260</v>
      </c>
      <c r="AB32" s="96" t="s" ph="1">
        <v>262</v>
      </c>
      <c r="AC32" s="208" t="s" ph="1">
        <v>263</v>
      </c>
      <c r="AD32" s="263" t="s" ph="1">
        <v>264</v>
      </c>
      <c r="AE32" s="264"/>
    </row>
    <row r="33" spans="1:31" ph="1">
      <c r="A33" s="63"/>
      <c r="B33" s="265" t="s" ph="1">
        <v>265</v>
      </c>
      <c r="C33" s="266" ph="1"/>
      <c r="D33" s="245" ph="1">
        <f>O10+P10</f>
        <v>279579.57333799999</v>
      </c>
      <c r="E33" s="245" ph="1">
        <f>H10+I10+J10+K10</f>
        <v>27194.973584933166</v>
      </c>
      <c r="F33" s="269" ph="1">
        <f>L10+N10</f>
        <v>145880.90884799999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266</v>
      </c>
      <c r="AD35" s="244"/>
      <c r="AE35" s="244"/>
    </row>
    <row r="36" spans="1:31" ht="28.2" ph="1">
      <c r="A36" s="63"/>
      <c r="B36" s="102" t="s" ph="1">
        <v>230</v>
      </c>
      <c r="I36" s="230" t="s" ph="1">
        <v>267</v>
      </c>
      <c r="J36" s="230" ph="1"/>
      <c r="K36" s="100" ph="1"/>
      <c r="P36" s="100" ph="1"/>
      <c r="R36" s="230" t="s" ph="1">
        <v>268</v>
      </c>
      <c r="S36" s="230" ph="1"/>
      <c r="Y36" s="101" ph="1"/>
      <c r="Z36" s="206" t="s" ph="1">
        <v>232</v>
      </c>
      <c r="AA36" s="206" ph="1"/>
      <c r="AB36" s="231" t="s" ph="1">
        <v>67</v>
      </c>
      <c r="AC36" s="231" ph="1"/>
      <c r="AD36" s="231" ph="1"/>
      <c r="AE36" s="231" ph="1"/>
    </row>
    <row r="37" spans="1:31" s="20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341" priority="174">
      <formula>ABS(D$7-D$10)&gt;=1000</formula>
    </cfRule>
  </conditionalFormatting>
  <conditionalFormatting sqref="E4 E6 E8:E9 E11">
    <cfRule type="expression" dxfId="1340" priority="173">
      <formula>ABS(E$7-E$10)&gt;=1000</formula>
    </cfRule>
  </conditionalFormatting>
  <conditionalFormatting sqref="F4 F6 F8:F9 F11">
    <cfRule type="expression" dxfId="1339" priority="172">
      <formula>ABS(F$7-F$10)&gt;=1000</formula>
    </cfRule>
  </conditionalFormatting>
  <conditionalFormatting sqref="G4 G6 G8:G9 G11">
    <cfRule type="expression" dxfId="1338" priority="171">
      <formula>ABS(G$7-G$10)&gt;=1000</formula>
    </cfRule>
  </conditionalFormatting>
  <conditionalFormatting sqref="H4:K4 H8 H11">
    <cfRule type="expression" dxfId="1337" priority="170">
      <formula>ABS(H$7-H$10)&gt;=1000</formula>
    </cfRule>
  </conditionalFormatting>
  <conditionalFormatting sqref="I8 I11">
    <cfRule type="expression" dxfId="1336" priority="169">
      <formula>ABS(I$7-I$10)&gt;=1000</formula>
    </cfRule>
  </conditionalFormatting>
  <conditionalFormatting sqref="J8 J11">
    <cfRule type="expression" dxfId="1335" priority="168">
      <formula>ABS(J$7-J$10)&gt;=1000</formula>
    </cfRule>
  </conditionalFormatting>
  <conditionalFormatting sqref="K8 K11">
    <cfRule type="expression" dxfId="1334" priority="167">
      <formula>ABS(K$7-K$10)&gt;=1000</formula>
    </cfRule>
  </conditionalFormatting>
  <conditionalFormatting sqref="L4:L5 M4:N4 Q4:S4 L8 L11">
    <cfRule type="expression" dxfId="1333" priority="166">
      <formula>ABS(L$7-L$10)&gt;=1000</formula>
    </cfRule>
  </conditionalFormatting>
  <conditionalFormatting sqref="M8 M11">
    <cfRule type="expression" dxfId="1332" priority="165">
      <formula>ABS(M$7-M$10)&gt;=1000</formula>
    </cfRule>
  </conditionalFormatting>
  <conditionalFormatting sqref="N8 N11">
    <cfRule type="expression" dxfId="1331" priority="164">
      <formula>ABS(N$7-N$10)&gt;=1000</formula>
    </cfRule>
  </conditionalFormatting>
  <conditionalFormatting sqref="Q5:Q11">
    <cfRule type="expression" dxfId="1330" priority="163">
      <formula>ABS(Q$7-Q$10)&gt;=1000</formula>
    </cfRule>
  </conditionalFormatting>
  <conditionalFormatting sqref="R5:R11">
    <cfRule type="expression" dxfId="1329" priority="162">
      <formula>ABS(R$7-R$10)&gt;=1000</formula>
    </cfRule>
  </conditionalFormatting>
  <conditionalFormatting sqref="S5:S11">
    <cfRule type="expression" dxfId="1328" priority="161">
      <formula>ABS(S$7-S$10)&gt;=1000</formula>
    </cfRule>
  </conditionalFormatting>
  <conditionalFormatting sqref="T4:T9 T11">
    <cfRule type="expression" dxfId="1327" priority="160">
      <formula>ABS(T$7-T$10)&gt;=1000</formula>
    </cfRule>
  </conditionalFormatting>
  <conditionalFormatting sqref="U4:U9 U11">
    <cfRule type="expression" dxfId="1326" priority="159">
      <formula>ABS(U$7-U$10)&gt;=1000</formula>
    </cfRule>
  </conditionalFormatting>
  <conditionalFormatting sqref="V4:V9 V11">
    <cfRule type="expression" dxfId="1325" priority="158">
      <formula>ABS(V$7-V$10)&gt;=1000</formula>
    </cfRule>
  </conditionalFormatting>
  <conditionalFormatting sqref="W4:W9 W11">
    <cfRule type="expression" dxfId="1324" priority="157">
      <formula>ABS(W$7-W$10)&gt;=1000</formula>
    </cfRule>
  </conditionalFormatting>
  <conditionalFormatting sqref="X4:X9 X11">
    <cfRule type="expression" dxfId="1323" priority="156">
      <formula>ABS(X$7-X$10)&gt;=1000</formula>
    </cfRule>
  </conditionalFormatting>
  <conditionalFormatting sqref="Y4:Y9 Y11">
    <cfRule type="expression" dxfId="1322" priority="155">
      <formula>ABS(Y$7-Y$10)&gt;=1000</formula>
    </cfRule>
  </conditionalFormatting>
  <conditionalFormatting sqref="Z4:Z11">
    <cfRule type="expression" dxfId="1321" priority="154">
      <formula>ABS(Z$7-Z$10)&gt;=1000</formula>
    </cfRule>
  </conditionalFormatting>
  <conditionalFormatting sqref="AA4:AA11">
    <cfRule type="expression" dxfId="1320" priority="153">
      <formula>ABS(AA$7-AA$10)&gt;=1000</formula>
    </cfRule>
  </conditionalFormatting>
  <conditionalFormatting sqref="AB4:AB11">
    <cfRule type="expression" dxfId="1319" priority="152">
      <formula>ABS(AB$7-AB$10)&gt;=1000</formula>
    </cfRule>
  </conditionalFormatting>
  <conditionalFormatting sqref="AC4 AC6:AC11">
    <cfRule type="expression" dxfId="1318" priority="151">
      <formula>ABS(AC$7-AC$10)&gt;=1000</formula>
    </cfRule>
  </conditionalFormatting>
  <conditionalFormatting sqref="AD4 AD6:AD11">
    <cfRule type="expression" dxfId="1317" priority="150">
      <formula>ABS(AD$7-AD$10)&gt;=1000</formula>
    </cfRule>
  </conditionalFormatting>
  <conditionalFormatting sqref="AE4 AE6:AE11">
    <cfRule type="expression" dxfId="1316" priority="149">
      <formula>ABS(AE$7-AE$10)&gt;=1000</formula>
    </cfRule>
  </conditionalFormatting>
  <conditionalFormatting sqref="D13:D20">
    <cfRule type="expression" dxfId="1315" priority="148">
      <formula>ABS(D$16-D$19)&gt;=1000</formula>
    </cfRule>
  </conditionalFormatting>
  <conditionalFormatting sqref="E13:E20">
    <cfRule type="expression" dxfId="1314" priority="147">
      <formula>ABS(E$16-E$19)&gt;=1000</formula>
    </cfRule>
  </conditionalFormatting>
  <conditionalFormatting sqref="F13 F15:F20">
    <cfRule type="expression" dxfId="1313" priority="146">
      <formula>ABS(F$16-F$19)&gt;=1000</formula>
    </cfRule>
  </conditionalFormatting>
  <conditionalFormatting sqref="G13:G20">
    <cfRule type="expression" dxfId="1312" priority="145">
      <formula>ABS(G$16-G$19)&gt;=1000</formula>
    </cfRule>
  </conditionalFormatting>
  <conditionalFormatting sqref="H13 H15:H20">
    <cfRule type="expression" dxfId="1311" priority="144">
      <formula>ABS(H$16-H$19)&gt;=1000</formula>
    </cfRule>
  </conditionalFormatting>
  <conditionalFormatting sqref="I13:I20">
    <cfRule type="expression" dxfId="1310" priority="143">
      <formula>ABS(I$16-I$19)&gt;=1000</formula>
    </cfRule>
  </conditionalFormatting>
  <conditionalFormatting sqref="J13:J20">
    <cfRule type="expression" dxfId="1309" priority="142">
      <formula>ABS(J$16-J$19)&gt;=1000</formula>
    </cfRule>
  </conditionalFormatting>
  <conditionalFormatting sqref="L13:L20">
    <cfRule type="expression" dxfId="1308" priority="141">
      <formula>ABS(L$16-L$19)&gt;=1000</formula>
    </cfRule>
  </conditionalFormatting>
  <conditionalFormatting sqref="M13 M15 M17:M18 M20">
    <cfRule type="expression" dxfId="1307" priority="140">
      <formula>ABS(M$16-M$19)&gt;=1000</formula>
    </cfRule>
  </conditionalFormatting>
  <conditionalFormatting sqref="N13:N20">
    <cfRule type="expression" dxfId="1306" priority="139">
      <formula>ABS(N$16-N$19)&gt;=1000</formula>
    </cfRule>
  </conditionalFormatting>
  <conditionalFormatting sqref="O13:O20">
    <cfRule type="expression" dxfId="1305" priority="138">
      <formula>ABS(O$16-O$19)&gt;=1000</formula>
    </cfRule>
  </conditionalFormatting>
  <conditionalFormatting sqref="P13:P20">
    <cfRule type="expression" dxfId="1304" priority="137">
      <formula>ABS(P$16-P$19)&gt;=1000</formula>
    </cfRule>
  </conditionalFormatting>
  <conditionalFormatting sqref="Q13 Q15:Q20">
    <cfRule type="expression" dxfId="1303" priority="136">
      <formula>ABS(Q$16-Q$19)&gt;=1000</formula>
    </cfRule>
  </conditionalFormatting>
  <conditionalFormatting sqref="R13:R20">
    <cfRule type="expression" dxfId="1302" priority="135">
      <formula>ABS(R$16-R$19)&gt;=1000</formula>
    </cfRule>
  </conditionalFormatting>
  <conditionalFormatting sqref="S13:S20">
    <cfRule type="expression" dxfId="1301" priority="134">
      <formula>ABS(S$16-S$19)&gt;=1000</formula>
    </cfRule>
  </conditionalFormatting>
  <conditionalFormatting sqref="T13:T20">
    <cfRule type="expression" dxfId="1300" priority="133">
      <formula>ABS(T$16-T$19)&gt;=1000</formula>
    </cfRule>
  </conditionalFormatting>
  <conditionalFormatting sqref="U13:U20">
    <cfRule type="expression" dxfId="1299" priority="132">
      <formula>ABS(U$16-U$19)&gt;=1000</formula>
    </cfRule>
  </conditionalFormatting>
  <conditionalFormatting sqref="V13:V20">
    <cfRule type="expression" dxfId="1298" priority="131">
      <formula>ABS(V$16-V$19)&gt;=1000</formula>
    </cfRule>
  </conditionalFormatting>
  <conditionalFormatting sqref="W13 W20 W15:W18">
    <cfRule type="expression" dxfId="1297" priority="130">
      <formula>ABS(W$16-W$19)&gt;=1000</formula>
    </cfRule>
  </conditionalFormatting>
  <conditionalFormatting sqref="X13 X15:X20 Y19">
    <cfRule type="expression" dxfId="1296" priority="129">
      <formula>ABS(X$16-X$19)&gt;=1000</formula>
    </cfRule>
  </conditionalFormatting>
  <conditionalFormatting sqref="Y13 Y15:Y18 Y20">
    <cfRule type="expression" dxfId="1295" priority="128">
      <formula>ABS(Y$16-Y$19)&gt;=1000</formula>
    </cfRule>
  </conditionalFormatting>
  <conditionalFormatting sqref="Z13:Z20">
    <cfRule type="expression" dxfId="1294" priority="127">
      <formula>ABS(Z$16-Z$19)&gt;=1000</formula>
    </cfRule>
  </conditionalFormatting>
  <conditionalFormatting sqref="AA13:AA20">
    <cfRule type="expression" dxfId="1293" priority="126">
      <formula>ABS(AA$16-AA$19)&gt;=1000</formula>
    </cfRule>
  </conditionalFormatting>
  <conditionalFormatting sqref="AB13 AB15:AB20">
    <cfRule type="expression" dxfId="1292" priority="125">
      <formula>ABS(AB$16-AB$19)&gt;=1000</formula>
    </cfRule>
  </conditionalFormatting>
  <conditionalFormatting sqref="AC13 AC15:AC20">
    <cfRule type="expression" dxfId="1291" priority="124">
      <formula>ABS(AC$16-AC$19)&gt;=1000</formula>
    </cfRule>
  </conditionalFormatting>
  <conditionalFormatting sqref="AD13:AD20">
    <cfRule type="expression" dxfId="1290" priority="123">
      <formula>ABS(AD$16-AD$19)&gt;=1000</formula>
    </cfRule>
  </conditionalFormatting>
  <conditionalFormatting sqref="AE13:AE20">
    <cfRule type="expression" dxfId="1289" priority="122">
      <formula>ABS(AE$16-AE$19)&gt;=1000</formula>
    </cfRule>
  </conditionalFormatting>
  <conditionalFormatting sqref="D22:D29">
    <cfRule type="expression" dxfId="1288" priority="121">
      <formula>ABS(D$25-D$28)&gt;=1000</formula>
    </cfRule>
  </conditionalFormatting>
  <conditionalFormatting sqref="E22:E29">
    <cfRule type="expression" dxfId="1287" priority="120">
      <formula>ABS(E$25-E$28)&gt;=1000</formula>
    </cfRule>
  </conditionalFormatting>
  <conditionalFormatting sqref="F22:F29">
    <cfRule type="expression" dxfId="1286" priority="119">
      <formula>ABS(F$25-F$28)&gt;=1000</formula>
    </cfRule>
  </conditionalFormatting>
  <conditionalFormatting sqref="G22:G29">
    <cfRule type="expression" dxfId="1285" priority="118">
      <formula>ABS(G$25-G$28)&gt;=1000</formula>
    </cfRule>
  </conditionalFormatting>
  <conditionalFormatting sqref="H22:H29">
    <cfRule type="expression" dxfId="1284" priority="117">
      <formula>ABS(H$25-H$28)&gt;=1000</formula>
    </cfRule>
  </conditionalFormatting>
  <conditionalFormatting sqref="I22 I24:I29">
    <cfRule type="expression" dxfId="1283" priority="116">
      <formula>ABS(I$25-I$28)&gt;=1000</formula>
    </cfRule>
  </conditionalFormatting>
  <conditionalFormatting sqref="J22:J29 K22">
    <cfRule type="expression" dxfId="1282" priority="115">
      <formula>ABS(J$25-J$28)&gt;=1000</formula>
    </cfRule>
  </conditionalFormatting>
  <conditionalFormatting sqref="K23:K29 L25 L28">
    <cfRule type="expression" dxfId="1281" priority="114">
      <formula>ABS(K$25-K$28)&gt;=1000</formula>
    </cfRule>
  </conditionalFormatting>
  <conditionalFormatting sqref="L22 L26:L27 L29 L24">
    <cfRule type="expression" dxfId="1280" priority="113">
      <formula>ABS(L$25-L$28)&gt;=1000</formula>
    </cfRule>
  </conditionalFormatting>
  <conditionalFormatting sqref="M22:M29">
    <cfRule type="expression" dxfId="1279" priority="112">
      <formula>ABS(M$25-M$28)&gt;=1000</formula>
    </cfRule>
  </conditionalFormatting>
  <conditionalFormatting sqref="N22:N29">
    <cfRule type="expression" dxfId="1278" priority="111">
      <formula>ABS(N$25-N$28)&gt;=1000</formula>
    </cfRule>
  </conditionalFormatting>
  <conditionalFormatting sqref="O22:O29">
    <cfRule type="expression" dxfId="1277" priority="110">
      <formula>ABS(O$25-O$28)&gt;=1000</formula>
    </cfRule>
  </conditionalFormatting>
  <conditionalFormatting sqref="P22:P29">
    <cfRule type="expression" dxfId="1276" priority="109">
      <formula>ABS(P$25-P$28)&gt;=1000</formula>
    </cfRule>
  </conditionalFormatting>
  <conditionalFormatting sqref="Q22:Q29">
    <cfRule type="expression" dxfId="1275" priority="108">
      <formula>ABS(Q$25-Q$28)&gt;=1000</formula>
    </cfRule>
  </conditionalFormatting>
  <conditionalFormatting sqref="R22:R29">
    <cfRule type="expression" dxfId="1274" priority="107">
      <formula>ABS(R$25-R$28)&gt;=1000</formula>
    </cfRule>
  </conditionalFormatting>
  <conditionalFormatting sqref="S22:S29">
    <cfRule type="expression" dxfId="1273" priority="106">
      <formula>ABS(S$25-S$28)&gt;=1000</formula>
    </cfRule>
  </conditionalFormatting>
  <conditionalFormatting sqref="T22:T29">
    <cfRule type="expression" dxfId="1272" priority="105">
      <formula>ABS(T$25-T$28)&gt;=1000</formula>
    </cfRule>
  </conditionalFormatting>
  <conditionalFormatting sqref="U22:U29">
    <cfRule type="expression" dxfId="1271" priority="104">
      <formula>ABS(U$25-U$28)&gt;=1000</formula>
    </cfRule>
  </conditionalFormatting>
  <conditionalFormatting sqref="V22:V29">
    <cfRule type="expression" dxfId="1270" priority="103">
      <formula>ABS(V$25-V$28)&gt;=1000</formula>
    </cfRule>
  </conditionalFormatting>
  <conditionalFormatting sqref="W22:W29">
    <cfRule type="expression" dxfId="1269" priority="102">
      <formula>ABS(W$25-W$28)&gt;=1000</formula>
    </cfRule>
  </conditionalFormatting>
  <conditionalFormatting sqref="X22:X29">
    <cfRule type="expression" dxfId="1268" priority="101">
      <formula>ABS(X$25-X$28)&gt;=1000</formula>
    </cfRule>
  </conditionalFormatting>
  <conditionalFormatting sqref="Y22:Y29">
    <cfRule type="expression" dxfId="1267" priority="100">
      <formula>ABS(Y$25-Y$28)&gt;=1000</formula>
    </cfRule>
  </conditionalFormatting>
  <conditionalFormatting sqref="I23">
    <cfRule type="expression" dxfId="1266" priority="99">
      <formula>ABS(I$25-I$28)&gt;=1000</formula>
    </cfRule>
  </conditionalFormatting>
  <conditionalFormatting sqref="Q14">
    <cfRule type="expression" dxfId="1265" priority="98">
      <formula>ABS(Q$16-Q$19)&gt;=1000</formula>
    </cfRule>
  </conditionalFormatting>
  <conditionalFormatting sqref="W14">
    <cfRule type="expression" dxfId="1264" priority="97">
      <formula>ABS(W$16-W$19)&gt;=1000</formula>
    </cfRule>
  </conditionalFormatting>
  <conditionalFormatting sqref="X14">
    <cfRule type="expression" dxfId="1263" priority="96">
      <formula>ABS(X$16-X$19)&gt;=1000</formula>
    </cfRule>
  </conditionalFormatting>
  <conditionalFormatting sqref="T10:Y10">
    <cfRule type="expression" dxfId="1262" priority="95">
      <formula>ABS(T$7-T$10)&gt;=1000</formula>
    </cfRule>
  </conditionalFormatting>
  <conditionalFormatting sqref="W19">
    <cfRule type="expression" dxfId="1261" priority="94">
      <formula>ABS(W$16-W$19)&gt;=1000</formula>
    </cfRule>
  </conditionalFormatting>
  <conditionalFormatting sqref="AC5">
    <cfRule type="expression" dxfId="1260" priority="93">
      <formula>ABS(AC$7-AC$10)&gt;=1000</formula>
    </cfRule>
  </conditionalFormatting>
  <conditionalFormatting sqref="M14">
    <cfRule type="expression" dxfId="1259" priority="92">
      <formula>ABS(M$16-M$19)&gt;=1000</formula>
    </cfRule>
  </conditionalFormatting>
  <conditionalFormatting sqref="M16">
    <cfRule type="expression" dxfId="1258" priority="91">
      <formula>ABS(M$16-M$19)&gt;=1000</formula>
    </cfRule>
  </conditionalFormatting>
  <conditionalFormatting sqref="M19">
    <cfRule type="expression" dxfId="1257" priority="90">
      <formula>ABS(M$16-M$19)&gt;=1000</formula>
    </cfRule>
  </conditionalFormatting>
  <conditionalFormatting sqref="K13:K20">
    <cfRule type="expression" dxfId="1256" priority="89">
      <formula>ABS(K$16-K$19)&gt;=1000</formula>
    </cfRule>
  </conditionalFormatting>
  <conditionalFormatting sqref="AB14:AC14">
    <cfRule type="expression" dxfId="1255" priority="88">
      <formula>ABS(AB$16-AB$19)&gt;=1000</formula>
    </cfRule>
  </conditionalFormatting>
  <conditionalFormatting sqref="M5">
    <cfRule type="expression" dxfId="1254" priority="87">
      <formula>ABS(M$7-M$10)&gt;=1000</formula>
    </cfRule>
  </conditionalFormatting>
  <conditionalFormatting sqref="N5">
    <cfRule type="expression" dxfId="1253" priority="86">
      <formula>ABS(N$7-N$10)&gt;=1000</formula>
    </cfRule>
  </conditionalFormatting>
  <conditionalFormatting sqref="L23">
    <cfRule type="expression" dxfId="1252" priority="85">
      <formula>ABS(L$25-L$28)&gt;=1000</formula>
    </cfRule>
  </conditionalFormatting>
  <conditionalFormatting sqref="Y14">
    <cfRule type="expression" dxfId="1251" priority="84">
      <formula>ABS(Y$16-Y$19)&gt;=1000</formula>
    </cfRule>
  </conditionalFormatting>
  <conditionalFormatting sqref="F14">
    <cfRule type="expression" dxfId="1250" priority="83">
      <formula>ABS(F$16-F$19)&gt;=1000</formula>
    </cfRule>
  </conditionalFormatting>
  <conditionalFormatting sqref="H14">
    <cfRule type="expression" dxfId="1249" priority="82">
      <formula>ABS(H$16-H$19)&gt;=1000</formula>
    </cfRule>
  </conditionalFormatting>
  <conditionalFormatting sqref="AD5">
    <cfRule type="expression" dxfId="1248" priority="81">
      <formula>ABS(AD$7-AD$10)&gt;=1000</formula>
    </cfRule>
  </conditionalFormatting>
  <conditionalFormatting sqref="AE5">
    <cfRule type="expression" dxfId="1247" priority="80">
      <formula>ABS(AE$7-AE$10)&gt;=1000</formula>
    </cfRule>
  </conditionalFormatting>
  <conditionalFormatting sqref="D5">
    <cfRule type="expression" dxfId="1246" priority="79">
      <formula>ABS(D$7-D$10)&gt;=1000</formula>
    </cfRule>
  </conditionalFormatting>
  <conditionalFormatting sqref="E5:G5">
    <cfRule type="expression" dxfId="1245" priority="78">
      <formula>ABS(E$7-E$10)&gt;=1000</formula>
    </cfRule>
  </conditionalFormatting>
  <conditionalFormatting sqref="H5">
    <cfRule type="expression" dxfId="1244" priority="77">
      <formula>ABS(H$7-H$10)&gt;=1000</formula>
    </cfRule>
  </conditionalFormatting>
  <conditionalFormatting sqref="O4:P4">
    <cfRule type="expression" dxfId="1243" priority="76">
      <formula>ABS(O$7-O$10)&gt;=1000</formula>
    </cfRule>
  </conditionalFormatting>
  <conditionalFormatting sqref="O5 O8 O11">
    <cfRule type="expression" dxfId="1242" priority="75">
      <formula>ABS(O$7-O$10)&gt;=1000</formula>
    </cfRule>
  </conditionalFormatting>
  <conditionalFormatting sqref="P8 P11">
    <cfRule type="expression" dxfId="1241" priority="74">
      <formula>ABS(P$7-P$10)&gt;=1000</formula>
    </cfRule>
  </conditionalFormatting>
  <conditionalFormatting sqref="J5">
    <cfRule type="expression" dxfId="1240" priority="73">
      <formula>ABS(J$7-J$10)&gt;=1000</formula>
    </cfRule>
  </conditionalFormatting>
  <conditionalFormatting sqref="K5">
    <cfRule type="expression" dxfId="1239" priority="72">
      <formula>ABS(K$7-K$10)&gt;=1000</formula>
    </cfRule>
  </conditionalFormatting>
  <conditionalFormatting sqref="H6">
    <cfRule type="expression" dxfId="1221" priority="54">
      <formula>ABS(H$7-H$10)&gt;=1000</formula>
    </cfRule>
  </conditionalFormatting>
  <conditionalFormatting sqref="J6">
    <cfRule type="expression" dxfId="1220" priority="53">
      <formula>ABS(J$7-J$10)&gt;=1000</formula>
    </cfRule>
  </conditionalFormatting>
  <conditionalFormatting sqref="K6">
    <cfRule type="expression" dxfId="1219" priority="52">
      <formula>ABS(K$7-K$10)&gt;=1000</formula>
    </cfRule>
  </conditionalFormatting>
  <conditionalFormatting sqref="L6">
    <cfRule type="expression" dxfId="1218" priority="51">
      <formula>ABS(L$7-L$10)&gt;=1000</formula>
    </cfRule>
  </conditionalFormatting>
  <conditionalFormatting sqref="M6">
    <cfRule type="expression" dxfId="1217" priority="50">
      <formula>ABS(M$7-M$10)&gt;=1000</formula>
    </cfRule>
  </conditionalFormatting>
  <conditionalFormatting sqref="N6">
    <cfRule type="expression" dxfId="1216" priority="49">
      <formula>ABS(N$7-N$10)&gt;=1000</formula>
    </cfRule>
  </conditionalFormatting>
  <conditionalFormatting sqref="O6">
    <cfRule type="expression" dxfId="1215" priority="48">
      <formula>ABS(O$7-O$10)&gt;=1000</formula>
    </cfRule>
  </conditionalFormatting>
  <conditionalFormatting sqref="P6">
    <cfRule type="expression" dxfId="1214" priority="47">
      <formula>ABS(P$7-P$10)&gt;=1000</formula>
    </cfRule>
  </conditionalFormatting>
  <conditionalFormatting sqref="I6">
    <cfRule type="expression" dxfId="1213" priority="46">
      <formula>ABS(I$7-I$10)&gt;=1000</formula>
    </cfRule>
  </conditionalFormatting>
  <conditionalFormatting sqref="H9">
    <cfRule type="expression" dxfId="1212" priority="45">
      <formula>ABS(H$7-H$10)&gt;=1000</formula>
    </cfRule>
  </conditionalFormatting>
  <conditionalFormatting sqref="J9">
    <cfRule type="expression" dxfId="1211" priority="44">
      <formula>ABS(J$7-J$10)&gt;=1000</formula>
    </cfRule>
  </conditionalFormatting>
  <conditionalFormatting sqref="K9">
    <cfRule type="expression" dxfId="1210" priority="43">
      <formula>ABS(K$7-K$10)&gt;=1000</formula>
    </cfRule>
  </conditionalFormatting>
  <conditionalFormatting sqref="L9">
    <cfRule type="expression" dxfId="1209" priority="42">
      <formula>ABS(L$7-L$10)&gt;=1000</formula>
    </cfRule>
  </conditionalFormatting>
  <conditionalFormatting sqref="M9">
    <cfRule type="expression" dxfId="1208" priority="41">
      <formula>ABS(M$7-M$10)&gt;=1000</formula>
    </cfRule>
  </conditionalFormatting>
  <conditionalFormatting sqref="N9">
    <cfRule type="expression" dxfId="1207" priority="40">
      <formula>ABS(N$7-N$10)&gt;=1000</formula>
    </cfRule>
  </conditionalFormatting>
  <conditionalFormatting sqref="O9">
    <cfRule type="expression" dxfId="1206" priority="39">
      <formula>ABS(O$7-O$10)&gt;=1000</formula>
    </cfRule>
  </conditionalFormatting>
  <conditionalFormatting sqref="P9">
    <cfRule type="expression" dxfId="1205" priority="38">
      <formula>ABS(P$7-P$10)&gt;=1000</formula>
    </cfRule>
  </conditionalFormatting>
  <conditionalFormatting sqref="I9">
    <cfRule type="expression" dxfId="1204" priority="37">
      <formula>ABS(I$7-I$10)&gt;=1000</formula>
    </cfRule>
  </conditionalFormatting>
  <conditionalFormatting sqref="P5">
    <cfRule type="expression" dxfId="1203" priority="36">
      <formula>ABS(P$7-P$10)&gt;=1000</formula>
    </cfRule>
  </conditionalFormatting>
  <conditionalFormatting sqref="I5">
    <cfRule type="expression" dxfId="1202" priority="35">
      <formula>ABS(I$7-I$10)&gt;=1000</formula>
    </cfRule>
  </conditionalFormatting>
  <conditionalFormatting sqref="D10:G10">
    <cfRule type="expression" dxfId="134" priority="10">
      <formula>ABS(D$7-D$10)&gt;=1000</formula>
    </cfRule>
  </conditionalFormatting>
  <conditionalFormatting sqref="H10:L10">
    <cfRule type="expression" dxfId="133" priority="9">
      <formula>ABS(H$7-H$10)&gt;=1000</formula>
    </cfRule>
  </conditionalFormatting>
  <conditionalFormatting sqref="M10">
    <cfRule type="expression" dxfId="132" priority="8">
      <formula>ABS(M$7-M$10)&gt;=1000</formula>
    </cfRule>
  </conditionalFormatting>
  <conditionalFormatting sqref="O10:P10">
    <cfRule type="expression" dxfId="131" priority="7">
      <formula>ABS(O$7-O$10)&gt;=1000</formula>
    </cfRule>
  </conditionalFormatting>
  <conditionalFormatting sqref="N10">
    <cfRule type="expression" dxfId="130" priority="6">
      <formula>ABS(N$7-N$10)&gt;=1000</formula>
    </cfRule>
  </conditionalFormatting>
  <conditionalFormatting sqref="D7:G7">
    <cfRule type="expression" dxfId="129" priority="5">
      <formula>ABS(D$7-D$10)&gt;=1000</formula>
    </cfRule>
  </conditionalFormatting>
  <conditionalFormatting sqref="H7:L7">
    <cfRule type="expression" dxfId="128" priority="4">
      <formula>ABS(H$7-H$10)&gt;=1000</formula>
    </cfRule>
  </conditionalFormatting>
  <conditionalFormatting sqref="M7">
    <cfRule type="expression" dxfId="127" priority="3">
      <formula>ABS(M$7-M$10)&gt;=1000</formula>
    </cfRule>
  </conditionalFormatting>
  <conditionalFormatting sqref="O7:P7">
    <cfRule type="expression" dxfId="126" priority="2">
      <formula>ABS(O$7-O$10)&gt;=1000</formula>
    </cfRule>
  </conditionalFormatting>
  <conditionalFormatting sqref="N7">
    <cfRule type="expression" dxfId="12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90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3">
    <pageSetUpPr fitToPage="1"/>
  </sheetPr>
  <dimension ref="A1:BA223"/>
  <sheetViews>
    <sheetView view="pageBreakPreview" zoomScale="110" zoomScaleNormal="100" zoomScaleSheetLayoutView="110" workbookViewId="0">
      <selection activeCell="D7" sqref="D7:P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233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234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235</v>
      </c>
      <c r="C4" s="66" t="s" ph="1">
        <v>236</v>
      </c>
      <c r="D4" s="67" t="s" ph="1">
        <v>237</v>
      </c>
      <c r="E4" s="67" t="s" ph="1">
        <v>238</v>
      </c>
      <c r="F4" s="67" t="s" ph="1">
        <v>239</v>
      </c>
      <c r="G4" s="67" t="s" ph="1">
        <v>240</v>
      </c>
      <c r="H4" s="67" t="s" ph="1">
        <v>241</v>
      </c>
      <c r="I4" s="67" t="s" ph="1">
        <v>242</v>
      </c>
      <c r="J4" s="67" t="s" ph="1">
        <v>71</v>
      </c>
      <c r="K4" s="67" t="s" ph="1">
        <v>72</v>
      </c>
      <c r="L4" s="67" t="s" ph="1">
        <v>243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244</v>
      </c>
      <c r="D5" s="141" t="s" ph="1">
        <v>245</v>
      </c>
      <c r="E5" s="141" t="s" ph="1">
        <v>245</v>
      </c>
      <c r="F5" s="141" t="s" ph="1">
        <v>246</v>
      </c>
      <c r="G5" s="141" t="s" ph="1">
        <v>246</v>
      </c>
      <c r="H5" s="141" t="s" ph="1">
        <v>245</v>
      </c>
      <c r="I5" s="141" t="s" ph="1">
        <v>245</v>
      </c>
      <c r="J5" s="141" t="s" ph="1">
        <v>246</v>
      </c>
      <c r="K5" s="141" t="s" ph="1">
        <v>246</v>
      </c>
      <c r="L5" s="140" t="s" ph="1">
        <v>247</v>
      </c>
      <c r="M5" s="140" t="s" ph="1">
        <v>248</v>
      </c>
      <c r="N5" s="140" t="s" ph="1">
        <v>247</v>
      </c>
      <c r="O5" s="140" t="s" ph="1">
        <v>249</v>
      </c>
      <c r="P5" s="140" t="s" ph="1">
        <v>249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08" t="s" ph="1">
        <v>250</v>
      </c>
      <c r="D6" s="151">
        <v>4.0399999999999998E-2</v>
      </c>
      <c r="E6" s="151">
        <v>1.0002</v>
      </c>
      <c r="F6" s="151">
        <v>0</v>
      </c>
      <c r="G6" s="151">
        <v>0</v>
      </c>
      <c r="H6" s="70">
        <v>5898</v>
      </c>
      <c r="I6" s="70">
        <v>0</v>
      </c>
      <c r="J6" s="70">
        <v>0</v>
      </c>
      <c r="K6" s="70">
        <v>0</v>
      </c>
      <c r="L6" s="70">
        <v>4916</v>
      </c>
      <c r="M6" s="70">
        <v>1903</v>
      </c>
      <c r="N6" s="70">
        <v>3346</v>
      </c>
      <c r="O6" s="70">
        <v>3986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251</v>
      </c>
      <c r="D7" s="72" ph="1">
        <f>((D6*5885)*4.48)*LOOKUP(D8,密度!$A$2:$A$50,密度!$B$2:$B$50)</f>
        <v>826.7600535040001</v>
      </c>
      <c r="E7" s="72" ph="1">
        <f>((E6*5885)*4.48)*LOOKUP(E8,密度!$A$2:$A$50,密度!$B$2:$B$50)</f>
        <v>20352.422310528003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66445.901581149985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100917.31944000001</v>
      </c>
      <c r="M7" s="72" ph="1">
        <f>M6*26.42*1</f>
        <v>50277.26</v>
      </c>
      <c r="N7" s="72" ph="1">
        <f>N6*18.32*LOOKUP(N8,密度!$A$2:$A$50,密度!$B$2:$B$50)</f>
        <v>47580.066464000003</v>
      </c>
      <c r="O7" s="72" ph="1">
        <f>O6*81.71*LOOKUP(O8,密度!$A$2:$A$50,密度!$B$2:$B$50)</f>
        <v>253619.52192199999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252</v>
      </c>
      <c r="D8" s="73">
        <v>29</v>
      </c>
      <c r="E8" s="73">
        <v>34</v>
      </c>
      <c r="F8" s="73">
        <v>28</v>
      </c>
      <c r="G8" s="73">
        <v>30</v>
      </c>
      <c r="H8" s="73">
        <v>32</v>
      </c>
      <c r="I8" s="73">
        <v>29</v>
      </c>
      <c r="J8" s="73">
        <v>28</v>
      </c>
      <c r="K8" s="73">
        <v>30</v>
      </c>
      <c r="L8" s="73">
        <v>28</v>
      </c>
      <c r="M8" s="73">
        <v>28</v>
      </c>
      <c r="N8" s="73">
        <v>29</v>
      </c>
      <c r="O8" s="73">
        <v>26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08" t="s" ph="1">
        <v>253</v>
      </c>
      <c r="D9" s="151">
        <v>0.62590000000000001</v>
      </c>
      <c r="E9" s="151">
        <v>0.65190000000000003</v>
      </c>
      <c r="F9" s="151">
        <v>0</v>
      </c>
      <c r="G9" s="151">
        <v>0</v>
      </c>
      <c r="H9" s="70">
        <v>4966</v>
      </c>
      <c r="I9" s="70">
        <v>0</v>
      </c>
      <c r="J9" s="70">
        <v>0</v>
      </c>
      <c r="K9" s="70">
        <v>0</v>
      </c>
      <c r="L9" s="70">
        <v>5002</v>
      </c>
      <c r="M9" s="70">
        <v>1903</v>
      </c>
      <c r="N9" s="70">
        <v>3431</v>
      </c>
      <c r="O9" s="70">
        <v>4607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08" t="s" ph="1">
        <v>140</v>
      </c>
      <c r="D10" s="72" ph="1">
        <f>((D9*5885)*4.48)*LOOKUP(D11,密度!$A$2:$A$50,密度!$B$2:$B$50)</f>
        <v>12721.182361888003</v>
      </c>
      <c r="E10" s="72" ph="1">
        <f>((E9*5885)*4.48)*LOOKUP(E11,密度!$A$2:$A$50,密度!$B$2:$B$50)</f>
        <v>13280.559577824004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55484.370400549997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102577.03440799999</v>
      </c>
      <c r="M10" s="72" ph="1">
        <f>M9*26.42*1</f>
        <v>50277.26</v>
      </c>
      <c r="N10" s="72" ph="1">
        <f>N9*18.32*LOOKUP(N11,密度!$A$2:$A$50,密度!$B$2:$B$50)</f>
        <v>48732.194775999997</v>
      </c>
      <c r="O10" s="72" ph="1">
        <f>O9*81.71*LOOKUP(O11,密度!$A$2:$A$50,密度!$B$2:$B$50)</f>
        <v>293132.24723899993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254</v>
      </c>
      <c r="B11" s="296" ph="1"/>
      <c r="C11" s="208" t="s" ph="1">
        <v>118</v>
      </c>
      <c r="D11" s="73">
        <v>35</v>
      </c>
      <c r="E11" s="73">
        <v>33</v>
      </c>
      <c r="F11" s="73">
        <v>31</v>
      </c>
      <c r="G11" s="73">
        <v>31</v>
      </c>
      <c r="H11" s="73">
        <v>32</v>
      </c>
      <c r="I11" s="73">
        <v>30</v>
      </c>
      <c r="J11" s="73">
        <v>29</v>
      </c>
      <c r="K11" s="73">
        <v>30</v>
      </c>
      <c r="L11" s="73">
        <v>29</v>
      </c>
      <c r="M11" s="73">
        <v>29</v>
      </c>
      <c r="N11" s="73">
        <v>30</v>
      </c>
      <c r="O11" s="73">
        <v>26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124</v>
      </c>
      <c r="C13" s="208" t="s" ph="1">
        <v>181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08" t="s" ph="1">
        <v>255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08" t="s" ph="1">
        <v>251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256</v>
      </c>
      <c r="B17" s="277" ph="1"/>
      <c r="C17" s="78" t="s" ph="1">
        <v>252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253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08" t="s" ph="1">
        <v>140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252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257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235</v>
      </c>
      <c r="C22" s="84" t="s" ph="1">
        <v>181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258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08" t="s" ph="1">
        <v>250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08" t="s" ph="1">
        <v>253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08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08" t="s" ph="1">
        <v>118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257</v>
      </c>
      <c r="AE30" s="94" ph="1"/>
    </row>
    <row r="31" spans="1:32" ht="28.2" ph="1">
      <c r="A31" s="63"/>
      <c r="B31" s="279" t="s" ph="1">
        <v>257</v>
      </c>
      <c r="C31" s="280" ph="1"/>
      <c r="D31" s="257" t="s" ph="1">
        <v>156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119</v>
      </c>
      <c r="E32" s="208" t="s" ph="1">
        <v>259</v>
      </c>
      <c r="F32" s="207" t="s" ph="1">
        <v>260</v>
      </c>
      <c r="G32" s="96" t="s" ph="1">
        <v>261</v>
      </c>
      <c r="H32" s="208" t="s" ph="1">
        <v>259</v>
      </c>
      <c r="I32" s="207" t="s" ph="1">
        <v>260</v>
      </c>
      <c r="J32" s="96" t="s" ph="1">
        <v>119</v>
      </c>
      <c r="K32" s="208" t="s" ph="1">
        <v>158</v>
      </c>
      <c r="L32" s="207" t="s" ph="1">
        <v>260</v>
      </c>
      <c r="M32" s="96" t="s" ph="1">
        <v>261</v>
      </c>
      <c r="N32" s="208" t="s" ph="1">
        <v>259</v>
      </c>
      <c r="O32" s="207" t="s" ph="1">
        <v>260</v>
      </c>
      <c r="P32" s="96" t="s" ph="1">
        <v>261</v>
      </c>
      <c r="Q32" s="97" t="s" ph="1">
        <v>158</v>
      </c>
      <c r="R32" s="98" t="s" ph="1">
        <v>159</v>
      </c>
      <c r="S32" s="96" t="s" ph="1">
        <v>261</v>
      </c>
      <c r="T32" s="208" t="s" ph="1">
        <v>158</v>
      </c>
      <c r="U32" s="98" t="s" ph="1">
        <v>260</v>
      </c>
      <c r="V32" s="96" t="s" ph="1">
        <v>119</v>
      </c>
      <c r="W32" s="208" t="s" ph="1">
        <v>259</v>
      </c>
      <c r="X32" s="98" t="s" ph="1">
        <v>159</v>
      </c>
      <c r="Y32" s="99" t="s" ph="1">
        <v>119</v>
      </c>
      <c r="Z32" s="208" t="s" ph="1">
        <v>158</v>
      </c>
      <c r="AA32" s="207" t="s" ph="1">
        <v>260</v>
      </c>
      <c r="AB32" s="96" t="s" ph="1">
        <v>262</v>
      </c>
      <c r="AC32" s="208" t="s" ph="1">
        <v>263</v>
      </c>
      <c r="AD32" s="263" t="s" ph="1">
        <v>264</v>
      </c>
      <c r="AE32" s="264"/>
    </row>
    <row r="33" spans="1:31" ph="1">
      <c r="A33" s="63"/>
      <c r="B33" s="265" t="s" ph="1">
        <v>265</v>
      </c>
      <c r="C33" s="266" ph="1"/>
      <c r="D33" s="245" ph="1">
        <f>O10+P10</f>
        <v>293132.24723899993</v>
      </c>
      <c r="E33" s="245" ph="1">
        <f>H10+I10+J10+K10</f>
        <v>55484.370400549997</v>
      </c>
      <c r="F33" s="269" ph="1">
        <f>L10+N10</f>
        <v>151309.229184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266</v>
      </c>
      <c r="AD35" s="244"/>
      <c r="AE35" s="244"/>
    </row>
    <row r="36" spans="1:31" ht="28.2" ph="1">
      <c r="A36" s="63"/>
      <c r="B36" s="102" t="s" ph="1">
        <v>230</v>
      </c>
      <c r="I36" s="230" t="s" ph="1">
        <v>267</v>
      </c>
      <c r="J36" s="230" ph="1"/>
      <c r="K36" s="100" ph="1"/>
      <c r="P36" s="100" ph="1"/>
      <c r="R36" s="230" t="s" ph="1">
        <v>268</v>
      </c>
      <c r="S36" s="230" ph="1"/>
      <c r="Y36" s="101" ph="1"/>
      <c r="Z36" s="206" t="s" ph="1">
        <v>232</v>
      </c>
      <c r="AA36" s="206" ph="1"/>
      <c r="AB36" s="231" t="s" ph="1">
        <v>67</v>
      </c>
      <c r="AC36" s="231" ph="1"/>
      <c r="AD36" s="231" ph="1"/>
      <c r="AE36" s="231" ph="1"/>
    </row>
    <row r="37" spans="1:31" s="20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193" priority="174">
      <formula>ABS(D$7-D$10)&gt;=1000</formula>
    </cfRule>
  </conditionalFormatting>
  <conditionalFormatting sqref="E4 E6 E8:E9 E11">
    <cfRule type="expression" dxfId="1192" priority="173">
      <formula>ABS(E$7-E$10)&gt;=1000</formula>
    </cfRule>
  </conditionalFormatting>
  <conditionalFormatting sqref="F4 F6 F8:F9 F11">
    <cfRule type="expression" dxfId="1191" priority="172">
      <formula>ABS(F$7-F$10)&gt;=1000</formula>
    </cfRule>
  </conditionalFormatting>
  <conditionalFormatting sqref="G4 G6 G8:G9 G11">
    <cfRule type="expression" dxfId="1190" priority="171">
      <formula>ABS(G$7-G$10)&gt;=1000</formula>
    </cfRule>
  </conditionalFormatting>
  <conditionalFormatting sqref="H4:K4 H8 H11">
    <cfRule type="expression" dxfId="1189" priority="170">
      <formula>ABS(H$7-H$10)&gt;=1000</formula>
    </cfRule>
  </conditionalFormatting>
  <conditionalFormatting sqref="I8 I11">
    <cfRule type="expression" dxfId="1188" priority="169">
      <formula>ABS(I$7-I$10)&gt;=1000</formula>
    </cfRule>
  </conditionalFormatting>
  <conditionalFormatting sqref="J8 J11">
    <cfRule type="expression" dxfId="1187" priority="168">
      <formula>ABS(J$7-J$10)&gt;=1000</formula>
    </cfRule>
  </conditionalFormatting>
  <conditionalFormatting sqref="K8 K11">
    <cfRule type="expression" dxfId="1186" priority="167">
      <formula>ABS(K$7-K$10)&gt;=1000</formula>
    </cfRule>
  </conditionalFormatting>
  <conditionalFormatting sqref="L4:L5 M4:N4 Q4:S4 L8 L11">
    <cfRule type="expression" dxfId="1185" priority="166">
      <formula>ABS(L$7-L$10)&gt;=1000</formula>
    </cfRule>
  </conditionalFormatting>
  <conditionalFormatting sqref="M8 M11">
    <cfRule type="expression" dxfId="1184" priority="165">
      <formula>ABS(M$7-M$10)&gt;=1000</formula>
    </cfRule>
  </conditionalFormatting>
  <conditionalFormatting sqref="N8 N11">
    <cfRule type="expression" dxfId="1183" priority="164">
      <formula>ABS(N$7-N$10)&gt;=1000</formula>
    </cfRule>
  </conditionalFormatting>
  <conditionalFormatting sqref="Q5:Q11">
    <cfRule type="expression" dxfId="1182" priority="163">
      <formula>ABS(Q$7-Q$10)&gt;=1000</formula>
    </cfRule>
  </conditionalFormatting>
  <conditionalFormatting sqref="R5:R11">
    <cfRule type="expression" dxfId="1181" priority="162">
      <formula>ABS(R$7-R$10)&gt;=1000</formula>
    </cfRule>
  </conditionalFormatting>
  <conditionalFormatting sqref="S5:S11">
    <cfRule type="expression" dxfId="1180" priority="161">
      <formula>ABS(S$7-S$10)&gt;=1000</formula>
    </cfRule>
  </conditionalFormatting>
  <conditionalFormatting sqref="T4:T9 T11">
    <cfRule type="expression" dxfId="1179" priority="160">
      <formula>ABS(T$7-T$10)&gt;=1000</formula>
    </cfRule>
  </conditionalFormatting>
  <conditionalFormatting sqref="U4:U9 U11">
    <cfRule type="expression" dxfId="1178" priority="159">
      <formula>ABS(U$7-U$10)&gt;=1000</formula>
    </cfRule>
  </conditionalFormatting>
  <conditionalFormatting sqref="V4:V9 V11">
    <cfRule type="expression" dxfId="1177" priority="158">
      <formula>ABS(V$7-V$10)&gt;=1000</formula>
    </cfRule>
  </conditionalFormatting>
  <conditionalFormatting sqref="W4:W9 W11">
    <cfRule type="expression" dxfId="1176" priority="157">
      <formula>ABS(W$7-W$10)&gt;=1000</formula>
    </cfRule>
  </conditionalFormatting>
  <conditionalFormatting sqref="X4:X9 X11">
    <cfRule type="expression" dxfId="1175" priority="156">
      <formula>ABS(X$7-X$10)&gt;=1000</formula>
    </cfRule>
  </conditionalFormatting>
  <conditionalFormatting sqref="Y4:Y9 Y11">
    <cfRule type="expression" dxfId="1174" priority="155">
      <formula>ABS(Y$7-Y$10)&gt;=1000</formula>
    </cfRule>
  </conditionalFormatting>
  <conditionalFormatting sqref="Z4:Z11">
    <cfRule type="expression" dxfId="1173" priority="154">
      <formula>ABS(Z$7-Z$10)&gt;=1000</formula>
    </cfRule>
  </conditionalFormatting>
  <conditionalFormatting sqref="AA4:AA11">
    <cfRule type="expression" dxfId="1172" priority="153">
      <formula>ABS(AA$7-AA$10)&gt;=1000</formula>
    </cfRule>
  </conditionalFormatting>
  <conditionalFormatting sqref="AB4:AB11">
    <cfRule type="expression" dxfId="1171" priority="152">
      <formula>ABS(AB$7-AB$10)&gt;=1000</formula>
    </cfRule>
  </conditionalFormatting>
  <conditionalFormatting sqref="AC4 AC6:AC11">
    <cfRule type="expression" dxfId="1170" priority="151">
      <formula>ABS(AC$7-AC$10)&gt;=1000</formula>
    </cfRule>
  </conditionalFormatting>
  <conditionalFormatting sqref="AD4 AD6:AD11">
    <cfRule type="expression" dxfId="1169" priority="150">
      <formula>ABS(AD$7-AD$10)&gt;=1000</formula>
    </cfRule>
  </conditionalFormatting>
  <conditionalFormatting sqref="AE4 AE6:AE11">
    <cfRule type="expression" dxfId="1168" priority="149">
      <formula>ABS(AE$7-AE$10)&gt;=1000</formula>
    </cfRule>
  </conditionalFormatting>
  <conditionalFormatting sqref="D13:D20">
    <cfRule type="expression" dxfId="1167" priority="148">
      <formula>ABS(D$16-D$19)&gt;=1000</formula>
    </cfRule>
  </conditionalFormatting>
  <conditionalFormatting sqref="E13:E20">
    <cfRule type="expression" dxfId="1166" priority="147">
      <formula>ABS(E$16-E$19)&gt;=1000</formula>
    </cfRule>
  </conditionalFormatting>
  <conditionalFormatting sqref="F13 F15:F20">
    <cfRule type="expression" dxfId="1165" priority="146">
      <formula>ABS(F$16-F$19)&gt;=1000</formula>
    </cfRule>
  </conditionalFormatting>
  <conditionalFormatting sqref="G13:G20">
    <cfRule type="expression" dxfId="1164" priority="145">
      <formula>ABS(G$16-G$19)&gt;=1000</formula>
    </cfRule>
  </conditionalFormatting>
  <conditionalFormatting sqref="H13 H15:H20">
    <cfRule type="expression" dxfId="1163" priority="144">
      <formula>ABS(H$16-H$19)&gt;=1000</formula>
    </cfRule>
  </conditionalFormatting>
  <conditionalFormatting sqref="I13:I20">
    <cfRule type="expression" dxfId="1162" priority="143">
      <formula>ABS(I$16-I$19)&gt;=1000</formula>
    </cfRule>
  </conditionalFormatting>
  <conditionalFormatting sqref="J13:J20">
    <cfRule type="expression" dxfId="1161" priority="142">
      <formula>ABS(J$16-J$19)&gt;=1000</formula>
    </cfRule>
  </conditionalFormatting>
  <conditionalFormatting sqref="L13:L20">
    <cfRule type="expression" dxfId="1160" priority="141">
      <formula>ABS(L$16-L$19)&gt;=1000</formula>
    </cfRule>
  </conditionalFormatting>
  <conditionalFormatting sqref="M13 M15 M17:M18 M20">
    <cfRule type="expression" dxfId="1159" priority="140">
      <formula>ABS(M$16-M$19)&gt;=1000</formula>
    </cfRule>
  </conditionalFormatting>
  <conditionalFormatting sqref="N13:N20">
    <cfRule type="expression" dxfId="1158" priority="139">
      <formula>ABS(N$16-N$19)&gt;=1000</formula>
    </cfRule>
  </conditionalFormatting>
  <conditionalFormatting sqref="O13:O20">
    <cfRule type="expression" dxfId="1157" priority="138">
      <formula>ABS(O$16-O$19)&gt;=1000</formula>
    </cfRule>
  </conditionalFormatting>
  <conditionalFormatting sqref="P13:P20">
    <cfRule type="expression" dxfId="1156" priority="137">
      <formula>ABS(P$16-P$19)&gt;=1000</formula>
    </cfRule>
  </conditionalFormatting>
  <conditionalFormatting sqref="Q13 Q15:Q20">
    <cfRule type="expression" dxfId="1155" priority="136">
      <formula>ABS(Q$16-Q$19)&gt;=1000</formula>
    </cfRule>
  </conditionalFormatting>
  <conditionalFormatting sqref="R13:R20">
    <cfRule type="expression" dxfId="1154" priority="135">
      <formula>ABS(R$16-R$19)&gt;=1000</formula>
    </cfRule>
  </conditionalFormatting>
  <conditionalFormatting sqref="S13:S20">
    <cfRule type="expression" dxfId="1153" priority="134">
      <formula>ABS(S$16-S$19)&gt;=1000</formula>
    </cfRule>
  </conditionalFormatting>
  <conditionalFormatting sqref="T13:T20">
    <cfRule type="expression" dxfId="1152" priority="133">
      <formula>ABS(T$16-T$19)&gt;=1000</formula>
    </cfRule>
  </conditionalFormatting>
  <conditionalFormatting sqref="U13:U20">
    <cfRule type="expression" dxfId="1151" priority="132">
      <formula>ABS(U$16-U$19)&gt;=1000</formula>
    </cfRule>
  </conditionalFormatting>
  <conditionalFormatting sqref="V13:V20">
    <cfRule type="expression" dxfId="1150" priority="131">
      <formula>ABS(V$16-V$19)&gt;=1000</formula>
    </cfRule>
  </conditionalFormatting>
  <conditionalFormatting sqref="W13 W20 W15:W18">
    <cfRule type="expression" dxfId="1149" priority="130">
      <formula>ABS(W$16-W$19)&gt;=1000</formula>
    </cfRule>
  </conditionalFormatting>
  <conditionalFormatting sqref="X13 X15:X20 Y19">
    <cfRule type="expression" dxfId="1148" priority="129">
      <formula>ABS(X$16-X$19)&gt;=1000</formula>
    </cfRule>
  </conditionalFormatting>
  <conditionalFormatting sqref="Y13 Y15:Y18 Y20">
    <cfRule type="expression" dxfId="1147" priority="128">
      <formula>ABS(Y$16-Y$19)&gt;=1000</formula>
    </cfRule>
  </conditionalFormatting>
  <conditionalFormatting sqref="Z13:Z20">
    <cfRule type="expression" dxfId="1146" priority="127">
      <formula>ABS(Z$16-Z$19)&gt;=1000</formula>
    </cfRule>
  </conditionalFormatting>
  <conditionalFormatting sqref="AA13:AA20">
    <cfRule type="expression" dxfId="1145" priority="126">
      <formula>ABS(AA$16-AA$19)&gt;=1000</formula>
    </cfRule>
  </conditionalFormatting>
  <conditionalFormatting sqref="AB13 AB15:AB20">
    <cfRule type="expression" dxfId="1144" priority="125">
      <formula>ABS(AB$16-AB$19)&gt;=1000</formula>
    </cfRule>
  </conditionalFormatting>
  <conditionalFormatting sqref="AC13 AC15:AC20">
    <cfRule type="expression" dxfId="1143" priority="124">
      <formula>ABS(AC$16-AC$19)&gt;=1000</formula>
    </cfRule>
  </conditionalFormatting>
  <conditionalFormatting sqref="AD13:AD20">
    <cfRule type="expression" dxfId="1142" priority="123">
      <formula>ABS(AD$16-AD$19)&gt;=1000</formula>
    </cfRule>
  </conditionalFormatting>
  <conditionalFormatting sqref="AE13:AE20">
    <cfRule type="expression" dxfId="1141" priority="122">
      <formula>ABS(AE$16-AE$19)&gt;=1000</formula>
    </cfRule>
  </conditionalFormatting>
  <conditionalFormatting sqref="D22:D29">
    <cfRule type="expression" dxfId="1140" priority="121">
      <formula>ABS(D$25-D$28)&gt;=1000</formula>
    </cfRule>
  </conditionalFormatting>
  <conditionalFormatting sqref="E22:E29">
    <cfRule type="expression" dxfId="1139" priority="120">
      <formula>ABS(E$25-E$28)&gt;=1000</formula>
    </cfRule>
  </conditionalFormatting>
  <conditionalFormatting sqref="F22:F29">
    <cfRule type="expression" dxfId="1138" priority="119">
      <formula>ABS(F$25-F$28)&gt;=1000</formula>
    </cfRule>
  </conditionalFormatting>
  <conditionalFormatting sqref="G22:G29">
    <cfRule type="expression" dxfId="1137" priority="118">
      <formula>ABS(G$25-G$28)&gt;=1000</formula>
    </cfRule>
  </conditionalFormatting>
  <conditionalFormatting sqref="H22:H29">
    <cfRule type="expression" dxfId="1136" priority="117">
      <formula>ABS(H$25-H$28)&gt;=1000</formula>
    </cfRule>
  </conditionalFormatting>
  <conditionalFormatting sqref="I22 I24:I29">
    <cfRule type="expression" dxfId="1135" priority="116">
      <formula>ABS(I$25-I$28)&gt;=1000</formula>
    </cfRule>
  </conditionalFormatting>
  <conditionalFormatting sqref="J22:J29 K22">
    <cfRule type="expression" dxfId="1134" priority="115">
      <formula>ABS(J$25-J$28)&gt;=1000</formula>
    </cfRule>
  </conditionalFormatting>
  <conditionalFormatting sqref="K23:K29 L25 L28">
    <cfRule type="expression" dxfId="1133" priority="114">
      <formula>ABS(K$25-K$28)&gt;=1000</formula>
    </cfRule>
  </conditionalFormatting>
  <conditionalFormatting sqref="L22 L26:L27 L29 L24">
    <cfRule type="expression" dxfId="1132" priority="113">
      <formula>ABS(L$25-L$28)&gt;=1000</formula>
    </cfRule>
  </conditionalFormatting>
  <conditionalFormatting sqref="M22:M29">
    <cfRule type="expression" dxfId="1131" priority="112">
      <formula>ABS(M$25-M$28)&gt;=1000</formula>
    </cfRule>
  </conditionalFormatting>
  <conditionalFormatting sqref="N22:N29">
    <cfRule type="expression" dxfId="1130" priority="111">
      <formula>ABS(N$25-N$28)&gt;=1000</formula>
    </cfRule>
  </conditionalFormatting>
  <conditionalFormatting sqref="O22:O29">
    <cfRule type="expression" dxfId="1129" priority="110">
      <formula>ABS(O$25-O$28)&gt;=1000</formula>
    </cfRule>
  </conditionalFormatting>
  <conditionalFormatting sqref="P22:P29">
    <cfRule type="expression" dxfId="1128" priority="109">
      <formula>ABS(P$25-P$28)&gt;=1000</formula>
    </cfRule>
  </conditionalFormatting>
  <conditionalFormatting sqref="Q22:Q29">
    <cfRule type="expression" dxfId="1127" priority="108">
      <formula>ABS(Q$25-Q$28)&gt;=1000</formula>
    </cfRule>
  </conditionalFormatting>
  <conditionalFormatting sqref="R22:R29">
    <cfRule type="expression" dxfId="1126" priority="107">
      <formula>ABS(R$25-R$28)&gt;=1000</formula>
    </cfRule>
  </conditionalFormatting>
  <conditionalFormatting sqref="S22:S29">
    <cfRule type="expression" dxfId="1125" priority="106">
      <formula>ABS(S$25-S$28)&gt;=1000</formula>
    </cfRule>
  </conditionalFormatting>
  <conditionalFormatting sqref="T22:T29">
    <cfRule type="expression" dxfId="1124" priority="105">
      <formula>ABS(T$25-T$28)&gt;=1000</formula>
    </cfRule>
  </conditionalFormatting>
  <conditionalFormatting sqref="U22:U29">
    <cfRule type="expression" dxfId="1123" priority="104">
      <formula>ABS(U$25-U$28)&gt;=1000</formula>
    </cfRule>
  </conditionalFormatting>
  <conditionalFormatting sqref="V22:V29">
    <cfRule type="expression" dxfId="1122" priority="103">
      <formula>ABS(V$25-V$28)&gt;=1000</formula>
    </cfRule>
  </conditionalFormatting>
  <conditionalFormatting sqref="W22:W29">
    <cfRule type="expression" dxfId="1121" priority="102">
      <formula>ABS(W$25-W$28)&gt;=1000</formula>
    </cfRule>
  </conditionalFormatting>
  <conditionalFormatting sqref="X22:X29">
    <cfRule type="expression" dxfId="1120" priority="101">
      <formula>ABS(X$25-X$28)&gt;=1000</formula>
    </cfRule>
  </conditionalFormatting>
  <conditionalFormatting sqref="Y22:Y29">
    <cfRule type="expression" dxfId="1119" priority="100">
      <formula>ABS(Y$25-Y$28)&gt;=1000</formula>
    </cfRule>
  </conditionalFormatting>
  <conditionalFormatting sqref="I23">
    <cfRule type="expression" dxfId="1118" priority="99">
      <formula>ABS(I$25-I$28)&gt;=1000</formula>
    </cfRule>
  </conditionalFormatting>
  <conditionalFormatting sqref="Q14">
    <cfRule type="expression" dxfId="1117" priority="98">
      <formula>ABS(Q$16-Q$19)&gt;=1000</formula>
    </cfRule>
  </conditionalFormatting>
  <conditionalFormatting sqref="W14">
    <cfRule type="expression" dxfId="1116" priority="97">
      <formula>ABS(W$16-W$19)&gt;=1000</formula>
    </cfRule>
  </conditionalFormatting>
  <conditionalFormatting sqref="X14">
    <cfRule type="expression" dxfId="1115" priority="96">
      <formula>ABS(X$16-X$19)&gt;=1000</formula>
    </cfRule>
  </conditionalFormatting>
  <conditionalFormatting sqref="T10:Y10">
    <cfRule type="expression" dxfId="1114" priority="95">
      <formula>ABS(T$7-T$10)&gt;=1000</formula>
    </cfRule>
  </conditionalFormatting>
  <conditionalFormatting sqref="W19">
    <cfRule type="expression" dxfId="1113" priority="94">
      <formula>ABS(W$16-W$19)&gt;=1000</formula>
    </cfRule>
  </conditionalFormatting>
  <conditionalFormatting sqref="AC5">
    <cfRule type="expression" dxfId="1112" priority="93">
      <formula>ABS(AC$7-AC$10)&gt;=1000</formula>
    </cfRule>
  </conditionalFormatting>
  <conditionalFormatting sqref="M14">
    <cfRule type="expression" dxfId="1111" priority="92">
      <formula>ABS(M$16-M$19)&gt;=1000</formula>
    </cfRule>
  </conditionalFormatting>
  <conditionalFormatting sqref="M16">
    <cfRule type="expression" dxfId="1110" priority="91">
      <formula>ABS(M$16-M$19)&gt;=1000</formula>
    </cfRule>
  </conditionalFormatting>
  <conditionalFormatting sqref="M19">
    <cfRule type="expression" dxfId="1109" priority="90">
      <formula>ABS(M$16-M$19)&gt;=1000</formula>
    </cfRule>
  </conditionalFormatting>
  <conditionalFormatting sqref="K13:K20">
    <cfRule type="expression" dxfId="1108" priority="89">
      <formula>ABS(K$16-K$19)&gt;=1000</formula>
    </cfRule>
  </conditionalFormatting>
  <conditionalFormatting sqref="AB14:AC14">
    <cfRule type="expression" dxfId="1107" priority="88">
      <formula>ABS(AB$16-AB$19)&gt;=1000</formula>
    </cfRule>
  </conditionalFormatting>
  <conditionalFormatting sqref="M5">
    <cfRule type="expression" dxfId="1106" priority="87">
      <formula>ABS(M$7-M$10)&gt;=1000</formula>
    </cfRule>
  </conditionalFormatting>
  <conditionalFormatting sqref="N5">
    <cfRule type="expression" dxfId="1105" priority="86">
      <formula>ABS(N$7-N$10)&gt;=1000</formula>
    </cfRule>
  </conditionalFormatting>
  <conditionalFormatting sqref="L23">
    <cfRule type="expression" dxfId="1104" priority="85">
      <formula>ABS(L$25-L$28)&gt;=1000</formula>
    </cfRule>
  </conditionalFormatting>
  <conditionalFormatting sqref="Y14">
    <cfRule type="expression" dxfId="1103" priority="84">
      <formula>ABS(Y$16-Y$19)&gt;=1000</formula>
    </cfRule>
  </conditionalFormatting>
  <conditionalFormatting sqref="F14">
    <cfRule type="expression" dxfId="1102" priority="83">
      <formula>ABS(F$16-F$19)&gt;=1000</formula>
    </cfRule>
  </conditionalFormatting>
  <conditionalFormatting sqref="H14">
    <cfRule type="expression" dxfId="1101" priority="82">
      <formula>ABS(H$16-H$19)&gt;=1000</formula>
    </cfRule>
  </conditionalFormatting>
  <conditionalFormatting sqref="AD5">
    <cfRule type="expression" dxfId="1100" priority="81">
      <formula>ABS(AD$7-AD$10)&gt;=1000</formula>
    </cfRule>
  </conditionalFormatting>
  <conditionalFormatting sqref="AE5">
    <cfRule type="expression" dxfId="1099" priority="80">
      <formula>ABS(AE$7-AE$10)&gt;=1000</formula>
    </cfRule>
  </conditionalFormatting>
  <conditionalFormatting sqref="D5">
    <cfRule type="expression" dxfId="1098" priority="79">
      <formula>ABS(D$7-D$10)&gt;=1000</formula>
    </cfRule>
  </conditionalFormatting>
  <conditionalFormatting sqref="E5:G5">
    <cfRule type="expression" dxfId="1097" priority="78">
      <formula>ABS(E$7-E$10)&gt;=1000</formula>
    </cfRule>
  </conditionalFormatting>
  <conditionalFormatting sqref="H5">
    <cfRule type="expression" dxfId="1096" priority="77">
      <formula>ABS(H$7-H$10)&gt;=1000</formula>
    </cfRule>
  </conditionalFormatting>
  <conditionalFormatting sqref="O4:P4">
    <cfRule type="expression" dxfId="1095" priority="76">
      <formula>ABS(O$7-O$10)&gt;=1000</formula>
    </cfRule>
  </conditionalFormatting>
  <conditionalFormatting sqref="O5 O8 O11">
    <cfRule type="expression" dxfId="1094" priority="75">
      <formula>ABS(O$7-O$10)&gt;=1000</formula>
    </cfRule>
  </conditionalFormatting>
  <conditionalFormatting sqref="P8 P11">
    <cfRule type="expression" dxfId="1093" priority="74">
      <formula>ABS(P$7-P$10)&gt;=1000</formula>
    </cfRule>
  </conditionalFormatting>
  <conditionalFormatting sqref="J5">
    <cfRule type="expression" dxfId="1092" priority="73">
      <formula>ABS(J$7-J$10)&gt;=1000</formula>
    </cfRule>
  </conditionalFormatting>
  <conditionalFormatting sqref="K5">
    <cfRule type="expression" dxfId="1091" priority="72">
      <formula>ABS(K$7-K$10)&gt;=1000</formula>
    </cfRule>
  </conditionalFormatting>
  <conditionalFormatting sqref="H6">
    <cfRule type="expression" dxfId="1073" priority="54">
      <formula>ABS(H$7-H$10)&gt;=1000</formula>
    </cfRule>
  </conditionalFormatting>
  <conditionalFormatting sqref="J6">
    <cfRule type="expression" dxfId="1072" priority="53">
      <formula>ABS(J$7-J$10)&gt;=1000</formula>
    </cfRule>
  </conditionalFormatting>
  <conditionalFormatting sqref="K6">
    <cfRule type="expression" dxfId="1071" priority="52">
      <formula>ABS(K$7-K$10)&gt;=1000</formula>
    </cfRule>
  </conditionalFormatting>
  <conditionalFormatting sqref="L6">
    <cfRule type="expression" dxfId="1070" priority="51">
      <formula>ABS(L$7-L$10)&gt;=1000</formula>
    </cfRule>
  </conditionalFormatting>
  <conditionalFormatting sqref="M6">
    <cfRule type="expression" dxfId="1069" priority="50">
      <formula>ABS(M$7-M$10)&gt;=1000</formula>
    </cfRule>
  </conditionalFormatting>
  <conditionalFormatting sqref="N6">
    <cfRule type="expression" dxfId="1068" priority="49">
      <formula>ABS(N$7-N$10)&gt;=1000</formula>
    </cfRule>
  </conditionalFormatting>
  <conditionalFormatting sqref="O6">
    <cfRule type="expression" dxfId="1067" priority="48">
      <formula>ABS(O$7-O$10)&gt;=1000</formula>
    </cfRule>
  </conditionalFormatting>
  <conditionalFormatting sqref="P6">
    <cfRule type="expression" dxfId="1066" priority="47">
      <formula>ABS(P$7-P$10)&gt;=1000</formula>
    </cfRule>
  </conditionalFormatting>
  <conditionalFormatting sqref="I6">
    <cfRule type="expression" dxfId="1065" priority="46">
      <formula>ABS(I$7-I$10)&gt;=1000</formula>
    </cfRule>
  </conditionalFormatting>
  <conditionalFormatting sqref="H9">
    <cfRule type="expression" dxfId="1064" priority="45">
      <formula>ABS(H$7-H$10)&gt;=1000</formula>
    </cfRule>
  </conditionalFormatting>
  <conditionalFormatting sqref="J9">
    <cfRule type="expression" dxfId="1063" priority="44">
      <formula>ABS(J$7-J$10)&gt;=1000</formula>
    </cfRule>
  </conditionalFormatting>
  <conditionalFormatting sqref="K9">
    <cfRule type="expression" dxfId="1062" priority="43">
      <formula>ABS(K$7-K$10)&gt;=1000</formula>
    </cfRule>
  </conditionalFormatting>
  <conditionalFormatting sqref="L9">
    <cfRule type="expression" dxfId="1061" priority="42">
      <formula>ABS(L$7-L$10)&gt;=1000</formula>
    </cfRule>
  </conditionalFormatting>
  <conditionalFormatting sqref="M9">
    <cfRule type="expression" dxfId="1060" priority="41">
      <formula>ABS(M$7-M$10)&gt;=1000</formula>
    </cfRule>
  </conditionalFormatting>
  <conditionalFormatting sqref="N9">
    <cfRule type="expression" dxfId="1059" priority="40">
      <formula>ABS(N$7-N$10)&gt;=1000</formula>
    </cfRule>
  </conditionalFormatting>
  <conditionalFormatting sqref="O9">
    <cfRule type="expression" dxfId="1058" priority="39">
      <formula>ABS(O$7-O$10)&gt;=1000</formula>
    </cfRule>
  </conditionalFormatting>
  <conditionalFormatting sqref="P9">
    <cfRule type="expression" dxfId="1057" priority="38">
      <formula>ABS(P$7-P$10)&gt;=1000</formula>
    </cfRule>
  </conditionalFormatting>
  <conditionalFormatting sqref="I9">
    <cfRule type="expression" dxfId="1056" priority="37">
      <formula>ABS(I$7-I$10)&gt;=1000</formula>
    </cfRule>
  </conditionalFormatting>
  <conditionalFormatting sqref="P5">
    <cfRule type="expression" dxfId="1055" priority="36">
      <formula>ABS(P$7-P$10)&gt;=1000</formula>
    </cfRule>
  </conditionalFormatting>
  <conditionalFormatting sqref="I5">
    <cfRule type="expression" dxfId="1054" priority="35">
      <formula>ABS(I$7-I$10)&gt;=1000</formula>
    </cfRule>
  </conditionalFormatting>
  <conditionalFormatting sqref="D10:G10">
    <cfRule type="expression" dxfId="144" priority="10">
      <formula>ABS(D$7-D$10)&gt;=1000</formula>
    </cfRule>
  </conditionalFormatting>
  <conditionalFormatting sqref="H10:L10">
    <cfRule type="expression" dxfId="143" priority="9">
      <formula>ABS(H$7-H$10)&gt;=1000</formula>
    </cfRule>
  </conditionalFormatting>
  <conditionalFormatting sqref="M10">
    <cfRule type="expression" dxfId="142" priority="8">
      <formula>ABS(M$7-M$10)&gt;=1000</formula>
    </cfRule>
  </conditionalFormatting>
  <conditionalFormatting sqref="O10:P10">
    <cfRule type="expression" dxfId="141" priority="7">
      <formula>ABS(O$7-O$10)&gt;=1000</formula>
    </cfRule>
  </conditionalFormatting>
  <conditionalFormatting sqref="N10">
    <cfRule type="expression" dxfId="140" priority="6">
      <formula>ABS(N$7-N$10)&gt;=1000</formula>
    </cfRule>
  </conditionalFormatting>
  <conditionalFormatting sqref="D7:G7">
    <cfRule type="expression" dxfId="139" priority="5">
      <formula>ABS(D$7-D$10)&gt;=1000</formula>
    </cfRule>
  </conditionalFormatting>
  <conditionalFormatting sqref="H7:L7">
    <cfRule type="expression" dxfId="138" priority="4">
      <formula>ABS(H$7-H$10)&gt;=1000</formula>
    </cfRule>
  </conditionalFormatting>
  <conditionalFormatting sqref="M7">
    <cfRule type="expression" dxfId="137" priority="3">
      <formula>ABS(M$7-M$10)&gt;=1000</formula>
    </cfRule>
  </conditionalFormatting>
  <conditionalFormatting sqref="O7:P7">
    <cfRule type="expression" dxfId="136" priority="2">
      <formula>ABS(O$7-O$10)&gt;=1000</formula>
    </cfRule>
  </conditionalFormatting>
  <conditionalFormatting sqref="N7">
    <cfRule type="expression" dxfId="13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4">
    <pageSetUpPr fitToPage="1"/>
  </sheetPr>
  <dimension ref="A1:BA223"/>
  <sheetViews>
    <sheetView view="pageBreakPreview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233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235</v>
      </c>
      <c r="C4" s="66" t="s" ph="1">
        <v>53</v>
      </c>
      <c r="D4" s="67" t="s" ph="1">
        <v>174</v>
      </c>
      <c r="E4" s="67" t="s" ph="1">
        <v>238</v>
      </c>
      <c r="F4" s="67" t="s" ph="1">
        <v>30</v>
      </c>
      <c r="G4" s="67" t="s" ph="1">
        <v>68</v>
      </c>
      <c r="H4" s="67" t="s" ph="1">
        <v>173</v>
      </c>
      <c r="I4" s="67" t="s" ph="1">
        <v>242</v>
      </c>
      <c r="J4" s="67" t="s" ph="1">
        <v>71</v>
      </c>
      <c r="K4" s="67" t="s" ph="1">
        <v>72</v>
      </c>
      <c r="L4" s="67" t="s" ph="1">
        <v>131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244</v>
      </c>
      <c r="D5" s="141" t="s" ph="1">
        <v>245</v>
      </c>
      <c r="E5" s="141" t="s" ph="1">
        <v>245</v>
      </c>
      <c r="F5" s="141" t="s" ph="1">
        <v>121</v>
      </c>
      <c r="G5" s="141" t="s" ph="1">
        <v>121</v>
      </c>
      <c r="H5" s="141" t="s" ph="1">
        <v>245</v>
      </c>
      <c r="I5" s="141" t="s" ph="1">
        <v>245</v>
      </c>
      <c r="J5" s="141" t="s" ph="1">
        <v>121</v>
      </c>
      <c r="K5" s="141" t="s" ph="1">
        <v>121</v>
      </c>
      <c r="L5" s="140" t="s" ph="1">
        <v>64</v>
      </c>
      <c r="M5" s="140" t="s" ph="1">
        <v>248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11" t="s" ph="1">
        <v>153</v>
      </c>
      <c r="D6" s="151">
        <v>0.99790000000000001</v>
      </c>
      <c r="E6" s="151">
        <v>0.49030000000000001</v>
      </c>
      <c r="F6" s="151">
        <v>0</v>
      </c>
      <c r="G6" s="151">
        <v>0</v>
      </c>
      <c r="H6" s="70">
        <v>4190</v>
      </c>
      <c r="I6" s="70">
        <v>5206</v>
      </c>
      <c r="J6" s="70">
        <v>0</v>
      </c>
      <c r="K6" s="70">
        <v>0</v>
      </c>
      <c r="L6" s="70">
        <v>5132</v>
      </c>
      <c r="M6" s="70">
        <v>1903</v>
      </c>
      <c r="N6" s="70">
        <v>4058</v>
      </c>
      <c r="O6" s="70">
        <v>2992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140</v>
      </c>
      <c r="D7" s="72" ph="1">
        <f>((D6*5885)*4.48)*LOOKUP(D8,密度!$A$2:$A$50,密度!$B$2:$B$50)</f>
        <v>20350.347137119999</v>
      </c>
      <c r="E7" s="72" ph="1">
        <f>((E6*5885)*4.48)*LOOKUP(E8,密度!$A$2:$A$50,密度!$B$2:$B$50)</f>
        <v>9976.7972993920012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46411.540982400002</v>
      </c>
      <c r="I7" s="72" ph="1">
        <f>IF(I6&lt;=0,0,IF(I6&lt;=745,PI()*(5.3235*(I6/1000)^2-(4/3)*(I6/1000)^3),7.55+15.2053*((I6-745)/1000))*LOOKUP(I8,密度!$A$2:$A$50,密度!$B$2:$B$50)*1000)</f>
        <v>58374.925051519996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105242.970928</v>
      </c>
      <c r="M7" s="72" ph="1">
        <f>M6*26.42*1</f>
        <v>50277.26</v>
      </c>
      <c r="N7" s="72" ph="1">
        <f>N6*18.32*LOOKUP(N8,密度!$A$2:$A$50,密度!$B$2:$B$50)</f>
        <v>57704.695071999995</v>
      </c>
      <c r="O7" s="72" ph="1">
        <f>O6*81.71*LOOKUP(O8,密度!$A$2:$A$50,密度!$B$2:$B$50)</f>
        <v>190178.12932799998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118</v>
      </c>
      <c r="D8" s="73">
        <v>32</v>
      </c>
      <c r="E8" s="73">
        <v>34</v>
      </c>
      <c r="F8" s="73">
        <v>30</v>
      </c>
      <c r="G8" s="73">
        <v>29</v>
      </c>
      <c r="H8" s="73">
        <v>31</v>
      </c>
      <c r="I8" s="73">
        <v>31</v>
      </c>
      <c r="J8" s="73">
        <v>28</v>
      </c>
      <c r="K8" s="73">
        <v>29</v>
      </c>
      <c r="L8" s="73">
        <v>29</v>
      </c>
      <c r="M8" s="73">
        <v>29</v>
      </c>
      <c r="N8" s="73">
        <v>29</v>
      </c>
      <c r="O8" s="73">
        <v>27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11" t="s" ph="1">
        <v>57</v>
      </c>
      <c r="D9" s="151">
        <v>9.0899999999999995E-2</v>
      </c>
      <c r="E9" s="151">
        <v>0.99990000000000001</v>
      </c>
      <c r="F9" s="151">
        <v>0</v>
      </c>
      <c r="G9" s="151">
        <v>0</v>
      </c>
      <c r="H9" s="70">
        <v>3879</v>
      </c>
      <c r="I9" s="70">
        <v>5207</v>
      </c>
      <c r="J9" s="70">
        <v>0</v>
      </c>
      <c r="K9" s="70">
        <v>0</v>
      </c>
      <c r="L9" s="70">
        <v>5223</v>
      </c>
      <c r="M9" s="70">
        <v>1903</v>
      </c>
      <c r="N9" s="70">
        <v>4128</v>
      </c>
      <c r="O9" s="70">
        <v>3620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11" t="s" ph="1">
        <v>140</v>
      </c>
      <c r="D10" s="72" ph="1">
        <f>((D9*5885)*4.48)*LOOKUP(D11,密度!$A$2:$A$50,密度!$B$2:$B$50)</f>
        <v>1849.6652549760006</v>
      </c>
      <c r="E10" s="72" ph="1">
        <f>((E9*5885)*4.48)*LOOKUP(E11,密度!$A$2:$A$50,密度!$B$2:$B$50)</f>
        <v>20322.591857568001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42655.675061539994</v>
      </c>
      <c r="I10" s="72" ph="1">
        <f>IF(I9&lt;=0,0,IF(I9&lt;=745,PI()*(5.3235*(I9/1000)^2-(4/3)*(I9/1000)^3),7.55+15.2053*((I9-745)/1000))*LOOKUP(I11,密度!$A$2:$A$50,密度!$B$2:$B$50)*1000)</f>
        <v>58386.700035839989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107109.126492</v>
      </c>
      <c r="M10" s="72" ph="1">
        <f>M9*26.42*1</f>
        <v>50277.26</v>
      </c>
      <c r="N10" s="72" ph="1">
        <f>N9*18.32*LOOKUP(N11,密度!$A$2:$A$50,密度!$B$2:$B$50)</f>
        <v>58632.031488000001</v>
      </c>
      <c r="O10" s="72" ph="1">
        <f>O9*81.71*LOOKUP(O11,密度!$A$2:$A$50,密度!$B$2:$B$50)</f>
        <v>230095.19657999999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254</v>
      </c>
      <c r="B11" s="296" ph="1"/>
      <c r="C11" s="211" t="s" ph="1">
        <v>118</v>
      </c>
      <c r="D11" s="73">
        <v>34</v>
      </c>
      <c r="E11" s="73">
        <v>35</v>
      </c>
      <c r="F11" s="73">
        <v>30</v>
      </c>
      <c r="G11" s="73">
        <v>33</v>
      </c>
      <c r="H11" s="73">
        <v>33</v>
      </c>
      <c r="I11" s="73">
        <v>31</v>
      </c>
      <c r="J11" s="73">
        <v>33</v>
      </c>
      <c r="K11" s="73">
        <v>33</v>
      </c>
      <c r="L11" s="73">
        <v>29</v>
      </c>
      <c r="M11" s="73">
        <v>29</v>
      </c>
      <c r="N11" s="73">
        <v>30</v>
      </c>
      <c r="O11" s="73">
        <v>27</v>
      </c>
      <c r="P11" s="73">
        <v>31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211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11" t="s" ph="1">
        <v>153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11" t="s" ph="1">
        <v>140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256</v>
      </c>
      <c r="B17" s="277" ph="1"/>
      <c r="C17" s="78" t="s" ph="1">
        <v>118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11" t="s" ph="1">
        <v>140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118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235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258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11" t="s" ph="1">
        <v>153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11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11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11" t="s" ph="1">
        <v>118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150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211" t="s" ph="1">
        <v>1</v>
      </c>
      <c r="F32" s="210" t="s" ph="1">
        <v>260</v>
      </c>
      <c r="G32" s="96" t="s" ph="1">
        <v>0</v>
      </c>
      <c r="H32" s="211" t="s" ph="1">
        <v>1</v>
      </c>
      <c r="I32" s="210" t="s" ph="1">
        <v>260</v>
      </c>
      <c r="J32" s="96" t="s" ph="1">
        <v>0</v>
      </c>
      <c r="K32" s="211" t="s" ph="1">
        <v>1</v>
      </c>
      <c r="L32" s="210" t="s" ph="1">
        <v>260</v>
      </c>
      <c r="M32" s="96" t="s" ph="1">
        <v>0</v>
      </c>
      <c r="N32" s="211" t="s" ph="1">
        <v>1</v>
      </c>
      <c r="O32" s="210" t="s" ph="1">
        <v>260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11" t="s" ph="1">
        <v>1</v>
      </c>
      <c r="U32" s="98" t="s" ph="1">
        <v>260</v>
      </c>
      <c r="V32" s="96" t="s" ph="1">
        <v>0</v>
      </c>
      <c r="W32" s="211" t="s" ph="1">
        <v>1</v>
      </c>
      <c r="X32" s="98" t="s" ph="1">
        <v>31</v>
      </c>
      <c r="Y32" s="99" t="s" ph="1">
        <v>0</v>
      </c>
      <c r="Z32" s="211" t="s" ph="1">
        <v>1</v>
      </c>
      <c r="AA32" s="210" t="s" ph="1">
        <v>260</v>
      </c>
      <c r="AB32" s="96" t="s" ph="1">
        <v>262</v>
      </c>
      <c r="AC32" s="211" t="s" ph="1">
        <v>40</v>
      </c>
      <c r="AD32" s="263" t="s" ph="1">
        <v>264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230095.19657999999</v>
      </c>
      <c r="E33" s="245" ph="1">
        <f>H10+I10+J10+K10</f>
        <v>101042.37509737999</v>
      </c>
      <c r="F33" s="269" ph="1">
        <f>L10+N10</f>
        <v>165741.15797999999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230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209" t="s" ph="1">
        <v>62</v>
      </c>
      <c r="AA36" s="209" ph="1"/>
      <c r="AB36" s="231" t="s" ph="1">
        <v>67</v>
      </c>
      <c r="AC36" s="231" ph="1"/>
      <c r="AD36" s="231" ph="1"/>
      <c r="AE36" s="231" ph="1"/>
    </row>
    <row r="37" spans="1:31" s="209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045" priority="174">
      <formula>ABS(D$7-D$10)&gt;=1000</formula>
    </cfRule>
  </conditionalFormatting>
  <conditionalFormatting sqref="E4 E6 E8:E9 E11">
    <cfRule type="expression" dxfId="1044" priority="173">
      <formula>ABS(E$7-E$10)&gt;=1000</formula>
    </cfRule>
  </conditionalFormatting>
  <conditionalFormatting sqref="F4 F6 F8:F9 F11">
    <cfRule type="expression" dxfId="1043" priority="172">
      <formula>ABS(F$7-F$10)&gt;=1000</formula>
    </cfRule>
  </conditionalFormatting>
  <conditionalFormatting sqref="G4 G6 G8:G9 G11">
    <cfRule type="expression" dxfId="1042" priority="171">
      <formula>ABS(G$7-G$10)&gt;=1000</formula>
    </cfRule>
  </conditionalFormatting>
  <conditionalFormatting sqref="H4:K4 H8 H11">
    <cfRule type="expression" dxfId="1041" priority="170">
      <formula>ABS(H$7-H$10)&gt;=1000</formula>
    </cfRule>
  </conditionalFormatting>
  <conditionalFormatting sqref="I8 I11">
    <cfRule type="expression" dxfId="1040" priority="169">
      <formula>ABS(I$7-I$10)&gt;=1000</formula>
    </cfRule>
  </conditionalFormatting>
  <conditionalFormatting sqref="J8 J11">
    <cfRule type="expression" dxfId="1039" priority="168">
      <formula>ABS(J$7-J$10)&gt;=1000</formula>
    </cfRule>
  </conditionalFormatting>
  <conditionalFormatting sqref="K8 K11">
    <cfRule type="expression" dxfId="1038" priority="167">
      <formula>ABS(K$7-K$10)&gt;=1000</formula>
    </cfRule>
  </conditionalFormatting>
  <conditionalFormatting sqref="L4:L5 M4:N4 Q4:S4 L8 L11">
    <cfRule type="expression" dxfId="1037" priority="166">
      <formula>ABS(L$7-L$10)&gt;=1000</formula>
    </cfRule>
  </conditionalFormatting>
  <conditionalFormatting sqref="M8 M11">
    <cfRule type="expression" dxfId="1036" priority="165">
      <formula>ABS(M$7-M$10)&gt;=1000</formula>
    </cfRule>
  </conditionalFormatting>
  <conditionalFormatting sqref="N8 N11">
    <cfRule type="expression" dxfId="1035" priority="164">
      <formula>ABS(N$7-N$10)&gt;=1000</formula>
    </cfRule>
  </conditionalFormatting>
  <conditionalFormatting sqref="Q5:Q11">
    <cfRule type="expression" dxfId="1034" priority="163">
      <formula>ABS(Q$7-Q$10)&gt;=1000</formula>
    </cfRule>
  </conditionalFormatting>
  <conditionalFormatting sqref="R5:R11">
    <cfRule type="expression" dxfId="1033" priority="162">
      <formula>ABS(R$7-R$10)&gt;=1000</formula>
    </cfRule>
  </conditionalFormatting>
  <conditionalFormatting sqref="S5:S11">
    <cfRule type="expression" dxfId="1032" priority="161">
      <formula>ABS(S$7-S$10)&gt;=1000</formula>
    </cfRule>
  </conditionalFormatting>
  <conditionalFormatting sqref="T4:T9 T11">
    <cfRule type="expression" dxfId="1031" priority="160">
      <formula>ABS(T$7-T$10)&gt;=1000</formula>
    </cfRule>
  </conditionalFormatting>
  <conditionalFormatting sqref="U4:U9 U11">
    <cfRule type="expression" dxfId="1030" priority="159">
      <formula>ABS(U$7-U$10)&gt;=1000</formula>
    </cfRule>
  </conditionalFormatting>
  <conditionalFormatting sqref="V4:V9 V11">
    <cfRule type="expression" dxfId="1029" priority="158">
      <formula>ABS(V$7-V$10)&gt;=1000</formula>
    </cfRule>
  </conditionalFormatting>
  <conditionalFormatting sqref="W4:W9 W11">
    <cfRule type="expression" dxfId="1028" priority="157">
      <formula>ABS(W$7-W$10)&gt;=1000</formula>
    </cfRule>
  </conditionalFormatting>
  <conditionalFormatting sqref="X4:X9 X11">
    <cfRule type="expression" dxfId="1027" priority="156">
      <formula>ABS(X$7-X$10)&gt;=1000</formula>
    </cfRule>
  </conditionalFormatting>
  <conditionalFormatting sqref="Y4:Y9 Y11">
    <cfRule type="expression" dxfId="1026" priority="155">
      <formula>ABS(Y$7-Y$10)&gt;=1000</formula>
    </cfRule>
  </conditionalFormatting>
  <conditionalFormatting sqref="Z4:Z11">
    <cfRule type="expression" dxfId="1025" priority="154">
      <formula>ABS(Z$7-Z$10)&gt;=1000</formula>
    </cfRule>
  </conditionalFormatting>
  <conditionalFormatting sqref="AA4:AA11">
    <cfRule type="expression" dxfId="1024" priority="153">
      <formula>ABS(AA$7-AA$10)&gt;=1000</formula>
    </cfRule>
  </conditionalFormatting>
  <conditionalFormatting sqref="AB4:AB11">
    <cfRule type="expression" dxfId="1023" priority="152">
      <formula>ABS(AB$7-AB$10)&gt;=1000</formula>
    </cfRule>
  </conditionalFormatting>
  <conditionalFormatting sqref="AC4 AC6:AC11">
    <cfRule type="expression" dxfId="1022" priority="151">
      <formula>ABS(AC$7-AC$10)&gt;=1000</formula>
    </cfRule>
  </conditionalFormatting>
  <conditionalFormatting sqref="AD4 AD6:AD11">
    <cfRule type="expression" dxfId="1021" priority="150">
      <formula>ABS(AD$7-AD$10)&gt;=1000</formula>
    </cfRule>
  </conditionalFormatting>
  <conditionalFormatting sqref="AE4 AE6:AE11">
    <cfRule type="expression" dxfId="1020" priority="149">
      <formula>ABS(AE$7-AE$10)&gt;=1000</formula>
    </cfRule>
  </conditionalFormatting>
  <conditionalFormatting sqref="D13:D20">
    <cfRule type="expression" dxfId="1019" priority="148">
      <formula>ABS(D$16-D$19)&gt;=1000</formula>
    </cfRule>
  </conditionalFormatting>
  <conditionalFormatting sqref="E13:E20">
    <cfRule type="expression" dxfId="1018" priority="147">
      <formula>ABS(E$16-E$19)&gt;=1000</formula>
    </cfRule>
  </conditionalFormatting>
  <conditionalFormatting sqref="F13 F15:F20">
    <cfRule type="expression" dxfId="1017" priority="146">
      <formula>ABS(F$16-F$19)&gt;=1000</formula>
    </cfRule>
  </conditionalFormatting>
  <conditionalFormatting sqref="G13:G20">
    <cfRule type="expression" dxfId="1016" priority="145">
      <formula>ABS(G$16-G$19)&gt;=1000</formula>
    </cfRule>
  </conditionalFormatting>
  <conditionalFormatting sqref="H13 H15:H20">
    <cfRule type="expression" dxfId="1015" priority="144">
      <formula>ABS(H$16-H$19)&gt;=1000</formula>
    </cfRule>
  </conditionalFormatting>
  <conditionalFormatting sqref="I13:I20">
    <cfRule type="expression" dxfId="1014" priority="143">
      <formula>ABS(I$16-I$19)&gt;=1000</formula>
    </cfRule>
  </conditionalFormatting>
  <conditionalFormatting sqref="J13:J20">
    <cfRule type="expression" dxfId="1013" priority="142">
      <formula>ABS(J$16-J$19)&gt;=1000</formula>
    </cfRule>
  </conditionalFormatting>
  <conditionalFormatting sqref="L13:L20">
    <cfRule type="expression" dxfId="1012" priority="141">
      <formula>ABS(L$16-L$19)&gt;=1000</formula>
    </cfRule>
  </conditionalFormatting>
  <conditionalFormatting sqref="M13 M15 M17:M18 M20">
    <cfRule type="expression" dxfId="1011" priority="140">
      <formula>ABS(M$16-M$19)&gt;=1000</formula>
    </cfRule>
  </conditionalFormatting>
  <conditionalFormatting sqref="N13:N20">
    <cfRule type="expression" dxfId="1010" priority="139">
      <formula>ABS(N$16-N$19)&gt;=1000</formula>
    </cfRule>
  </conditionalFormatting>
  <conditionalFormatting sqref="O13:O20">
    <cfRule type="expression" dxfId="1009" priority="138">
      <formula>ABS(O$16-O$19)&gt;=1000</formula>
    </cfRule>
  </conditionalFormatting>
  <conditionalFormatting sqref="P13:P20">
    <cfRule type="expression" dxfId="1008" priority="137">
      <formula>ABS(P$16-P$19)&gt;=1000</formula>
    </cfRule>
  </conditionalFormatting>
  <conditionalFormatting sqref="Q13 Q15:Q20">
    <cfRule type="expression" dxfId="1007" priority="136">
      <formula>ABS(Q$16-Q$19)&gt;=1000</formula>
    </cfRule>
  </conditionalFormatting>
  <conditionalFormatting sqref="R13:R20">
    <cfRule type="expression" dxfId="1006" priority="135">
      <formula>ABS(R$16-R$19)&gt;=1000</formula>
    </cfRule>
  </conditionalFormatting>
  <conditionalFormatting sqref="S13:S20">
    <cfRule type="expression" dxfId="1005" priority="134">
      <formula>ABS(S$16-S$19)&gt;=1000</formula>
    </cfRule>
  </conditionalFormatting>
  <conditionalFormatting sqref="T13:T20">
    <cfRule type="expression" dxfId="1004" priority="133">
      <formula>ABS(T$16-T$19)&gt;=1000</formula>
    </cfRule>
  </conditionalFormatting>
  <conditionalFormatting sqref="U13:U20">
    <cfRule type="expression" dxfId="1003" priority="132">
      <formula>ABS(U$16-U$19)&gt;=1000</formula>
    </cfRule>
  </conditionalFormatting>
  <conditionalFormatting sqref="V13:V20">
    <cfRule type="expression" dxfId="1002" priority="131">
      <formula>ABS(V$16-V$19)&gt;=1000</formula>
    </cfRule>
  </conditionalFormatting>
  <conditionalFormatting sqref="W13 W20 W15:W18">
    <cfRule type="expression" dxfId="1001" priority="130">
      <formula>ABS(W$16-W$19)&gt;=1000</formula>
    </cfRule>
  </conditionalFormatting>
  <conditionalFormatting sqref="X13 X15:X20 Y19">
    <cfRule type="expression" dxfId="1000" priority="129">
      <formula>ABS(X$16-X$19)&gt;=1000</formula>
    </cfRule>
  </conditionalFormatting>
  <conditionalFormatting sqref="Y13 Y15:Y18 Y20">
    <cfRule type="expression" dxfId="999" priority="128">
      <formula>ABS(Y$16-Y$19)&gt;=1000</formula>
    </cfRule>
  </conditionalFormatting>
  <conditionalFormatting sqref="Z13:Z20">
    <cfRule type="expression" dxfId="998" priority="127">
      <formula>ABS(Z$16-Z$19)&gt;=1000</formula>
    </cfRule>
  </conditionalFormatting>
  <conditionalFormatting sqref="AA13:AA20">
    <cfRule type="expression" dxfId="997" priority="126">
      <formula>ABS(AA$16-AA$19)&gt;=1000</formula>
    </cfRule>
  </conditionalFormatting>
  <conditionalFormatting sqref="AB13 AB15:AB20">
    <cfRule type="expression" dxfId="996" priority="125">
      <formula>ABS(AB$16-AB$19)&gt;=1000</formula>
    </cfRule>
  </conditionalFormatting>
  <conditionalFormatting sqref="AC13 AC15:AC20">
    <cfRule type="expression" dxfId="995" priority="124">
      <formula>ABS(AC$16-AC$19)&gt;=1000</formula>
    </cfRule>
  </conditionalFormatting>
  <conditionalFormatting sqref="AD13:AD20">
    <cfRule type="expression" dxfId="994" priority="123">
      <formula>ABS(AD$16-AD$19)&gt;=1000</formula>
    </cfRule>
  </conditionalFormatting>
  <conditionalFormatting sqref="AE13:AE20">
    <cfRule type="expression" dxfId="993" priority="122">
      <formula>ABS(AE$16-AE$19)&gt;=1000</formula>
    </cfRule>
  </conditionalFormatting>
  <conditionalFormatting sqref="D22:D29">
    <cfRule type="expression" dxfId="992" priority="121">
      <formula>ABS(D$25-D$28)&gt;=1000</formula>
    </cfRule>
  </conditionalFormatting>
  <conditionalFormatting sqref="E22:E29">
    <cfRule type="expression" dxfId="991" priority="120">
      <formula>ABS(E$25-E$28)&gt;=1000</formula>
    </cfRule>
  </conditionalFormatting>
  <conditionalFormatting sqref="F22:F29">
    <cfRule type="expression" dxfId="990" priority="119">
      <formula>ABS(F$25-F$28)&gt;=1000</formula>
    </cfRule>
  </conditionalFormatting>
  <conditionalFormatting sqref="G22:G29">
    <cfRule type="expression" dxfId="989" priority="118">
      <formula>ABS(G$25-G$28)&gt;=1000</formula>
    </cfRule>
  </conditionalFormatting>
  <conditionalFormatting sqref="H22:H29">
    <cfRule type="expression" dxfId="988" priority="117">
      <formula>ABS(H$25-H$28)&gt;=1000</formula>
    </cfRule>
  </conditionalFormatting>
  <conditionalFormatting sqref="I22 I24:I29">
    <cfRule type="expression" dxfId="987" priority="116">
      <formula>ABS(I$25-I$28)&gt;=1000</formula>
    </cfRule>
  </conditionalFormatting>
  <conditionalFormatting sqref="J22:J29 K22">
    <cfRule type="expression" dxfId="986" priority="115">
      <formula>ABS(J$25-J$28)&gt;=1000</formula>
    </cfRule>
  </conditionalFormatting>
  <conditionalFormatting sqref="K23:K29 L25 L28">
    <cfRule type="expression" dxfId="985" priority="114">
      <formula>ABS(K$25-K$28)&gt;=1000</formula>
    </cfRule>
  </conditionalFormatting>
  <conditionalFormatting sqref="L22 L26:L27 L29 L24">
    <cfRule type="expression" dxfId="984" priority="113">
      <formula>ABS(L$25-L$28)&gt;=1000</formula>
    </cfRule>
  </conditionalFormatting>
  <conditionalFormatting sqref="M22:M29">
    <cfRule type="expression" dxfId="983" priority="112">
      <formula>ABS(M$25-M$28)&gt;=1000</formula>
    </cfRule>
  </conditionalFormatting>
  <conditionalFormatting sqref="N22:N29">
    <cfRule type="expression" dxfId="982" priority="111">
      <formula>ABS(N$25-N$28)&gt;=1000</formula>
    </cfRule>
  </conditionalFormatting>
  <conditionalFormatting sqref="O22:O29">
    <cfRule type="expression" dxfId="981" priority="110">
      <formula>ABS(O$25-O$28)&gt;=1000</formula>
    </cfRule>
  </conditionalFormatting>
  <conditionalFormatting sqref="P22:P29">
    <cfRule type="expression" dxfId="980" priority="109">
      <formula>ABS(P$25-P$28)&gt;=1000</formula>
    </cfRule>
  </conditionalFormatting>
  <conditionalFormatting sqref="Q22:Q29">
    <cfRule type="expression" dxfId="979" priority="108">
      <formula>ABS(Q$25-Q$28)&gt;=1000</formula>
    </cfRule>
  </conditionalFormatting>
  <conditionalFormatting sqref="R22:R29">
    <cfRule type="expression" dxfId="978" priority="107">
      <formula>ABS(R$25-R$28)&gt;=1000</formula>
    </cfRule>
  </conditionalFormatting>
  <conditionalFormatting sqref="S22:S29">
    <cfRule type="expression" dxfId="977" priority="106">
      <formula>ABS(S$25-S$28)&gt;=1000</formula>
    </cfRule>
  </conditionalFormatting>
  <conditionalFormatting sqref="T22:T29">
    <cfRule type="expression" dxfId="976" priority="105">
      <formula>ABS(T$25-T$28)&gt;=1000</formula>
    </cfRule>
  </conditionalFormatting>
  <conditionalFormatting sqref="U22:U29">
    <cfRule type="expression" dxfId="975" priority="104">
      <formula>ABS(U$25-U$28)&gt;=1000</formula>
    </cfRule>
  </conditionalFormatting>
  <conditionalFormatting sqref="V22:V29">
    <cfRule type="expression" dxfId="974" priority="103">
      <formula>ABS(V$25-V$28)&gt;=1000</formula>
    </cfRule>
  </conditionalFormatting>
  <conditionalFormatting sqref="W22:W29">
    <cfRule type="expression" dxfId="973" priority="102">
      <formula>ABS(W$25-W$28)&gt;=1000</formula>
    </cfRule>
  </conditionalFormatting>
  <conditionalFormatting sqref="X22:X29">
    <cfRule type="expression" dxfId="972" priority="101">
      <formula>ABS(X$25-X$28)&gt;=1000</formula>
    </cfRule>
  </conditionalFormatting>
  <conditionalFormatting sqref="Y22:Y29">
    <cfRule type="expression" dxfId="971" priority="100">
      <formula>ABS(Y$25-Y$28)&gt;=1000</formula>
    </cfRule>
  </conditionalFormatting>
  <conditionalFormatting sqref="I23">
    <cfRule type="expression" dxfId="970" priority="99">
      <formula>ABS(I$25-I$28)&gt;=1000</formula>
    </cfRule>
  </conditionalFormatting>
  <conditionalFormatting sqref="Q14">
    <cfRule type="expression" dxfId="969" priority="98">
      <formula>ABS(Q$16-Q$19)&gt;=1000</formula>
    </cfRule>
  </conditionalFormatting>
  <conditionalFormatting sqref="W14">
    <cfRule type="expression" dxfId="968" priority="97">
      <formula>ABS(W$16-W$19)&gt;=1000</formula>
    </cfRule>
  </conditionalFormatting>
  <conditionalFormatting sqref="X14">
    <cfRule type="expression" dxfId="967" priority="96">
      <formula>ABS(X$16-X$19)&gt;=1000</formula>
    </cfRule>
  </conditionalFormatting>
  <conditionalFormatting sqref="T10:Y10">
    <cfRule type="expression" dxfId="966" priority="95">
      <formula>ABS(T$7-T$10)&gt;=1000</formula>
    </cfRule>
  </conditionalFormatting>
  <conditionalFormatting sqref="W19">
    <cfRule type="expression" dxfId="965" priority="94">
      <formula>ABS(W$16-W$19)&gt;=1000</formula>
    </cfRule>
  </conditionalFormatting>
  <conditionalFormatting sqref="AC5">
    <cfRule type="expression" dxfId="964" priority="93">
      <formula>ABS(AC$7-AC$10)&gt;=1000</formula>
    </cfRule>
  </conditionalFormatting>
  <conditionalFormatting sqref="M14">
    <cfRule type="expression" dxfId="963" priority="92">
      <formula>ABS(M$16-M$19)&gt;=1000</formula>
    </cfRule>
  </conditionalFormatting>
  <conditionalFormatting sqref="M16">
    <cfRule type="expression" dxfId="962" priority="91">
      <formula>ABS(M$16-M$19)&gt;=1000</formula>
    </cfRule>
  </conditionalFormatting>
  <conditionalFormatting sqref="M19">
    <cfRule type="expression" dxfId="961" priority="90">
      <formula>ABS(M$16-M$19)&gt;=1000</formula>
    </cfRule>
  </conditionalFormatting>
  <conditionalFormatting sqref="K13:K20">
    <cfRule type="expression" dxfId="960" priority="89">
      <formula>ABS(K$16-K$19)&gt;=1000</formula>
    </cfRule>
  </conditionalFormatting>
  <conditionalFormatting sqref="AB14:AC14">
    <cfRule type="expression" dxfId="959" priority="88">
      <formula>ABS(AB$16-AB$19)&gt;=1000</formula>
    </cfRule>
  </conditionalFormatting>
  <conditionalFormatting sqref="M5">
    <cfRule type="expression" dxfId="958" priority="87">
      <formula>ABS(M$7-M$10)&gt;=1000</formula>
    </cfRule>
  </conditionalFormatting>
  <conditionalFormatting sqref="N5">
    <cfRule type="expression" dxfId="957" priority="86">
      <formula>ABS(N$7-N$10)&gt;=1000</formula>
    </cfRule>
  </conditionalFormatting>
  <conditionalFormatting sqref="L23">
    <cfRule type="expression" dxfId="956" priority="85">
      <formula>ABS(L$25-L$28)&gt;=1000</formula>
    </cfRule>
  </conditionalFormatting>
  <conditionalFormatting sqref="Y14">
    <cfRule type="expression" dxfId="955" priority="84">
      <formula>ABS(Y$16-Y$19)&gt;=1000</formula>
    </cfRule>
  </conditionalFormatting>
  <conditionalFormatting sqref="F14">
    <cfRule type="expression" dxfId="954" priority="83">
      <formula>ABS(F$16-F$19)&gt;=1000</formula>
    </cfRule>
  </conditionalFormatting>
  <conditionalFormatting sqref="H14">
    <cfRule type="expression" dxfId="953" priority="82">
      <formula>ABS(H$16-H$19)&gt;=1000</formula>
    </cfRule>
  </conditionalFormatting>
  <conditionalFormatting sqref="AD5">
    <cfRule type="expression" dxfId="952" priority="81">
      <formula>ABS(AD$7-AD$10)&gt;=1000</formula>
    </cfRule>
  </conditionalFormatting>
  <conditionalFormatting sqref="AE5">
    <cfRule type="expression" dxfId="951" priority="80">
      <formula>ABS(AE$7-AE$10)&gt;=1000</formula>
    </cfRule>
  </conditionalFormatting>
  <conditionalFormatting sqref="D5">
    <cfRule type="expression" dxfId="950" priority="79">
      <formula>ABS(D$7-D$10)&gt;=1000</formula>
    </cfRule>
  </conditionalFormatting>
  <conditionalFormatting sqref="E5:G5">
    <cfRule type="expression" dxfId="949" priority="78">
      <formula>ABS(E$7-E$10)&gt;=1000</formula>
    </cfRule>
  </conditionalFormatting>
  <conditionalFormatting sqref="H5">
    <cfRule type="expression" dxfId="948" priority="77">
      <formula>ABS(H$7-H$10)&gt;=1000</formula>
    </cfRule>
  </conditionalFormatting>
  <conditionalFormatting sqref="O4:P4">
    <cfRule type="expression" dxfId="947" priority="76">
      <formula>ABS(O$7-O$10)&gt;=1000</formula>
    </cfRule>
  </conditionalFormatting>
  <conditionalFormatting sqref="O5 O8 O11">
    <cfRule type="expression" dxfId="946" priority="75">
      <formula>ABS(O$7-O$10)&gt;=1000</formula>
    </cfRule>
  </conditionalFormatting>
  <conditionalFormatting sqref="P8 P11">
    <cfRule type="expression" dxfId="945" priority="74">
      <formula>ABS(P$7-P$10)&gt;=1000</formula>
    </cfRule>
  </conditionalFormatting>
  <conditionalFormatting sqref="J5">
    <cfRule type="expression" dxfId="944" priority="73">
      <formula>ABS(J$7-J$10)&gt;=1000</formula>
    </cfRule>
  </conditionalFormatting>
  <conditionalFormatting sqref="K5">
    <cfRule type="expression" dxfId="943" priority="72">
      <formula>ABS(K$7-K$10)&gt;=1000</formula>
    </cfRule>
  </conditionalFormatting>
  <conditionalFormatting sqref="H6">
    <cfRule type="expression" dxfId="925" priority="54">
      <formula>ABS(H$7-H$10)&gt;=1000</formula>
    </cfRule>
  </conditionalFormatting>
  <conditionalFormatting sqref="J6">
    <cfRule type="expression" dxfId="924" priority="53">
      <formula>ABS(J$7-J$10)&gt;=1000</formula>
    </cfRule>
  </conditionalFormatting>
  <conditionalFormatting sqref="K6">
    <cfRule type="expression" dxfId="923" priority="52">
      <formula>ABS(K$7-K$10)&gt;=1000</formula>
    </cfRule>
  </conditionalFormatting>
  <conditionalFormatting sqref="L6">
    <cfRule type="expression" dxfId="922" priority="51">
      <formula>ABS(L$7-L$10)&gt;=1000</formula>
    </cfRule>
  </conditionalFormatting>
  <conditionalFormatting sqref="M6">
    <cfRule type="expression" dxfId="921" priority="50">
      <formula>ABS(M$7-M$10)&gt;=1000</formula>
    </cfRule>
  </conditionalFormatting>
  <conditionalFormatting sqref="N6">
    <cfRule type="expression" dxfId="920" priority="49">
      <formula>ABS(N$7-N$10)&gt;=1000</formula>
    </cfRule>
  </conditionalFormatting>
  <conditionalFormatting sqref="O6">
    <cfRule type="expression" dxfId="919" priority="48">
      <formula>ABS(O$7-O$10)&gt;=1000</formula>
    </cfRule>
  </conditionalFormatting>
  <conditionalFormatting sqref="P6">
    <cfRule type="expression" dxfId="918" priority="47">
      <formula>ABS(P$7-P$10)&gt;=1000</formula>
    </cfRule>
  </conditionalFormatting>
  <conditionalFormatting sqref="I6">
    <cfRule type="expression" dxfId="917" priority="46">
      <formula>ABS(I$7-I$10)&gt;=1000</formula>
    </cfRule>
  </conditionalFormatting>
  <conditionalFormatting sqref="H9">
    <cfRule type="expression" dxfId="916" priority="45">
      <formula>ABS(H$7-H$10)&gt;=1000</formula>
    </cfRule>
  </conditionalFormatting>
  <conditionalFormatting sqref="J9">
    <cfRule type="expression" dxfId="915" priority="44">
      <formula>ABS(J$7-J$10)&gt;=1000</formula>
    </cfRule>
  </conditionalFormatting>
  <conditionalFormatting sqref="K9">
    <cfRule type="expression" dxfId="914" priority="43">
      <formula>ABS(K$7-K$10)&gt;=1000</formula>
    </cfRule>
  </conditionalFormatting>
  <conditionalFormatting sqref="L9">
    <cfRule type="expression" dxfId="913" priority="42">
      <formula>ABS(L$7-L$10)&gt;=1000</formula>
    </cfRule>
  </conditionalFormatting>
  <conditionalFormatting sqref="M9">
    <cfRule type="expression" dxfId="912" priority="41">
      <formula>ABS(M$7-M$10)&gt;=1000</formula>
    </cfRule>
  </conditionalFormatting>
  <conditionalFormatting sqref="N9">
    <cfRule type="expression" dxfId="911" priority="40">
      <formula>ABS(N$7-N$10)&gt;=1000</formula>
    </cfRule>
  </conditionalFormatting>
  <conditionalFormatting sqref="O9">
    <cfRule type="expression" dxfId="910" priority="39">
      <formula>ABS(O$7-O$10)&gt;=1000</formula>
    </cfRule>
  </conditionalFormatting>
  <conditionalFormatting sqref="P9">
    <cfRule type="expression" dxfId="909" priority="38">
      <formula>ABS(P$7-P$10)&gt;=1000</formula>
    </cfRule>
  </conditionalFormatting>
  <conditionalFormatting sqref="I9">
    <cfRule type="expression" dxfId="908" priority="37">
      <formula>ABS(I$7-I$10)&gt;=1000</formula>
    </cfRule>
  </conditionalFormatting>
  <conditionalFormatting sqref="P5">
    <cfRule type="expression" dxfId="907" priority="36">
      <formula>ABS(P$7-P$10)&gt;=1000</formula>
    </cfRule>
  </conditionalFormatting>
  <conditionalFormatting sqref="I5">
    <cfRule type="expression" dxfId="906" priority="35">
      <formula>ABS(I$7-I$10)&gt;=1000</formula>
    </cfRule>
  </conditionalFormatting>
  <conditionalFormatting sqref="D7:G7">
    <cfRule type="expression" dxfId="154" priority="10">
      <formula>ABS(D$7-D$10)&gt;=1000</formula>
    </cfRule>
  </conditionalFormatting>
  <conditionalFormatting sqref="H7:L7">
    <cfRule type="expression" dxfId="153" priority="9">
      <formula>ABS(H$7-H$10)&gt;=1000</formula>
    </cfRule>
  </conditionalFormatting>
  <conditionalFormatting sqref="M7">
    <cfRule type="expression" dxfId="152" priority="8">
      <formula>ABS(M$7-M$10)&gt;=1000</formula>
    </cfRule>
  </conditionalFormatting>
  <conditionalFormatting sqref="O7:P7">
    <cfRule type="expression" dxfId="151" priority="7">
      <formula>ABS(O$7-O$10)&gt;=1000</formula>
    </cfRule>
  </conditionalFormatting>
  <conditionalFormatting sqref="N7">
    <cfRule type="expression" dxfId="150" priority="6">
      <formula>ABS(N$7-N$10)&gt;=1000</formula>
    </cfRule>
  </conditionalFormatting>
  <conditionalFormatting sqref="D10:G10">
    <cfRule type="expression" dxfId="149" priority="5">
      <formula>ABS(D$7-D$10)&gt;=1000</formula>
    </cfRule>
  </conditionalFormatting>
  <conditionalFormatting sqref="H10:L10">
    <cfRule type="expression" dxfId="148" priority="4">
      <formula>ABS(H$7-H$10)&gt;=1000</formula>
    </cfRule>
  </conditionalFormatting>
  <conditionalFormatting sqref="M10">
    <cfRule type="expression" dxfId="147" priority="3">
      <formula>ABS(M$7-M$10)&gt;=1000</formula>
    </cfRule>
  </conditionalFormatting>
  <conditionalFormatting sqref="O10:P10">
    <cfRule type="expression" dxfId="146" priority="2">
      <formula>ABS(O$7-O$10)&gt;=1000</formula>
    </cfRule>
  </conditionalFormatting>
  <conditionalFormatting sqref="N10">
    <cfRule type="expression" dxfId="14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52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7">
    <pageSetUpPr fitToPage="1"/>
  </sheetPr>
  <dimension ref="A1:BA223"/>
  <sheetViews>
    <sheetView view="pageBreakPreview" zoomScale="110" zoomScaleNormal="100" zoomScaleSheetLayoutView="110" workbookViewId="0">
      <selection activeCell="D7" sqref="D7:P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122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177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132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87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15" t="s" ph="1">
        <v>54</v>
      </c>
      <c r="D6" s="151">
        <v>0.99480000000000002</v>
      </c>
      <c r="E6" s="151">
        <v>0.3261</v>
      </c>
      <c r="F6" s="151">
        <v>0</v>
      </c>
      <c r="G6" s="151">
        <v>0</v>
      </c>
      <c r="H6" s="70">
        <v>5059</v>
      </c>
      <c r="I6" s="70">
        <v>5199</v>
      </c>
      <c r="J6" s="70">
        <v>0</v>
      </c>
      <c r="K6" s="70">
        <v>0</v>
      </c>
      <c r="L6" s="70">
        <v>5237</v>
      </c>
      <c r="M6" s="70">
        <v>1903</v>
      </c>
      <c r="N6" s="70">
        <v>4286</v>
      </c>
      <c r="O6" s="70">
        <v>3205</v>
      </c>
      <c r="P6" s="70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140</v>
      </c>
      <c r="D7" s="72" ph="1">
        <f>((D6*5885)*4.48)*LOOKUP(D8,密度!$A$2:$A$50,密度!$B$2:$B$50)</f>
        <v>20266.146139008004</v>
      </c>
      <c r="E7" s="72" ph="1">
        <f>((E6*5885)*4.48)*LOOKUP(E8,密度!$A$2:$A$50,密度!$B$2:$B$50)</f>
        <v>6635.5977959040019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56578.171258699993</v>
      </c>
      <c r="I7" s="72" ph="1">
        <f>IF(I6&lt;=0,0,IF(I6&lt;=745,PI()*(5.3235*(I6/1000)^2-(4/3)*(I6/1000)^3),7.55+15.2053*((I6-745)/1000))*LOOKUP(I8,密度!$A$2:$A$50,密度!$B$2:$B$50)*1000)</f>
        <v>58292.50016127999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107396.227348</v>
      </c>
      <c r="M7" s="72" ph="1">
        <f>M6*26.42*1</f>
        <v>50277.26</v>
      </c>
      <c r="N7" s="72" ph="1">
        <f>N6*18.32*LOOKUP(N8,密度!$A$2:$A$50,密度!$B$2:$B$50)</f>
        <v>60946.851424</v>
      </c>
      <c r="O7" s="72" ph="1">
        <f>O6*81.71*LOOKUP(O8,密度!$A$2:$A$50,密度!$B$2:$B$50)</f>
        <v>203716.87984499999</v>
      </c>
      <c r="P7" s="72" ph="1">
        <f>P6*81.71*LOOKUP(P8,密度!$A$2:$A$50,密度!$B$2:$B$50)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118</v>
      </c>
      <c r="D8" s="73">
        <v>33</v>
      </c>
      <c r="E8" s="73">
        <v>34</v>
      </c>
      <c r="F8" s="73">
        <v>30</v>
      </c>
      <c r="G8" s="73">
        <v>29</v>
      </c>
      <c r="H8" s="73">
        <v>32</v>
      </c>
      <c r="I8" s="73">
        <v>31</v>
      </c>
      <c r="J8" s="73">
        <v>28</v>
      </c>
      <c r="K8" s="73">
        <v>30</v>
      </c>
      <c r="L8" s="73">
        <v>29</v>
      </c>
      <c r="M8" s="73">
        <v>29</v>
      </c>
      <c r="N8" s="73">
        <v>29</v>
      </c>
      <c r="O8" s="73">
        <v>27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15" t="s" ph="1">
        <v>57</v>
      </c>
      <c r="D9" s="151">
        <v>0.99480000000000002</v>
      </c>
      <c r="E9" s="151">
        <v>0.27379999999999999</v>
      </c>
      <c r="F9" s="151">
        <v>0</v>
      </c>
      <c r="G9" s="151">
        <v>0</v>
      </c>
      <c r="H9" s="70">
        <v>2464</v>
      </c>
      <c r="I9" s="70">
        <v>6316</v>
      </c>
      <c r="J9" s="70">
        <v>0</v>
      </c>
      <c r="K9" s="70">
        <v>0</v>
      </c>
      <c r="L9" s="70">
        <v>5282</v>
      </c>
      <c r="M9" s="70">
        <v>1903</v>
      </c>
      <c r="N9" s="70">
        <v>2515</v>
      </c>
      <c r="O9" s="70">
        <v>3005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15" t="s" ph="1">
        <v>140</v>
      </c>
      <c r="D10" s="72" ph="1">
        <f>((D9*5885)*4.48)*LOOKUP(D11,密度!$A$2:$A$50,密度!$B$2:$B$50)</f>
        <v>20266.146139008004</v>
      </c>
      <c r="E10" s="72" ph="1">
        <f>((E9*5885)*4.48)*LOOKUP(E11,密度!$A$2:$A$50,密度!$B$2:$B$50)</f>
        <v>5564.8821388160004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26030.648597889998</v>
      </c>
      <c r="I10" s="72" ph="1">
        <f>IF(I9&lt;=0,0,IF(I9&lt;=745,PI()*(5.3235*(I9/1000)^2-(4/3)*(I9/1000)^3),7.55+15.2053*((I9-745)/1000))*LOOKUP(I11,密度!$A$2:$A$50,密度!$B$2:$B$50)*1000)</f>
        <v>71362.124793049981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108319.051528</v>
      </c>
      <c r="M10" s="72" ph="1">
        <f>M9*26.42*1</f>
        <v>50277.26</v>
      </c>
      <c r="N10" s="72" ph="1">
        <f>N9*18.32*LOOKUP(N11,密度!$A$2:$A$50,密度!$B$2:$B$50)</f>
        <v>35680.325120000001</v>
      </c>
      <c r="O10" s="72" ph="1">
        <f>O9*81.71*LOOKUP(O11,密度!$A$2:$A$50,密度!$B$2:$B$50)</f>
        <v>191004.43804499999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215" t="s" ph="1">
        <v>118</v>
      </c>
      <c r="D11" s="73">
        <v>33</v>
      </c>
      <c r="E11" s="73">
        <v>35</v>
      </c>
      <c r="F11" s="73">
        <v>31</v>
      </c>
      <c r="G11" s="73">
        <v>31</v>
      </c>
      <c r="H11" s="73">
        <v>33</v>
      </c>
      <c r="I11" s="73">
        <v>32</v>
      </c>
      <c r="J11" s="73">
        <v>32</v>
      </c>
      <c r="K11" s="73">
        <v>33</v>
      </c>
      <c r="L11" s="73">
        <v>29</v>
      </c>
      <c r="M11" s="73">
        <v>29</v>
      </c>
      <c r="N11" s="73">
        <v>31</v>
      </c>
      <c r="O11" s="73">
        <v>27</v>
      </c>
      <c r="P11" s="73">
        <v>31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21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15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15" t="s" ph="1">
        <v>140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146</v>
      </c>
      <c r="B17" s="277" ph="1"/>
      <c r="C17" s="78" t="s" ph="1">
        <v>118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15" t="s" ph="1">
        <v>140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118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15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1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15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15" t="s" ph="1">
        <v>118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150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215" t="s" ph="1">
        <v>1</v>
      </c>
      <c r="F32" s="216" t="s" ph="1">
        <v>31</v>
      </c>
      <c r="G32" s="96" t="s" ph="1">
        <v>0</v>
      </c>
      <c r="H32" s="215" t="s" ph="1">
        <v>1</v>
      </c>
      <c r="I32" s="216" t="s" ph="1">
        <v>31</v>
      </c>
      <c r="J32" s="96" t="s" ph="1">
        <v>0</v>
      </c>
      <c r="K32" s="215" t="s" ph="1">
        <v>1</v>
      </c>
      <c r="L32" s="216" t="s" ph="1">
        <v>31</v>
      </c>
      <c r="M32" s="96" t="s" ph="1">
        <v>0</v>
      </c>
      <c r="N32" s="215" t="s" ph="1">
        <v>1</v>
      </c>
      <c r="O32" s="216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15" t="s" ph="1">
        <v>1</v>
      </c>
      <c r="U32" s="98" t="s" ph="1">
        <v>31</v>
      </c>
      <c r="V32" s="96" t="s" ph="1">
        <v>0</v>
      </c>
      <c r="W32" s="215" t="s" ph="1">
        <v>1</v>
      </c>
      <c r="X32" s="98" t="s" ph="1">
        <v>31</v>
      </c>
      <c r="Y32" s="99" t="s" ph="1">
        <v>0</v>
      </c>
      <c r="Z32" s="215" t="s" ph="1">
        <v>1</v>
      </c>
      <c r="AA32" s="216" t="s" ph="1">
        <v>31</v>
      </c>
      <c r="AB32" s="96" t="s" ph="1">
        <v>41</v>
      </c>
      <c r="AC32" s="215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191004.43804499999</v>
      </c>
      <c r="E33" s="245" ph="1">
        <f>H10+I10+J10+K10</f>
        <v>97392.773390939983</v>
      </c>
      <c r="F33" s="269" ph="1">
        <f>L10+N10</f>
        <v>143999.376648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217" t="s" ph="1">
        <v>62</v>
      </c>
      <c r="AA36" s="217" ph="1"/>
      <c r="AB36" s="231" t="s" ph="1">
        <v>67</v>
      </c>
      <c r="AC36" s="231" ph="1"/>
      <c r="AD36" s="231" ph="1"/>
      <c r="AE36" s="231" ph="1"/>
    </row>
    <row r="37" spans="1:31" s="21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897" priority="174">
      <formula>ABS(D$7-D$10)&gt;=1000</formula>
    </cfRule>
  </conditionalFormatting>
  <conditionalFormatting sqref="E4 E6 E8:E9 E11">
    <cfRule type="expression" dxfId="896" priority="173">
      <formula>ABS(E$7-E$10)&gt;=1000</formula>
    </cfRule>
  </conditionalFormatting>
  <conditionalFormatting sqref="F4 F6 F8:F9 F11">
    <cfRule type="expression" dxfId="895" priority="172">
      <formula>ABS(F$7-F$10)&gt;=1000</formula>
    </cfRule>
  </conditionalFormatting>
  <conditionalFormatting sqref="G4 G6 G8:G9 G11">
    <cfRule type="expression" dxfId="894" priority="171">
      <formula>ABS(G$7-G$10)&gt;=1000</formula>
    </cfRule>
  </conditionalFormatting>
  <conditionalFormatting sqref="H4:K4 H8 H11">
    <cfRule type="expression" dxfId="893" priority="170">
      <formula>ABS(H$7-H$10)&gt;=1000</formula>
    </cfRule>
  </conditionalFormatting>
  <conditionalFormatting sqref="I8 I11">
    <cfRule type="expression" dxfId="892" priority="169">
      <formula>ABS(I$7-I$10)&gt;=1000</formula>
    </cfRule>
  </conditionalFormatting>
  <conditionalFormatting sqref="J8 J11">
    <cfRule type="expression" dxfId="891" priority="168">
      <formula>ABS(J$7-J$10)&gt;=1000</formula>
    </cfRule>
  </conditionalFormatting>
  <conditionalFormatting sqref="K8 K11">
    <cfRule type="expression" dxfId="890" priority="167">
      <formula>ABS(K$7-K$10)&gt;=1000</formula>
    </cfRule>
  </conditionalFormatting>
  <conditionalFormatting sqref="L4:L5 M4:N4 Q4:S4 L8 L11">
    <cfRule type="expression" dxfId="889" priority="166">
      <formula>ABS(L$7-L$10)&gt;=1000</formula>
    </cfRule>
  </conditionalFormatting>
  <conditionalFormatting sqref="M8 M11">
    <cfRule type="expression" dxfId="888" priority="165">
      <formula>ABS(M$7-M$10)&gt;=1000</formula>
    </cfRule>
  </conditionalFormatting>
  <conditionalFormatting sqref="N8 N11">
    <cfRule type="expression" dxfId="887" priority="164">
      <formula>ABS(N$7-N$10)&gt;=1000</formula>
    </cfRule>
  </conditionalFormatting>
  <conditionalFormatting sqref="Q5:Q11">
    <cfRule type="expression" dxfId="886" priority="163">
      <formula>ABS(Q$7-Q$10)&gt;=1000</formula>
    </cfRule>
  </conditionalFormatting>
  <conditionalFormatting sqref="R5:R11">
    <cfRule type="expression" dxfId="885" priority="162">
      <formula>ABS(R$7-R$10)&gt;=1000</formula>
    </cfRule>
  </conditionalFormatting>
  <conditionalFormatting sqref="S5:S11">
    <cfRule type="expression" dxfId="884" priority="161">
      <formula>ABS(S$7-S$10)&gt;=1000</formula>
    </cfRule>
  </conditionalFormatting>
  <conditionalFormatting sqref="T4:T9 T11">
    <cfRule type="expression" dxfId="883" priority="160">
      <formula>ABS(T$7-T$10)&gt;=1000</formula>
    </cfRule>
  </conditionalFormatting>
  <conditionalFormatting sqref="U4:U9 U11">
    <cfRule type="expression" dxfId="882" priority="159">
      <formula>ABS(U$7-U$10)&gt;=1000</formula>
    </cfRule>
  </conditionalFormatting>
  <conditionalFormatting sqref="V4:V9 V11">
    <cfRule type="expression" dxfId="881" priority="158">
      <formula>ABS(V$7-V$10)&gt;=1000</formula>
    </cfRule>
  </conditionalFormatting>
  <conditionalFormatting sqref="W4:W9 W11">
    <cfRule type="expression" dxfId="880" priority="157">
      <formula>ABS(W$7-W$10)&gt;=1000</formula>
    </cfRule>
  </conditionalFormatting>
  <conditionalFormatting sqref="X4:X9 X11">
    <cfRule type="expression" dxfId="879" priority="156">
      <formula>ABS(X$7-X$10)&gt;=1000</formula>
    </cfRule>
  </conditionalFormatting>
  <conditionalFormatting sqref="Y4:Y9 Y11">
    <cfRule type="expression" dxfId="878" priority="155">
      <formula>ABS(Y$7-Y$10)&gt;=1000</formula>
    </cfRule>
  </conditionalFormatting>
  <conditionalFormatting sqref="Z4:Z11">
    <cfRule type="expression" dxfId="877" priority="154">
      <formula>ABS(Z$7-Z$10)&gt;=1000</formula>
    </cfRule>
  </conditionalFormatting>
  <conditionalFormatting sqref="AA4:AA11">
    <cfRule type="expression" dxfId="876" priority="153">
      <formula>ABS(AA$7-AA$10)&gt;=1000</formula>
    </cfRule>
  </conditionalFormatting>
  <conditionalFormatting sqref="AB4:AB11">
    <cfRule type="expression" dxfId="875" priority="152">
      <formula>ABS(AB$7-AB$10)&gt;=1000</formula>
    </cfRule>
  </conditionalFormatting>
  <conditionalFormatting sqref="AC4 AC6:AC11">
    <cfRule type="expression" dxfId="874" priority="151">
      <formula>ABS(AC$7-AC$10)&gt;=1000</formula>
    </cfRule>
  </conditionalFormatting>
  <conditionalFormatting sqref="AD4 AD6:AD11">
    <cfRule type="expression" dxfId="873" priority="150">
      <formula>ABS(AD$7-AD$10)&gt;=1000</formula>
    </cfRule>
  </conditionalFormatting>
  <conditionalFormatting sqref="AE4 AE6:AE11">
    <cfRule type="expression" dxfId="872" priority="149">
      <formula>ABS(AE$7-AE$10)&gt;=1000</formula>
    </cfRule>
  </conditionalFormatting>
  <conditionalFormatting sqref="D13:D20">
    <cfRule type="expression" dxfId="871" priority="148">
      <formula>ABS(D$16-D$19)&gt;=1000</formula>
    </cfRule>
  </conditionalFormatting>
  <conditionalFormatting sqref="E13:E20">
    <cfRule type="expression" dxfId="870" priority="147">
      <formula>ABS(E$16-E$19)&gt;=1000</formula>
    </cfRule>
  </conditionalFormatting>
  <conditionalFormatting sqref="F13 F15:F20">
    <cfRule type="expression" dxfId="869" priority="146">
      <formula>ABS(F$16-F$19)&gt;=1000</formula>
    </cfRule>
  </conditionalFormatting>
  <conditionalFormatting sqref="G13:G20">
    <cfRule type="expression" dxfId="868" priority="145">
      <formula>ABS(G$16-G$19)&gt;=1000</formula>
    </cfRule>
  </conditionalFormatting>
  <conditionalFormatting sqref="H13 H15:H20">
    <cfRule type="expression" dxfId="867" priority="144">
      <formula>ABS(H$16-H$19)&gt;=1000</formula>
    </cfRule>
  </conditionalFormatting>
  <conditionalFormatting sqref="I13:I20">
    <cfRule type="expression" dxfId="866" priority="143">
      <formula>ABS(I$16-I$19)&gt;=1000</formula>
    </cfRule>
  </conditionalFormatting>
  <conditionalFormatting sqref="J13:J20">
    <cfRule type="expression" dxfId="865" priority="142">
      <formula>ABS(J$16-J$19)&gt;=1000</formula>
    </cfRule>
  </conditionalFormatting>
  <conditionalFormatting sqref="L13:L20">
    <cfRule type="expression" dxfId="864" priority="141">
      <formula>ABS(L$16-L$19)&gt;=1000</formula>
    </cfRule>
  </conditionalFormatting>
  <conditionalFormatting sqref="M13 M15 M17:M18 M20">
    <cfRule type="expression" dxfId="863" priority="140">
      <formula>ABS(M$16-M$19)&gt;=1000</formula>
    </cfRule>
  </conditionalFormatting>
  <conditionalFormatting sqref="N13:N20">
    <cfRule type="expression" dxfId="862" priority="139">
      <formula>ABS(N$16-N$19)&gt;=1000</formula>
    </cfRule>
  </conditionalFormatting>
  <conditionalFormatting sqref="O13:O20">
    <cfRule type="expression" dxfId="861" priority="138">
      <formula>ABS(O$16-O$19)&gt;=1000</formula>
    </cfRule>
  </conditionalFormatting>
  <conditionalFormatting sqref="P13:P20">
    <cfRule type="expression" dxfId="860" priority="137">
      <formula>ABS(P$16-P$19)&gt;=1000</formula>
    </cfRule>
  </conditionalFormatting>
  <conditionalFormatting sqref="Q13 Q15:Q20">
    <cfRule type="expression" dxfId="859" priority="136">
      <formula>ABS(Q$16-Q$19)&gt;=1000</formula>
    </cfRule>
  </conditionalFormatting>
  <conditionalFormatting sqref="R13:R20">
    <cfRule type="expression" dxfId="858" priority="135">
      <formula>ABS(R$16-R$19)&gt;=1000</formula>
    </cfRule>
  </conditionalFormatting>
  <conditionalFormatting sqref="S13:S20">
    <cfRule type="expression" dxfId="857" priority="134">
      <formula>ABS(S$16-S$19)&gt;=1000</formula>
    </cfRule>
  </conditionalFormatting>
  <conditionalFormatting sqref="T13:T20">
    <cfRule type="expression" dxfId="856" priority="133">
      <formula>ABS(T$16-T$19)&gt;=1000</formula>
    </cfRule>
  </conditionalFormatting>
  <conditionalFormatting sqref="U13:U20">
    <cfRule type="expression" dxfId="855" priority="132">
      <formula>ABS(U$16-U$19)&gt;=1000</formula>
    </cfRule>
  </conditionalFormatting>
  <conditionalFormatting sqref="V13:V20">
    <cfRule type="expression" dxfId="854" priority="131">
      <formula>ABS(V$16-V$19)&gt;=1000</formula>
    </cfRule>
  </conditionalFormatting>
  <conditionalFormatting sqref="W13 W20 W15:W18">
    <cfRule type="expression" dxfId="853" priority="130">
      <formula>ABS(W$16-W$19)&gt;=1000</formula>
    </cfRule>
  </conditionalFormatting>
  <conditionalFormatting sqref="X13 X15:X20 Y19">
    <cfRule type="expression" dxfId="852" priority="129">
      <formula>ABS(X$16-X$19)&gt;=1000</formula>
    </cfRule>
  </conditionalFormatting>
  <conditionalFormatting sqref="Y13 Y15:Y18 Y20">
    <cfRule type="expression" dxfId="851" priority="128">
      <formula>ABS(Y$16-Y$19)&gt;=1000</formula>
    </cfRule>
  </conditionalFormatting>
  <conditionalFormatting sqref="Z13:Z20">
    <cfRule type="expression" dxfId="850" priority="127">
      <formula>ABS(Z$16-Z$19)&gt;=1000</formula>
    </cfRule>
  </conditionalFormatting>
  <conditionalFormatting sqref="AA13:AA20">
    <cfRule type="expression" dxfId="849" priority="126">
      <formula>ABS(AA$16-AA$19)&gt;=1000</formula>
    </cfRule>
  </conditionalFormatting>
  <conditionalFormatting sqref="AB13 AB15:AB20">
    <cfRule type="expression" dxfId="848" priority="125">
      <formula>ABS(AB$16-AB$19)&gt;=1000</formula>
    </cfRule>
  </conditionalFormatting>
  <conditionalFormatting sqref="AC13 AC15:AC20">
    <cfRule type="expression" dxfId="847" priority="124">
      <formula>ABS(AC$16-AC$19)&gt;=1000</formula>
    </cfRule>
  </conditionalFormatting>
  <conditionalFormatting sqref="AD13:AD20">
    <cfRule type="expression" dxfId="846" priority="123">
      <formula>ABS(AD$16-AD$19)&gt;=1000</formula>
    </cfRule>
  </conditionalFormatting>
  <conditionalFormatting sqref="AE13:AE20">
    <cfRule type="expression" dxfId="845" priority="122">
      <formula>ABS(AE$16-AE$19)&gt;=1000</formula>
    </cfRule>
  </conditionalFormatting>
  <conditionalFormatting sqref="D22:D29">
    <cfRule type="expression" dxfId="844" priority="121">
      <formula>ABS(D$25-D$28)&gt;=1000</formula>
    </cfRule>
  </conditionalFormatting>
  <conditionalFormatting sqref="E22:E29">
    <cfRule type="expression" dxfId="843" priority="120">
      <formula>ABS(E$25-E$28)&gt;=1000</formula>
    </cfRule>
  </conditionalFormatting>
  <conditionalFormatting sqref="F22:F29">
    <cfRule type="expression" dxfId="842" priority="119">
      <formula>ABS(F$25-F$28)&gt;=1000</formula>
    </cfRule>
  </conditionalFormatting>
  <conditionalFormatting sqref="G22:G29">
    <cfRule type="expression" dxfId="841" priority="118">
      <formula>ABS(G$25-G$28)&gt;=1000</formula>
    </cfRule>
  </conditionalFormatting>
  <conditionalFormatting sqref="H22:H29">
    <cfRule type="expression" dxfId="840" priority="117">
      <formula>ABS(H$25-H$28)&gt;=1000</formula>
    </cfRule>
  </conditionalFormatting>
  <conditionalFormatting sqref="I22 I24:I29">
    <cfRule type="expression" dxfId="839" priority="116">
      <formula>ABS(I$25-I$28)&gt;=1000</formula>
    </cfRule>
  </conditionalFormatting>
  <conditionalFormatting sqref="J22:J29 K22">
    <cfRule type="expression" dxfId="838" priority="115">
      <formula>ABS(J$25-J$28)&gt;=1000</formula>
    </cfRule>
  </conditionalFormatting>
  <conditionalFormatting sqref="K23:K29 L25 L28">
    <cfRule type="expression" dxfId="837" priority="114">
      <formula>ABS(K$25-K$28)&gt;=1000</formula>
    </cfRule>
  </conditionalFormatting>
  <conditionalFormatting sqref="L22 L26:L27 L29 L24">
    <cfRule type="expression" dxfId="836" priority="113">
      <formula>ABS(L$25-L$28)&gt;=1000</formula>
    </cfRule>
  </conditionalFormatting>
  <conditionalFormatting sqref="M22:M29">
    <cfRule type="expression" dxfId="835" priority="112">
      <formula>ABS(M$25-M$28)&gt;=1000</formula>
    </cfRule>
  </conditionalFormatting>
  <conditionalFormatting sqref="N22:N29">
    <cfRule type="expression" dxfId="834" priority="111">
      <formula>ABS(N$25-N$28)&gt;=1000</formula>
    </cfRule>
  </conditionalFormatting>
  <conditionalFormatting sqref="O22:O29">
    <cfRule type="expression" dxfId="833" priority="110">
      <formula>ABS(O$25-O$28)&gt;=1000</formula>
    </cfRule>
  </conditionalFormatting>
  <conditionalFormatting sqref="P22:P29">
    <cfRule type="expression" dxfId="832" priority="109">
      <formula>ABS(P$25-P$28)&gt;=1000</formula>
    </cfRule>
  </conditionalFormatting>
  <conditionalFormatting sqref="Q22:Q29">
    <cfRule type="expression" dxfId="831" priority="108">
      <formula>ABS(Q$25-Q$28)&gt;=1000</formula>
    </cfRule>
  </conditionalFormatting>
  <conditionalFormatting sqref="R22:R29">
    <cfRule type="expression" dxfId="830" priority="107">
      <formula>ABS(R$25-R$28)&gt;=1000</formula>
    </cfRule>
  </conditionalFormatting>
  <conditionalFormatting sqref="S22:S29">
    <cfRule type="expression" dxfId="829" priority="106">
      <formula>ABS(S$25-S$28)&gt;=1000</formula>
    </cfRule>
  </conditionalFormatting>
  <conditionalFormatting sqref="T22:T29">
    <cfRule type="expression" dxfId="828" priority="105">
      <formula>ABS(T$25-T$28)&gt;=1000</formula>
    </cfRule>
  </conditionalFormatting>
  <conditionalFormatting sqref="U22:U29">
    <cfRule type="expression" dxfId="827" priority="104">
      <formula>ABS(U$25-U$28)&gt;=1000</formula>
    </cfRule>
  </conditionalFormatting>
  <conditionalFormatting sqref="V22:V29">
    <cfRule type="expression" dxfId="826" priority="103">
      <formula>ABS(V$25-V$28)&gt;=1000</formula>
    </cfRule>
  </conditionalFormatting>
  <conditionalFormatting sqref="W22:W29">
    <cfRule type="expression" dxfId="825" priority="102">
      <formula>ABS(W$25-W$28)&gt;=1000</formula>
    </cfRule>
  </conditionalFormatting>
  <conditionalFormatting sqref="X22:X29">
    <cfRule type="expression" dxfId="824" priority="101">
      <formula>ABS(X$25-X$28)&gt;=1000</formula>
    </cfRule>
  </conditionalFormatting>
  <conditionalFormatting sqref="Y22:Y29">
    <cfRule type="expression" dxfId="823" priority="100">
      <formula>ABS(Y$25-Y$28)&gt;=1000</formula>
    </cfRule>
  </conditionalFormatting>
  <conditionalFormatting sqref="I23">
    <cfRule type="expression" dxfId="822" priority="99">
      <formula>ABS(I$25-I$28)&gt;=1000</formula>
    </cfRule>
  </conditionalFormatting>
  <conditionalFormatting sqref="Q14">
    <cfRule type="expression" dxfId="821" priority="98">
      <formula>ABS(Q$16-Q$19)&gt;=1000</formula>
    </cfRule>
  </conditionalFormatting>
  <conditionalFormatting sqref="W14">
    <cfRule type="expression" dxfId="820" priority="97">
      <formula>ABS(W$16-W$19)&gt;=1000</formula>
    </cfRule>
  </conditionalFormatting>
  <conditionalFormatting sqref="X14">
    <cfRule type="expression" dxfId="819" priority="96">
      <formula>ABS(X$16-X$19)&gt;=1000</formula>
    </cfRule>
  </conditionalFormatting>
  <conditionalFormatting sqref="T10:Y10">
    <cfRule type="expression" dxfId="818" priority="95">
      <formula>ABS(T$7-T$10)&gt;=1000</formula>
    </cfRule>
  </conditionalFormatting>
  <conditionalFormatting sqref="W19">
    <cfRule type="expression" dxfId="817" priority="94">
      <formula>ABS(W$16-W$19)&gt;=1000</formula>
    </cfRule>
  </conditionalFormatting>
  <conditionalFormatting sqref="AC5">
    <cfRule type="expression" dxfId="816" priority="93">
      <formula>ABS(AC$7-AC$10)&gt;=1000</formula>
    </cfRule>
  </conditionalFormatting>
  <conditionalFormatting sqref="M14">
    <cfRule type="expression" dxfId="815" priority="92">
      <formula>ABS(M$16-M$19)&gt;=1000</formula>
    </cfRule>
  </conditionalFormatting>
  <conditionalFormatting sqref="M16">
    <cfRule type="expression" dxfId="814" priority="91">
      <formula>ABS(M$16-M$19)&gt;=1000</formula>
    </cfRule>
  </conditionalFormatting>
  <conditionalFormatting sqref="M19">
    <cfRule type="expression" dxfId="813" priority="90">
      <formula>ABS(M$16-M$19)&gt;=1000</formula>
    </cfRule>
  </conditionalFormatting>
  <conditionalFormatting sqref="K13:K20">
    <cfRule type="expression" dxfId="812" priority="89">
      <formula>ABS(K$16-K$19)&gt;=1000</formula>
    </cfRule>
  </conditionalFormatting>
  <conditionalFormatting sqref="AB14:AC14">
    <cfRule type="expression" dxfId="811" priority="88">
      <formula>ABS(AB$16-AB$19)&gt;=1000</formula>
    </cfRule>
  </conditionalFormatting>
  <conditionalFormatting sqref="M5">
    <cfRule type="expression" dxfId="810" priority="87">
      <formula>ABS(M$7-M$10)&gt;=1000</formula>
    </cfRule>
  </conditionalFormatting>
  <conditionalFormatting sqref="N5">
    <cfRule type="expression" dxfId="809" priority="86">
      <formula>ABS(N$7-N$10)&gt;=1000</formula>
    </cfRule>
  </conditionalFormatting>
  <conditionalFormatting sqref="L23">
    <cfRule type="expression" dxfId="808" priority="85">
      <formula>ABS(L$25-L$28)&gt;=1000</formula>
    </cfRule>
  </conditionalFormatting>
  <conditionalFormatting sqref="Y14">
    <cfRule type="expression" dxfId="807" priority="84">
      <formula>ABS(Y$16-Y$19)&gt;=1000</formula>
    </cfRule>
  </conditionalFormatting>
  <conditionalFormatting sqref="F14">
    <cfRule type="expression" dxfId="806" priority="83">
      <formula>ABS(F$16-F$19)&gt;=1000</formula>
    </cfRule>
  </conditionalFormatting>
  <conditionalFormatting sqref="H14">
    <cfRule type="expression" dxfId="805" priority="82">
      <formula>ABS(H$16-H$19)&gt;=1000</formula>
    </cfRule>
  </conditionalFormatting>
  <conditionalFormatting sqref="AD5">
    <cfRule type="expression" dxfId="804" priority="81">
      <formula>ABS(AD$7-AD$10)&gt;=1000</formula>
    </cfRule>
  </conditionalFormatting>
  <conditionalFormatting sqref="AE5">
    <cfRule type="expression" dxfId="803" priority="80">
      <formula>ABS(AE$7-AE$10)&gt;=1000</formula>
    </cfRule>
  </conditionalFormatting>
  <conditionalFormatting sqref="D5">
    <cfRule type="expression" dxfId="802" priority="79">
      <formula>ABS(D$7-D$10)&gt;=1000</formula>
    </cfRule>
  </conditionalFormatting>
  <conditionalFormatting sqref="E5:G5">
    <cfRule type="expression" dxfId="801" priority="78">
      <formula>ABS(E$7-E$10)&gt;=1000</formula>
    </cfRule>
  </conditionalFormatting>
  <conditionalFormatting sqref="H5">
    <cfRule type="expression" dxfId="800" priority="77">
      <formula>ABS(H$7-H$10)&gt;=1000</formula>
    </cfRule>
  </conditionalFormatting>
  <conditionalFormatting sqref="O4:P4">
    <cfRule type="expression" dxfId="799" priority="76">
      <formula>ABS(O$7-O$10)&gt;=1000</formula>
    </cfRule>
  </conditionalFormatting>
  <conditionalFormatting sqref="O5 O8 O11">
    <cfRule type="expression" dxfId="798" priority="75">
      <formula>ABS(O$7-O$10)&gt;=1000</formula>
    </cfRule>
  </conditionalFormatting>
  <conditionalFormatting sqref="P8 P11">
    <cfRule type="expression" dxfId="797" priority="74">
      <formula>ABS(P$7-P$10)&gt;=1000</formula>
    </cfRule>
  </conditionalFormatting>
  <conditionalFormatting sqref="J5">
    <cfRule type="expression" dxfId="796" priority="73">
      <formula>ABS(J$7-J$10)&gt;=1000</formula>
    </cfRule>
  </conditionalFormatting>
  <conditionalFormatting sqref="K5">
    <cfRule type="expression" dxfId="795" priority="72">
      <formula>ABS(K$7-K$10)&gt;=1000</formula>
    </cfRule>
  </conditionalFormatting>
  <conditionalFormatting sqref="H6">
    <cfRule type="expression" dxfId="777" priority="54">
      <formula>ABS(H$7-H$10)&gt;=1000</formula>
    </cfRule>
  </conditionalFormatting>
  <conditionalFormatting sqref="J6">
    <cfRule type="expression" dxfId="776" priority="53">
      <formula>ABS(J$7-J$10)&gt;=1000</formula>
    </cfRule>
  </conditionalFormatting>
  <conditionalFormatting sqref="K6">
    <cfRule type="expression" dxfId="775" priority="52">
      <formula>ABS(K$7-K$10)&gt;=1000</formula>
    </cfRule>
  </conditionalFormatting>
  <conditionalFormatting sqref="L6">
    <cfRule type="expression" dxfId="774" priority="51">
      <formula>ABS(L$7-L$10)&gt;=1000</formula>
    </cfRule>
  </conditionalFormatting>
  <conditionalFormatting sqref="M6">
    <cfRule type="expression" dxfId="773" priority="50">
      <formula>ABS(M$7-M$10)&gt;=1000</formula>
    </cfRule>
  </conditionalFormatting>
  <conditionalFormatting sqref="N6">
    <cfRule type="expression" dxfId="772" priority="49">
      <formula>ABS(N$7-N$10)&gt;=1000</formula>
    </cfRule>
  </conditionalFormatting>
  <conditionalFormatting sqref="O6">
    <cfRule type="expression" dxfId="771" priority="48">
      <formula>ABS(O$7-O$10)&gt;=1000</formula>
    </cfRule>
  </conditionalFormatting>
  <conditionalFormatting sqref="P6">
    <cfRule type="expression" dxfId="770" priority="47">
      <formula>ABS(P$7-P$10)&gt;=1000</formula>
    </cfRule>
  </conditionalFormatting>
  <conditionalFormatting sqref="I6">
    <cfRule type="expression" dxfId="769" priority="46">
      <formula>ABS(I$7-I$10)&gt;=1000</formula>
    </cfRule>
  </conditionalFormatting>
  <conditionalFormatting sqref="H9">
    <cfRule type="expression" dxfId="768" priority="45">
      <formula>ABS(H$7-H$10)&gt;=1000</formula>
    </cfRule>
  </conditionalFormatting>
  <conditionalFormatting sqref="J9">
    <cfRule type="expression" dxfId="767" priority="44">
      <formula>ABS(J$7-J$10)&gt;=1000</formula>
    </cfRule>
  </conditionalFormatting>
  <conditionalFormatting sqref="K9">
    <cfRule type="expression" dxfId="766" priority="43">
      <formula>ABS(K$7-K$10)&gt;=1000</formula>
    </cfRule>
  </conditionalFormatting>
  <conditionalFormatting sqref="L9">
    <cfRule type="expression" dxfId="765" priority="42">
      <formula>ABS(L$7-L$10)&gt;=1000</formula>
    </cfRule>
  </conditionalFormatting>
  <conditionalFormatting sqref="M9">
    <cfRule type="expression" dxfId="764" priority="41">
      <formula>ABS(M$7-M$10)&gt;=1000</formula>
    </cfRule>
  </conditionalFormatting>
  <conditionalFormatting sqref="N9">
    <cfRule type="expression" dxfId="763" priority="40">
      <formula>ABS(N$7-N$10)&gt;=1000</formula>
    </cfRule>
  </conditionalFormatting>
  <conditionalFormatting sqref="O9">
    <cfRule type="expression" dxfId="762" priority="39">
      <formula>ABS(O$7-O$10)&gt;=1000</formula>
    </cfRule>
  </conditionalFormatting>
  <conditionalFormatting sqref="P9">
    <cfRule type="expression" dxfId="761" priority="38">
      <formula>ABS(P$7-P$10)&gt;=1000</formula>
    </cfRule>
  </conditionalFormatting>
  <conditionalFormatting sqref="I9">
    <cfRule type="expression" dxfId="760" priority="37">
      <formula>ABS(I$7-I$10)&gt;=1000</formula>
    </cfRule>
  </conditionalFormatting>
  <conditionalFormatting sqref="P5">
    <cfRule type="expression" dxfId="759" priority="36">
      <formula>ABS(P$7-P$10)&gt;=1000</formula>
    </cfRule>
  </conditionalFormatting>
  <conditionalFormatting sqref="I5">
    <cfRule type="expression" dxfId="758" priority="35">
      <formula>ABS(I$7-I$10)&gt;=1000</formula>
    </cfRule>
  </conditionalFormatting>
  <conditionalFormatting sqref="D10:G10">
    <cfRule type="expression" dxfId="164" priority="10">
      <formula>ABS(D$7-D$10)&gt;=1000</formula>
    </cfRule>
  </conditionalFormatting>
  <conditionalFormatting sqref="H10:L10">
    <cfRule type="expression" dxfId="163" priority="9">
      <formula>ABS(H$7-H$10)&gt;=1000</formula>
    </cfRule>
  </conditionalFormatting>
  <conditionalFormatting sqref="M10">
    <cfRule type="expression" dxfId="162" priority="8">
      <formula>ABS(M$7-M$10)&gt;=1000</formula>
    </cfRule>
  </conditionalFormatting>
  <conditionalFormatting sqref="O10:P10">
    <cfRule type="expression" dxfId="161" priority="7">
      <formula>ABS(O$7-O$10)&gt;=1000</formula>
    </cfRule>
  </conditionalFormatting>
  <conditionalFormatting sqref="N10">
    <cfRule type="expression" dxfId="160" priority="6">
      <formula>ABS(N$7-N$10)&gt;=1000</formula>
    </cfRule>
  </conditionalFormatting>
  <conditionalFormatting sqref="D7:G7">
    <cfRule type="expression" dxfId="159" priority="5">
      <formula>ABS(D$7-D$10)&gt;=1000</formula>
    </cfRule>
  </conditionalFormatting>
  <conditionalFormatting sqref="H7:L7">
    <cfRule type="expression" dxfId="158" priority="4">
      <formula>ABS(H$7-H$10)&gt;=1000</formula>
    </cfRule>
  </conditionalFormatting>
  <conditionalFormatting sqref="M7">
    <cfRule type="expression" dxfId="157" priority="3">
      <formula>ABS(M$7-M$10)&gt;=1000</formula>
    </cfRule>
  </conditionalFormatting>
  <conditionalFormatting sqref="O7:P7">
    <cfRule type="expression" dxfId="156" priority="2">
      <formula>ABS(O$7-O$10)&gt;=1000</formula>
    </cfRule>
  </conditionalFormatting>
  <conditionalFormatting sqref="N7">
    <cfRule type="expression" dxfId="15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23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5">
    <pageSetUpPr fitToPage="1"/>
  </sheetPr>
  <dimension ref="A1:BA223"/>
  <sheetViews>
    <sheetView view="pageBreakPreview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178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177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132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87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14" t="s" ph="1">
        <v>54</v>
      </c>
      <c r="D6" s="151">
        <v>0.4839</v>
      </c>
      <c r="E6" s="151">
        <v>0.99339999999999995</v>
      </c>
      <c r="F6" s="151">
        <v>0</v>
      </c>
      <c r="G6" s="151">
        <v>0</v>
      </c>
      <c r="H6" s="70">
        <v>3540</v>
      </c>
      <c r="I6" s="70">
        <v>6310</v>
      </c>
      <c r="J6" s="70">
        <v>0</v>
      </c>
      <c r="K6" s="70">
        <v>0</v>
      </c>
      <c r="L6" s="70">
        <v>5311</v>
      </c>
      <c r="M6" s="70">
        <v>1904</v>
      </c>
      <c r="N6" s="70">
        <v>599</v>
      </c>
      <c r="O6" s="70">
        <v>2599</v>
      </c>
      <c r="P6" s="70">
        <v>795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140</v>
      </c>
      <c r="D7" s="72" ph="1">
        <f>((D6*5885)*4.48)*LOOKUP(D8,密度!$A$2:$A$50,密度!$B$2:$B$50)</f>
        <v>9846.5678424960024</v>
      </c>
      <c r="E7" s="72" ph="1">
        <f>((E6*5885)*4.48)*LOOKUP(E8,密度!$A$2:$A$50,密度!$B$2:$B$50)</f>
        <v>20237.625225664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38712.757242249994</v>
      </c>
      <c r="I7" s="72" ph="1">
        <f>IF(I6&lt;=0,0,IF(I6&lt;=745,PI()*(5.3235*(I6/1000)^2-(4/3)*(I6/1000)^3),7.55+15.2053*((I6-745)/1000))*LOOKUP(I8,密度!$A$2:$A$50,密度!$B$2:$B$50)*1000)</f>
        <v>71374.507740799992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108913.760444</v>
      </c>
      <c r="M7" s="72" ph="1">
        <f>M6*26.42*1</f>
        <v>50303.68</v>
      </c>
      <c r="N7" s="72" ph="1">
        <f>N6*18.32*LOOKUP(N8,密度!$A$2:$A$50,密度!$B$2:$B$50)</f>
        <v>8517.7704159999994</v>
      </c>
      <c r="O7" s="72" ph="1">
        <f>O6*81.71*LOOKUP(O8,密度!$A$2:$A$50,密度!$B$2:$B$50)</f>
        <v>165198.18119099998</v>
      </c>
      <c r="P7" s="72" ph="1">
        <f>P6*81.71*LOOKUP(P8,密度!$A$2:$A$50,密度!$B$2:$B$50)</f>
        <v>50304.598079999996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118</v>
      </c>
      <c r="D8" s="73">
        <v>34</v>
      </c>
      <c r="E8" s="73">
        <v>33</v>
      </c>
      <c r="F8" s="73">
        <v>30</v>
      </c>
      <c r="G8" s="73">
        <v>30</v>
      </c>
      <c r="H8" s="73">
        <v>32</v>
      </c>
      <c r="I8" s="73">
        <v>31</v>
      </c>
      <c r="J8" s="73">
        <v>28</v>
      </c>
      <c r="K8" s="73">
        <v>28</v>
      </c>
      <c r="L8" s="73">
        <v>29</v>
      </c>
      <c r="M8" s="73">
        <v>29</v>
      </c>
      <c r="N8" s="73">
        <v>29</v>
      </c>
      <c r="O8" s="73">
        <v>27</v>
      </c>
      <c r="P8" s="73">
        <v>31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14" t="s" ph="1">
        <v>57</v>
      </c>
      <c r="D9" s="151">
        <v>1.0002</v>
      </c>
      <c r="E9" s="151">
        <v>9.8799999999999999E-2</v>
      </c>
      <c r="F9" s="151">
        <v>0</v>
      </c>
      <c r="G9" s="151">
        <v>0</v>
      </c>
      <c r="H9" s="70">
        <v>3368</v>
      </c>
      <c r="I9" s="70">
        <v>6311</v>
      </c>
      <c r="J9" s="70">
        <v>0</v>
      </c>
      <c r="K9" s="70">
        <v>0</v>
      </c>
      <c r="L9" s="70">
        <v>4582</v>
      </c>
      <c r="M9" s="70">
        <v>1903</v>
      </c>
      <c r="N9" s="70">
        <v>691</v>
      </c>
      <c r="O9" s="70">
        <v>2398</v>
      </c>
      <c r="P9" s="70">
        <v>1038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14" t="s" ph="1">
        <v>140</v>
      </c>
      <c r="D10" s="72" ph="1">
        <f>((D9*5885)*4.48)*LOOKUP(D11,密度!$A$2:$A$50,密度!$B$2:$B$50)</f>
        <v>20328.689244864003</v>
      </c>
      <c r="E10" s="72" ph="1">
        <f>((E9*5885)*4.48)*LOOKUP(E11,密度!$A$2:$A$50,密度!$B$2:$B$50)</f>
        <v>2008.0728828160004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36651.866918129999</v>
      </c>
      <c r="I10" s="72" ph="1">
        <f>IF(I9&lt;=0,0,IF(I9&lt;=745,PI()*(5.3235*(I9/1000)^2-(4/3)*(I9/1000)^3),7.55+15.2053*((I9-745)/1000))*LOOKUP(I11,密度!$A$2:$A$50,密度!$B$2:$B$50)*1000)</f>
        <v>71386.282725119992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93855.057931999996</v>
      </c>
      <c r="M10" s="72" ph="1">
        <f>M9*26.42*1</f>
        <v>50277.26</v>
      </c>
      <c r="N10" s="72" ph="1">
        <f>N9*18.32*LOOKUP(N11,密度!$A$2:$A$50,密度!$B$2:$B$50)</f>
        <v>9814.6157359999997</v>
      </c>
      <c r="O10" s="72" ph="1">
        <f>O9*81.71*LOOKUP(O11,密度!$A$2:$A$50,密度!$B$2:$B$50)</f>
        <v>152422.17718199998</v>
      </c>
      <c r="P10" s="72" ph="1">
        <f>P9*81.71*LOOKUP(P11,密度!$A$2:$A$50,密度!$B$2:$B$50)</f>
        <v>65680.720512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214" t="s" ph="1">
        <v>118</v>
      </c>
      <c r="D11" s="73">
        <v>35</v>
      </c>
      <c r="E11" s="73">
        <v>35</v>
      </c>
      <c r="F11" s="73">
        <v>33</v>
      </c>
      <c r="G11" s="73">
        <v>32</v>
      </c>
      <c r="H11" s="73">
        <v>33</v>
      </c>
      <c r="I11" s="73">
        <v>31</v>
      </c>
      <c r="J11" s="73">
        <v>33</v>
      </c>
      <c r="K11" s="73">
        <v>34</v>
      </c>
      <c r="L11" s="73">
        <v>30</v>
      </c>
      <c r="M11" s="73">
        <v>30</v>
      </c>
      <c r="N11" s="73">
        <v>30</v>
      </c>
      <c r="O11" s="73">
        <v>27</v>
      </c>
      <c r="P11" s="73">
        <v>31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214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14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14" t="s" ph="1">
        <v>140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118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14" t="s" ph="1">
        <v>140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118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151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14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14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14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14" t="s" ph="1">
        <v>118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150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214" t="s" ph="1">
        <v>1</v>
      </c>
      <c r="F32" s="213" t="s" ph="1">
        <v>31</v>
      </c>
      <c r="G32" s="96" t="s" ph="1">
        <v>0</v>
      </c>
      <c r="H32" s="214" t="s" ph="1">
        <v>1</v>
      </c>
      <c r="I32" s="213" t="s" ph="1">
        <v>31</v>
      </c>
      <c r="J32" s="96" t="s" ph="1">
        <v>0</v>
      </c>
      <c r="K32" s="214" t="s" ph="1">
        <v>1</v>
      </c>
      <c r="L32" s="213" t="s" ph="1">
        <v>31</v>
      </c>
      <c r="M32" s="96" t="s" ph="1">
        <v>0</v>
      </c>
      <c r="N32" s="214" t="s" ph="1">
        <v>1</v>
      </c>
      <c r="O32" s="213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14" t="s" ph="1">
        <v>1</v>
      </c>
      <c r="U32" s="98" t="s" ph="1">
        <v>31</v>
      </c>
      <c r="V32" s="96" t="s" ph="1">
        <v>0</v>
      </c>
      <c r="W32" s="214" t="s" ph="1">
        <v>1</v>
      </c>
      <c r="X32" s="98" t="s" ph="1">
        <v>31</v>
      </c>
      <c r="Y32" s="99" t="s" ph="1">
        <v>0</v>
      </c>
      <c r="Z32" s="214" t="s" ph="1">
        <v>1</v>
      </c>
      <c r="AA32" s="213" t="s" ph="1">
        <v>31</v>
      </c>
      <c r="AB32" s="96" t="s" ph="1">
        <v>41</v>
      </c>
      <c r="AC32" s="214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218102.89769399998</v>
      </c>
      <c r="E33" s="245" ph="1">
        <f>H10+I10+J10+K10</f>
        <v>108038.14964324998</v>
      </c>
      <c r="F33" s="269" ph="1">
        <f>L10+N10</f>
        <v>103669.673668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212" t="s" ph="1">
        <v>62</v>
      </c>
      <c r="AA36" s="212" ph="1"/>
      <c r="AB36" s="231" t="s" ph="1">
        <v>67</v>
      </c>
      <c r="AC36" s="231" ph="1"/>
      <c r="AD36" s="231" ph="1"/>
      <c r="AE36" s="231" ph="1"/>
    </row>
    <row r="37" spans="1:31" s="212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749" priority="174">
      <formula>ABS(D$7-D$10)&gt;=1000</formula>
    </cfRule>
  </conditionalFormatting>
  <conditionalFormatting sqref="E4 E6 E8:E9 E11">
    <cfRule type="expression" dxfId="748" priority="173">
      <formula>ABS(E$7-E$10)&gt;=1000</formula>
    </cfRule>
  </conditionalFormatting>
  <conditionalFormatting sqref="F4 F6 F8:F9 F11">
    <cfRule type="expression" dxfId="747" priority="172">
      <formula>ABS(F$7-F$10)&gt;=1000</formula>
    </cfRule>
  </conditionalFormatting>
  <conditionalFormatting sqref="G4 G6 G8:G9 G11">
    <cfRule type="expression" dxfId="746" priority="171">
      <formula>ABS(G$7-G$10)&gt;=1000</formula>
    </cfRule>
  </conditionalFormatting>
  <conditionalFormatting sqref="H4:K4 H8 H11">
    <cfRule type="expression" dxfId="745" priority="170">
      <formula>ABS(H$7-H$10)&gt;=1000</formula>
    </cfRule>
  </conditionalFormatting>
  <conditionalFormatting sqref="I8 I11">
    <cfRule type="expression" dxfId="744" priority="169">
      <formula>ABS(I$7-I$10)&gt;=1000</formula>
    </cfRule>
  </conditionalFormatting>
  <conditionalFormatting sqref="J8 J11">
    <cfRule type="expression" dxfId="743" priority="168">
      <formula>ABS(J$7-J$10)&gt;=1000</formula>
    </cfRule>
  </conditionalFormatting>
  <conditionalFormatting sqref="K8 K11">
    <cfRule type="expression" dxfId="742" priority="167">
      <formula>ABS(K$7-K$10)&gt;=1000</formula>
    </cfRule>
  </conditionalFormatting>
  <conditionalFormatting sqref="L4:L5 M4:N4 Q4:S4 L8 L11">
    <cfRule type="expression" dxfId="741" priority="166">
      <formula>ABS(L$7-L$10)&gt;=1000</formula>
    </cfRule>
  </conditionalFormatting>
  <conditionalFormatting sqref="M8 M11">
    <cfRule type="expression" dxfId="740" priority="165">
      <formula>ABS(M$7-M$10)&gt;=1000</formula>
    </cfRule>
  </conditionalFormatting>
  <conditionalFormatting sqref="N8 N11">
    <cfRule type="expression" dxfId="739" priority="164">
      <formula>ABS(N$7-N$10)&gt;=1000</formula>
    </cfRule>
  </conditionalFormatting>
  <conditionalFormatting sqref="Q5:Q11">
    <cfRule type="expression" dxfId="738" priority="163">
      <formula>ABS(Q$7-Q$10)&gt;=1000</formula>
    </cfRule>
  </conditionalFormatting>
  <conditionalFormatting sqref="R5:R11">
    <cfRule type="expression" dxfId="737" priority="162">
      <formula>ABS(R$7-R$10)&gt;=1000</formula>
    </cfRule>
  </conditionalFormatting>
  <conditionalFormatting sqref="S5:S11">
    <cfRule type="expression" dxfId="736" priority="161">
      <formula>ABS(S$7-S$10)&gt;=1000</formula>
    </cfRule>
  </conditionalFormatting>
  <conditionalFormatting sqref="T4:T9 T11">
    <cfRule type="expression" dxfId="735" priority="160">
      <formula>ABS(T$7-T$10)&gt;=1000</formula>
    </cfRule>
  </conditionalFormatting>
  <conditionalFormatting sqref="U4:U9 U11">
    <cfRule type="expression" dxfId="734" priority="159">
      <formula>ABS(U$7-U$10)&gt;=1000</formula>
    </cfRule>
  </conditionalFormatting>
  <conditionalFormatting sqref="V4:V9 V11">
    <cfRule type="expression" dxfId="733" priority="158">
      <formula>ABS(V$7-V$10)&gt;=1000</formula>
    </cfRule>
  </conditionalFormatting>
  <conditionalFormatting sqref="W4:W9 W11">
    <cfRule type="expression" dxfId="732" priority="157">
      <formula>ABS(W$7-W$10)&gt;=1000</formula>
    </cfRule>
  </conditionalFormatting>
  <conditionalFormatting sqref="X4:X9 X11">
    <cfRule type="expression" dxfId="731" priority="156">
      <formula>ABS(X$7-X$10)&gt;=1000</formula>
    </cfRule>
  </conditionalFormatting>
  <conditionalFormatting sqref="Y4:Y9 Y11">
    <cfRule type="expression" dxfId="730" priority="155">
      <formula>ABS(Y$7-Y$10)&gt;=1000</formula>
    </cfRule>
  </conditionalFormatting>
  <conditionalFormatting sqref="Z4:Z11">
    <cfRule type="expression" dxfId="729" priority="154">
      <formula>ABS(Z$7-Z$10)&gt;=1000</formula>
    </cfRule>
  </conditionalFormatting>
  <conditionalFormatting sqref="AA4:AA11">
    <cfRule type="expression" dxfId="728" priority="153">
      <formula>ABS(AA$7-AA$10)&gt;=1000</formula>
    </cfRule>
  </conditionalFormatting>
  <conditionalFormatting sqref="AB4:AB11">
    <cfRule type="expression" dxfId="727" priority="152">
      <formula>ABS(AB$7-AB$10)&gt;=1000</formula>
    </cfRule>
  </conditionalFormatting>
  <conditionalFormatting sqref="AC4 AC6:AC11">
    <cfRule type="expression" dxfId="726" priority="151">
      <formula>ABS(AC$7-AC$10)&gt;=1000</formula>
    </cfRule>
  </conditionalFormatting>
  <conditionalFormatting sqref="AD4 AD6:AD11">
    <cfRule type="expression" dxfId="725" priority="150">
      <formula>ABS(AD$7-AD$10)&gt;=1000</formula>
    </cfRule>
  </conditionalFormatting>
  <conditionalFormatting sqref="AE4 AE6:AE11">
    <cfRule type="expression" dxfId="724" priority="149">
      <formula>ABS(AE$7-AE$10)&gt;=1000</formula>
    </cfRule>
  </conditionalFormatting>
  <conditionalFormatting sqref="D13:D20">
    <cfRule type="expression" dxfId="723" priority="148">
      <formula>ABS(D$16-D$19)&gt;=1000</formula>
    </cfRule>
  </conditionalFormatting>
  <conditionalFormatting sqref="E13:E20">
    <cfRule type="expression" dxfId="722" priority="147">
      <formula>ABS(E$16-E$19)&gt;=1000</formula>
    </cfRule>
  </conditionalFormatting>
  <conditionalFormatting sqref="F13 F15:F20">
    <cfRule type="expression" dxfId="721" priority="146">
      <formula>ABS(F$16-F$19)&gt;=1000</formula>
    </cfRule>
  </conditionalFormatting>
  <conditionalFormatting sqref="G13:G20">
    <cfRule type="expression" dxfId="720" priority="145">
      <formula>ABS(G$16-G$19)&gt;=1000</formula>
    </cfRule>
  </conditionalFormatting>
  <conditionalFormatting sqref="H13 H15:H20">
    <cfRule type="expression" dxfId="719" priority="144">
      <formula>ABS(H$16-H$19)&gt;=1000</formula>
    </cfRule>
  </conditionalFormatting>
  <conditionalFormatting sqref="I13:I20">
    <cfRule type="expression" dxfId="718" priority="143">
      <formula>ABS(I$16-I$19)&gt;=1000</formula>
    </cfRule>
  </conditionalFormatting>
  <conditionalFormatting sqref="J13:J20">
    <cfRule type="expression" dxfId="717" priority="142">
      <formula>ABS(J$16-J$19)&gt;=1000</formula>
    </cfRule>
  </conditionalFormatting>
  <conditionalFormatting sqref="L13:L20">
    <cfRule type="expression" dxfId="716" priority="141">
      <formula>ABS(L$16-L$19)&gt;=1000</formula>
    </cfRule>
  </conditionalFormatting>
  <conditionalFormatting sqref="M13 M15 M17:M18 M20">
    <cfRule type="expression" dxfId="715" priority="140">
      <formula>ABS(M$16-M$19)&gt;=1000</formula>
    </cfRule>
  </conditionalFormatting>
  <conditionalFormatting sqref="N13:N20">
    <cfRule type="expression" dxfId="714" priority="139">
      <formula>ABS(N$16-N$19)&gt;=1000</formula>
    </cfRule>
  </conditionalFormatting>
  <conditionalFormatting sqref="O13:O20">
    <cfRule type="expression" dxfId="713" priority="138">
      <formula>ABS(O$16-O$19)&gt;=1000</formula>
    </cfRule>
  </conditionalFormatting>
  <conditionalFormatting sqref="P13:P20">
    <cfRule type="expression" dxfId="712" priority="137">
      <formula>ABS(P$16-P$19)&gt;=1000</formula>
    </cfRule>
  </conditionalFormatting>
  <conditionalFormatting sqref="Q13 Q15:Q20">
    <cfRule type="expression" dxfId="711" priority="136">
      <formula>ABS(Q$16-Q$19)&gt;=1000</formula>
    </cfRule>
  </conditionalFormatting>
  <conditionalFormatting sqref="R13:R20">
    <cfRule type="expression" dxfId="710" priority="135">
      <formula>ABS(R$16-R$19)&gt;=1000</formula>
    </cfRule>
  </conditionalFormatting>
  <conditionalFormatting sqref="S13:S20">
    <cfRule type="expression" dxfId="709" priority="134">
      <formula>ABS(S$16-S$19)&gt;=1000</formula>
    </cfRule>
  </conditionalFormatting>
  <conditionalFormatting sqref="T13:T20">
    <cfRule type="expression" dxfId="708" priority="133">
      <formula>ABS(T$16-T$19)&gt;=1000</formula>
    </cfRule>
  </conditionalFormatting>
  <conditionalFormatting sqref="U13:U20">
    <cfRule type="expression" dxfId="707" priority="132">
      <formula>ABS(U$16-U$19)&gt;=1000</formula>
    </cfRule>
  </conditionalFormatting>
  <conditionalFormatting sqref="V13:V20">
    <cfRule type="expression" dxfId="706" priority="131">
      <formula>ABS(V$16-V$19)&gt;=1000</formula>
    </cfRule>
  </conditionalFormatting>
  <conditionalFormatting sqref="W13 W20 W15:W18">
    <cfRule type="expression" dxfId="705" priority="130">
      <formula>ABS(W$16-W$19)&gt;=1000</formula>
    </cfRule>
  </conditionalFormatting>
  <conditionalFormatting sqref="X13 X15:X20 Y19">
    <cfRule type="expression" dxfId="704" priority="129">
      <formula>ABS(X$16-X$19)&gt;=1000</formula>
    </cfRule>
  </conditionalFormatting>
  <conditionalFormatting sqref="Y13 Y15:Y18 Y20">
    <cfRule type="expression" dxfId="703" priority="128">
      <formula>ABS(Y$16-Y$19)&gt;=1000</formula>
    </cfRule>
  </conditionalFormatting>
  <conditionalFormatting sqref="Z13:Z20">
    <cfRule type="expression" dxfId="702" priority="127">
      <formula>ABS(Z$16-Z$19)&gt;=1000</formula>
    </cfRule>
  </conditionalFormatting>
  <conditionalFormatting sqref="AA13:AA20">
    <cfRule type="expression" dxfId="701" priority="126">
      <formula>ABS(AA$16-AA$19)&gt;=1000</formula>
    </cfRule>
  </conditionalFormatting>
  <conditionalFormatting sqref="AB13 AB15:AB20">
    <cfRule type="expression" dxfId="700" priority="125">
      <formula>ABS(AB$16-AB$19)&gt;=1000</formula>
    </cfRule>
  </conditionalFormatting>
  <conditionalFormatting sqref="AC13 AC15:AC20">
    <cfRule type="expression" dxfId="699" priority="124">
      <formula>ABS(AC$16-AC$19)&gt;=1000</formula>
    </cfRule>
  </conditionalFormatting>
  <conditionalFormatting sqref="AD13:AD20">
    <cfRule type="expression" dxfId="698" priority="123">
      <formula>ABS(AD$16-AD$19)&gt;=1000</formula>
    </cfRule>
  </conditionalFormatting>
  <conditionalFormatting sqref="AE13:AE20">
    <cfRule type="expression" dxfId="697" priority="122">
      <formula>ABS(AE$16-AE$19)&gt;=1000</formula>
    </cfRule>
  </conditionalFormatting>
  <conditionalFormatting sqref="D22:D29">
    <cfRule type="expression" dxfId="696" priority="121">
      <formula>ABS(D$25-D$28)&gt;=1000</formula>
    </cfRule>
  </conditionalFormatting>
  <conditionalFormatting sqref="E22:E29">
    <cfRule type="expression" dxfId="695" priority="120">
      <formula>ABS(E$25-E$28)&gt;=1000</formula>
    </cfRule>
  </conditionalFormatting>
  <conditionalFormatting sqref="F22:F29">
    <cfRule type="expression" dxfId="694" priority="119">
      <formula>ABS(F$25-F$28)&gt;=1000</formula>
    </cfRule>
  </conditionalFormatting>
  <conditionalFormatting sqref="G22:G29">
    <cfRule type="expression" dxfId="693" priority="118">
      <formula>ABS(G$25-G$28)&gt;=1000</formula>
    </cfRule>
  </conditionalFormatting>
  <conditionalFormatting sqref="H22:H29">
    <cfRule type="expression" dxfId="692" priority="117">
      <formula>ABS(H$25-H$28)&gt;=1000</formula>
    </cfRule>
  </conditionalFormatting>
  <conditionalFormatting sqref="I22 I24:I29">
    <cfRule type="expression" dxfId="691" priority="116">
      <formula>ABS(I$25-I$28)&gt;=1000</formula>
    </cfRule>
  </conditionalFormatting>
  <conditionalFormatting sqref="J22:J29 K22">
    <cfRule type="expression" dxfId="690" priority="115">
      <formula>ABS(J$25-J$28)&gt;=1000</formula>
    </cfRule>
  </conditionalFormatting>
  <conditionalFormatting sqref="K23:K29 L25 L28">
    <cfRule type="expression" dxfId="689" priority="114">
      <formula>ABS(K$25-K$28)&gt;=1000</formula>
    </cfRule>
  </conditionalFormatting>
  <conditionalFormatting sqref="L22 L26:L27 L29 L24">
    <cfRule type="expression" dxfId="688" priority="113">
      <formula>ABS(L$25-L$28)&gt;=1000</formula>
    </cfRule>
  </conditionalFormatting>
  <conditionalFormatting sqref="M22:M29">
    <cfRule type="expression" dxfId="687" priority="112">
      <formula>ABS(M$25-M$28)&gt;=1000</formula>
    </cfRule>
  </conditionalFormatting>
  <conditionalFormatting sqref="N22:N29">
    <cfRule type="expression" dxfId="686" priority="111">
      <formula>ABS(N$25-N$28)&gt;=1000</formula>
    </cfRule>
  </conditionalFormatting>
  <conditionalFormatting sqref="O22:O29">
    <cfRule type="expression" dxfId="685" priority="110">
      <formula>ABS(O$25-O$28)&gt;=1000</formula>
    </cfRule>
  </conditionalFormatting>
  <conditionalFormatting sqref="P22:P29">
    <cfRule type="expression" dxfId="684" priority="109">
      <formula>ABS(P$25-P$28)&gt;=1000</formula>
    </cfRule>
  </conditionalFormatting>
  <conditionalFormatting sqref="Q22:Q29">
    <cfRule type="expression" dxfId="683" priority="108">
      <formula>ABS(Q$25-Q$28)&gt;=1000</formula>
    </cfRule>
  </conditionalFormatting>
  <conditionalFormatting sqref="R22:R29">
    <cfRule type="expression" dxfId="682" priority="107">
      <formula>ABS(R$25-R$28)&gt;=1000</formula>
    </cfRule>
  </conditionalFormatting>
  <conditionalFormatting sqref="S22:S29">
    <cfRule type="expression" dxfId="681" priority="106">
      <formula>ABS(S$25-S$28)&gt;=1000</formula>
    </cfRule>
  </conditionalFormatting>
  <conditionalFormatting sqref="T22:T29">
    <cfRule type="expression" dxfId="680" priority="105">
      <formula>ABS(T$25-T$28)&gt;=1000</formula>
    </cfRule>
  </conditionalFormatting>
  <conditionalFormatting sqref="U22:U29">
    <cfRule type="expression" dxfId="679" priority="104">
      <formula>ABS(U$25-U$28)&gt;=1000</formula>
    </cfRule>
  </conditionalFormatting>
  <conditionalFormatting sqref="V22:V29">
    <cfRule type="expression" dxfId="678" priority="103">
      <formula>ABS(V$25-V$28)&gt;=1000</formula>
    </cfRule>
  </conditionalFormatting>
  <conditionalFormatting sqref="W22:W29">
    <cfRule type="expression" dxfId="677" priority="102">
      <formula>ABS(W$25-W$28)&gt;=1000</formula>
    </cfRule>
  </conditionalFormatting>
  <conditionalFormatting sqref="X22:X29">
    <cfRule type="expression" dxfId="676" priority="101">
      <formula>ABS(X$25-X$28)&gt;=1000</formula>
    </cfRule>
  </conditionalFormatting>
  <conditionalFormatting sqref="Y22:Y29">
    <cfRule type="expression" dxfId="675" priority="100">
      <formula>ABS(Y$25-Y$28)&gt;=1000</formula>
    </cfRule>
  </conditionalFormatting>
  <conditionalFormatting sqref="I23">
    <cfRule type="expression" dxfId="674" priority="99">
      <formula>ABS(I$25-I$28)&gt;=1000</formula>
    </cfRule>
  </conditionalFormatting>
  <conditionalFormatting sqref="Q14">
    <cfRule type="expression" dxfId="673" priority="98">
      <formula>ABS(Q$16-Q$19)&gt;=1000</formula>
    </cfRule>
  </conditionalFormatting>
  <conditionalFormatting sqref="W14">
    <cfRule type="expression" dxfId="672" priority="97">
      <formula>ABS(W$16-W$19)&gt;=1000</formula>
    </cfRule>
  </conditionalFormatting>
  <conditionalFormatting sqref="X14">
    <cfRule type="expression" dxfId="671" priority="96">
      <formula>ABS(X$16-X$19)&gt;=1000</formula>
    </cfRule>
  </conditionalFormatting>
  <conditionalFormatting sqref="T10:Y10">
    <cfRule type="expression" dxfId="670" priority="95">
      <formula>ABS(T$7-T$10)&gt;=1000</formula>
    </cfRule>
  </conditionalFormatting>
  <conditionalFormatting sqref="W19">
    <cfRule type="expression" dxfId="669" priority="94">
      <formula>ABS(W$16-W$19)&gt;=1000</formula>
    </cfRule>
  </conditionalFormatting>
  <conditionalFormatting sqref="AC5">
    <cfRule type="expression" dxfId="668" priority="93">
      <formula>ABS(AC$7-AC$10)&gt;=1000</formula>
    </cfRule>
  </conditionalFormatting>
  <conditionalFormatting sqref="M14">
    <cfRule type="expression" dxfId="667" priority="92">
      <formula>ABS(M$16-M$19)&gt;=1000</formula>
    </cfRule>
  </conditionalFormatting>
  <conditionalFormatting sqref="M16">
    <cfRule type="expression" dxfId="666" priority="91">
      <formula>ABS(M$16-M$19)&gt;=1000</formula>
    </cfRule>
  </conditionalFormatting>
  <conditionalFormatting sqref="M19">
    <cfRule type="expression" dxfId="665" priority="90">
      <formula>ABS(M$16-M$19)&gt;=1000</formula>
    </cfRule>
  </conditionalFormatting>
  <conditionalFormatting sqref="K13:K20">
    <cfRule type="expression" dxfId="664" priority="89">
      <formula>ABS(K$16-K$19)&gt;=1000</formula>
    </cfRule>
  </conditionalFormatting>
  <conditionalFormatting sqref="AB14:AC14">
    <cfRule type="expression" dxfId="663" priority="88">
      <formula>ABS(AB$16-AB$19)&gt;=1000</formula>
    </cfRule>
  </conditionalFormatting>
  <conditionalFormatting sqref="M5">
    <cfRule type="expression" dxfId="662" priority="87">
      <formula>ABS(M$7-M$10)&gt;=1000</formula>
    </cfRule>
  </conditionalFormatting>
  <conditionalFormatting sqref="N5">
    <cfRule type="expression" dxfId="661" priority="86">
      <formula>ABS(N$7-N$10)&gt;=1000</formula>
    </cfRule>
  </conditionalFormatting>
  <conditionalFormatting sqref="L23">
    <cfRule type="expression" dxfId="660" priority="85">
      <formula>ABS(L$25-L$28)&gt;=1000</formula>
    </cfRule>
  </conditionalFormatting>
  <conditionalFormatting sqref="Y14">
    <cfRule type="expression" dxfId="659" priority="84">
      <formula>ABS(Y$16-Y$19)&gt;=1000</formula>
    </cfRule>
  </conditionalFormatting>
  <conditionalFormatting sqref="F14">
    <cfRule type="expression" dxfId="658" priority="83">
      <formula>ABS(F$16-F$19)&gt;=1000</formula>
    </cfRule>
  </conditionalFormatting>
  <conditionalFormatting sqref="H14">
    <cfRule type="expression" dxfId="657" priority="82">
      <formula>ABS(H$16-H$19)&gt;=1000</formula>
    </cfRule>
  </conditionalFormatting>
  <conditionalFormatting sqref="AD5">
    <cfRule type="expression" dxfId="656" priority="81">
      <formula>ABS(AD$7-AD$10)&gt;=1000</formula>
    </cfRule>
  </conditionalFormatting>
  <conditionalFormatting sqref="AE5">
    <cfRule type="expression" dxfId="655" priority="80">
      <formula>ABS(AE$7-AE$10)&gt;=1000</formula>
    </cfRule>
  </conditionalFormatting>
  <conditionalFormatting sqref="D5">
    <cfRule type="expression" dxfId="654" priority="79">
      <formula>ABS(D$7-D$10)&gt;=1000</formula>
    </cfRule>
  </conditionalFormatting>
  <conditionalFormatting sqref="E5:G5">
    <cfRule type="expression" dxfId="653" priority="78">
      <formula>ABS(E$7-E$10)&gt;=1000</formula>
    </cfRule>
  </conditionalFormatting>
  <conditionalFormatting sqref="H5">
    <cfRule type="expression" dxfId="652" priority="77">
      <formula>ABS(H$7-H$10)&gt;=1000</formula>
    </cfRule>
  </conditionalFormatting>
  <conditionalFormatting sqref="O4:P4">
    <cfRule type="expression" dxfId="651" priority="76">
      <formula>ABS(O$7-O$10)&gt;=1000</formula>
    </cfRule>
  </conditionalFormatting>
  <conditionalFormatting sqref="O5 O8 O11">
    <cfRule type="expression" dxfId="650" priority="75">
      <formula>ABS(O$7-O$10)&gt;=1000</formula>
    </cfRule>
  </conditionalFormatting>
  <conditionalFormatting sqref="P8 P11">
    <cfRule type="expression" dxfId="649" priority="74">
      <formula>ABS(P$7-P$10)&gt;=1000</formula>
    </cfRule>
  </conditionalFormatting>
  <conditionalFormatting sqref="J5">
    <cfRule type="expression" dxfId="648" priority="73">
      <formula>ABS(J$7-J$10)&gt;=1000</formula>
    </cfRule>
  </conditionalFormatting>
  <conditionalFormatting sqref="K5">
    <cfRule type="expression" dxfId="647" priority="72">
      <formula>ABS(K$7-K$10)&gt;=1000</formula>
    </cfRule>
  </conditionalFormatting>
  <conditionalFormatting sqref="H6">
    <cfRule type="expression" dxfId="629" priority="54">
      <formula>ABS(H$7-H$10)&gt;=1000</formula>
    </cfRule>
  </conditionalFormatting>
  <conditionalFormatting sqref="J6">
    <cfRule type="expression" dxfId="628" priority="53">
      <formula>ABS(J$7-J$10)&gt;=1000</formula>
    </cfRule>
  </conditionalFormatting>
  <conditionalFormatting sqref="K6">
    <cfRule type="expression" dxfId="627" priority="52">
      <formula>ABS(K$7-K$10)&gt;=1000</formula>
    </cfRule>
  </conditionalFormatting>
  <conditionalFormatting sqref="L6">
    <cfRule type="expression" dxfId="626" priority="51">
      <formula>ABS(L$7-L$10)&gt;=1000</formula>
    </cfRule>
  </conditionalFormatting>
  <conditionalFormatting sqref="M6">
    <cfRule type="expression" dxfId="625" priority="50">
      <formula>ABS(M$7-M$10)&gt;=1000</formula>
    </cfRule>
  </conditionalFormatting>
  <conditionalFormatting sqref="N6">
    <cfRule type="expression" dxfId="624" priority="49">
      <formula>ABS(N$7-N$10)&gt;=1000</formula>
    </cfRule>
  </conditionalFormatting>
  <conditionalFormatting sqref="O6">
    <cfRule type="expression" dxfId="623" priority="48">
      <formula>ABS(O$7-O$10)&gt;=1000</formula>
    </cfRule>
  </conditionalFormatting>
  <conditionalFormatting sqref="P6">
    <cfRule type="expression" dxfId="622" priority="47">
      <formula>ABS(P$7-P$10)&gt;=1000</formula>
    </cfRule>
  </conditionalFormatting>
  <conditionalFormatting sqref="I6">
    <cfRule type="expression" dxfId="621" priority="46">
      <formula>ABS(I$7-I$10)&gt;=1000</formula>
    </cfRule>
  </conditionalFormatting>
  <conditionalFormatting sqref="H9">
    <cfRule type="expression" dxfId="620" priority="45">
      <formula>ABS(H$7-H$10)&gt;=1000</formula>
    </cfRule>
  </conditionalFormatting>
  <conditionalFormatting sqref="J9">
    <cfRule type="expression" dxfId="619" priority="44">
      <formula>ABS(J$7-J$10)&gt;=1000</formula>
    </cfRule>
  </conditionalFormatting>
  <conditionalFormatting sqref="K9">
    <cfRule type="expression" dxfId="618" priority="43">
      <formula>ABS(K$7-K$10)&gt;=1000</formula>
    </cfRule>
  </conditionalFormatting>
  <conditionalFormatting sqref="L9">
    <cfRule type="expression" dxfId="617" priority="42">
      <formula>ABS(L$7-L$10)&gt;=1000</formula>
    </cfRule>
  </conditionalFormatting>
  <conditionalFormatting sqref="M9">
    <cfRule type="expression" dxfId="616" priority="41">
      <formula>ABS(M$7-M$10)&gt;=1000</formula>
    </cfRule>
  </conditionalFormatting>
  <conditionalFormatting sqref="N9">
    <cfRule type="expression" dxfId="615" priority="40">
      <formula>ABS(N$7-N$10)&gt;=1000</formula>
    </cfRule>
  </conditionalFormatting>
  <conditionalFormatting sqref="O9">
    <cfRule type="expression" dxfId="614" priority="39">
      <formula>ABS(O$7-O$10)&gt;=1000</formula>
    </cfRule>
  </conditionalFormatting>
  <conditionalFormatting sqref="P9">
    <cfRule type="expression" dxfId="613" priority="38">
      <formula>ABS(P$7-P$10)&gt;=1000</formula>
    </cfRule>
  </conditionalFormatting>
  <conditionalFormatting sqref="I9">
    <cfRule type="expression" dxfId="612" priority="37">
      <formula>ABS(I$7-I$10)&gt;=1000</formula>
    </cfRule>
  </conditionalFormatting>
  <conditionalFormatting sqref="P5">
    <cfRule type="expression" dxfId="611" priority="36">
      <formula>ABS(P$7-P$10)&gt;=1000</formula>
    </cfRule>
  </conditionalFormatting>
  <conditionalFormatting sqref="I5">
    <cfRule type="expression" dxfId="610" priority="35">
      <formula>ABS(I$7-I$10)&gt;=1000</formula>
    </cfRule>
  </conditionalFormatting>
  <conditionalFormatting sqref="D7:G7">
    <cfRule type="expression" dxfId="174" priority="10">
      <formula>ABS(D$7-D$10)&gt;=1000</formula>
    </cfRule>
  </conditionalFormatting>
  <conditionalFormatting sqref="H7:L7">
    <cfRule type="expression" dxfId="173" priority="9">
      <formula>ABS(H$7-H$10)&gt;=1000</formula>
    </cfRule>
  </conditionalFormatting>
  <conditionalFormatting sqref="M7">
    <cfRule type="expression" dxfId="172" priority="8">
      <formula>ABS(M$7-M$10)&gt;=1000</formula>
    </cfRule>
  </conditionalFormatting>
  <conditionalFormatting sqref="O7:P7">
    <cfRule type="expression" dxfId="171" priority="7">
      <formula>ABS(O$7-O$10)&gt;=1000</formula>
    </cfRule>
  </conditionalFormatting>
  <conditionalFormatting sqref="N7">
    <cfRule type="expression" dxfId="170" priority="6">
      <formula>ABS(N$7-N$10)&gt;=1000</formula>
    </cfRule>
  </conditionalFormatting>
  <conditionalFormatting sqref="D10:G10">
    <cfRule type="expression" dxfId="169" priority="5">
      <formula>ABS(D$7-D$10)&gt;=1000</formula>
    </cfRule>
  </conditionalFormatting>
  <conditionalFormatting sqref="H10:L10">
    <cfRule type="expression" dxfId="168" priority="4">
      <formula>ABS(H$7-H$10)&gt;=1000</formula>
    </cfRule>
  </conditionalFormatting>
  <conditionalFormatting sqref="M10">
    <cfRule type="expression" dxfId="167" priority="3">
      <formula>ABS(M$7-M$10)&gt;=1000</formula>
    </cfRule>
  </conditionalFormatting>
  <conditionalFormatting sqref="O10:P10">
    <cfRule type="expression" dxfId="166" priority="2">
      <formula>ABS(O$7-O$10)&gt;=1000</formula>
    </cfRule>
  </conditionalFormatting>
  <conditionalFormatting sqref="N10">
    <cfRule type="expression" dxfId="16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82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6">
    <pageSetUpPr fitToPage="1"/>
  </sheetPr>
  <dimension ref="A1:BA223"/>
  <sheetViews>
    <sheetView view="pageBreakPreview" zoomScale="110" zoomScaleNormal="100" zoomScaleSheetLayoutView="110" workbookViewId="0">
      <selection activeCell="D10" sqref="D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122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177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132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87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15" t="s" ph="1">
        <v>54</v>
      </c>
      <c r="D6" s="151">
        <v>0.31680000000000003</v>
      </c>
      <c r="E6" s="151">
        <v>0.99850000000000005</v>
      </c>
      <c r="F6" s="151">
        <v>0</v>
      </c>
      <c r="G6" s="151">
        <v>0</v>
      </c>
      <c r="H6" s="70">
        <v>3772</v>
      </c>
      <c r="I6" s="70">
        <v>6307</v>
      </c>
      <c r="J6" s="70">
        <v>0</v>
      </c>
      <c r="K6" s="70">
        <v>0</v>
      </c>
      <c r="L6" s="70">
        <v>3364</v>
      </c>
      <c r="M6" s="70">
        <v>1904</v>
      </c>
      <c r="N6" s="70">
        <v>865</v>
      </c>
      <c r="O6" s="70">
        <v>1991</v>
      </c>
      <c r="P6" s="70">
        <v>1408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140</v>
      </c>
      <c r="D7" s="72" ph="1">
        <f>((D6*5885)*4.48)*LOOKUP(D8,密度!$A$2:$A$50,密度!$B$2:$B$50)</f>
        <v>6446.3581163520021</v>
      </c>
      <c r="E7" s="72" ph="1">
        <f>((E6*5885)*4.48)*LOOKUP(E8,密度!$A$2:$A$50,密度!$B$2:$B$50)</f>
        <v>20341.522838560006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41441.378737849998</v>
      </c>
      <c r="I7" s="72" ph="1">
        <f>IF(I6&lt;=0,0,IF(I6&lt;=745,PI()*(5.3235*(I6/1000)^2-(4/3)*(I6/1000)^3),7.55+15.2053*((I6-745)/1000))*LOOKUP(I8,密度!$A$2:$A$50,密度!$B$2:$B$50)*1000)</f>
        <v>71339.182787840007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68906.245064000002</v>
      </c>
      <c r="M7" s="72" ph="1">
        <f>M6*26.42*1</f>
        <v>50303.68</v>
      </c>
      <c r="N7" s="72" ph="1">
        <f>N6*18.32*LOOKUP(N8,密度!$A$2:$A$50,密度!$B$2:$B$50)</f>
        <v>12286.02404</v>
      </c>
      <c r="O7" s="72" ph="1">
        <f>O6*81.71*LOOKUP(O8,密度!$A$2:$A$50,密度!$B$2:$B$50)</f>
        <v>126552.358119</v>
      </c>
      <c r="P7" s="72" ph="1">
        <f>P6*81.71*LOOKUP(P8,密度!$A$2:$A$50,密度!$B$2:$B$50)</f>
        <v>89196.466303999987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118</v>
      </c>
      <c r="D8" s="73">
        <v>34</v>
      </c>
      <c r="E8" s="73">
        <v>33</v>
      </c>
      <c r="F8" s="73">
        <v>31</v>
      </c>
      <c r="G8" s="73">
        <v>31</v>
      </c>
      <c r="H8" s="73">
        <v>32</v>
      </c>
      <c r="I8" s="73">
        <v>31</v>
      </c>
      <c r="J8" s="73">
        <v>33</v>
      </c>
      <c r="K8" s="73">
        <v>30</v>
      </c>
      <c r="L8" s="73">
        <v>30</v>
      </c>
      <c r="M8" s="73">
        <v>29</v>
      </c>
      <c r="N8" s="73">
        <v>30</v>
      </c>
      <c r="O8" s="73">
        <v>27</v>
      </c>
      <c r="P8" s="73">
        <v>30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15" t="s" ph="1">
        <v>57</v>
      </c>
      <c r="D9" s="151">
        <v>0.89510000000000001</v>
      </c>
      <c r="E9" s="151">
        <v>0.99670000000000003</v>
      </c>
      <c r="F9" s="151">
        <v>0</v>
      </c>
      <c r="G9" s="151">
        <v>0</v>
      </c>
      <c r="H9" s="70">
        <v>2791</v>
      </c>
      <c r="I9" s="70">
        <v>3833</v>
      </c>
      <c r="J9" s="70">
        <v>0</v>
      </c>
      <c r="K9" s="70">
        <v>0</v>
      </c>
      <c r="L9" s="70">
        <v>3461</v>
      </c>
      <c r="M9" s="70">
        <v>1903</v>
      </c>
      <c r="N9" s="70">
        <v>1100</v>
      </c>
      <c r="O9" s="70">
        <v>2492</v>
      </c>
      <c r="P9" s="70">
        <v>1405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15" t="s" ph="1">
        <v>140</v>
      </c>
      <c r="D10" s="72" ph="1">
        <f>((D9*5885)*4.48)*LOOKUP(D11,密度!$A$2:$A$50,密度!$B$2:$B$50)</f>
        <v>18192.571228831999</v>
      </c>
      <c r="E10" s="72" ph="1">
        <f>((E9*5885)*4.48)*LOOKUP(E11,密度!$A$2:$A$50,密度!$B$2:$B$50)</f>
        <v>20304.853092832003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29872.615844259999</v>
      </c>
      <c r="I10" s="72" ph="1">
        <f>IF(I9&lt;=0,0,IF(I9&lt;=745,PI()*(5.3235*(I9/1000)^2-(4/3)*(I9/1000)^3),7.55+15.2053*((I9-745)/1000))*LOOKUP(I11,密度!$A$2:$A$50,密度!$B$2:$B$50)*1000)</f>
        <v>42207.871580159997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70893.137386000002</v>
      </c>
      <c r="M10" s="72" ph="1">
        <f>M9*26.42*1</f>
        <v>50277.26</v>
      </c>
      <c r="N10" s="72" ph="1">
        <f>N9*18.32*LOOKUP(N11,密度!$A$2:$A$50,密度!$B$2:$B$50)</f>
        <v>15587.572</v>
      </c>
      <c r="O10" s="72" ph="1">
        <f>O9*81.71*LOOKUP(O11,密度!$A$2:$A$50,密度!$B$2:$B$50)</f>
        <v>158213.76564</v>
      </c>
      <c r="P10" s="72" ph="1">
        <f>P9*81.71*LOOKUP(P11,密度!$A$2:$A$50,密度!$B$2:$B$50)</f>
        <v>89006.417014999985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215" t="s" ph="1">
        <v>118</v>
      </c>
      <c r="D11" s="73">
        <v>35</v>
      </c>
      <c r="E11" s="73">
        <v>33</v>
      </c>
      <c r="F11" s="73">
        <v>33</v>
      </c>
      <c r="G11" s="73">
        <v>32</v>
      </c>
      <c r="H11" s="73">
        <v>33</v>
      </c>
      <c r="I11" s="73">
        <v>31</v>
      </c>
      <c r="J11" s="73">
        <v>33</v>
      </c>
      <c r="K11" s="73">
        <v>32</v>
      </c>
      <c r="L11" s="73">
        <v>30</v>
      </c>
      <c r="M11" s="73">
        <v>30</v>
      </c>
      <c r="N11" s="73">
        <v>32</v>
      </c>
      <c r="O11" s="73">
        <v>28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21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15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15" t="s" ph="1">
        <v>140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118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15" t="s" ph="1">
        <v>140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118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15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1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15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15" t="s" ph="1">
        <v>118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150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215" t="s" ph="1">
        <v>1</v>
      </c>
      <c r="F32" s="216" t="s" ph="1">
        <v>31</v>
      </c>
      <c r="G32" s="96" t="s" ph="1">
        <v>0</v>
      </c>
      <c r="H32" s="215" t="s" ph="1">
        <v>1</v>
      </c>
      <c r="I32" s="216" t="s" ph="1">
        <v>31</v>
      </c>
      <c r="J32" s="96" t="s" ph="1">
        <v>0</v>
      </c>
      <c r="K32" s="215" t="s" ph="1">
        <v>1</v>
      </c>
      <c r="L32" s="216" t="s" ph="1">
        <v>31</v>
      </c>
      <c r="M32" s="96" t="s" ph="1">
        <v>0</v>
      </c>
      <c r="N32" s="215" t="s" ph="1">
        <v>1</v>
      </c>
      <c r="O32" s="216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15" t="s" ph="1">
        <v>1</v>
      </c>
      <c r="U32" s="98" t="s" ph="1">
        <v>31</v>
      </c>
      <c r="V32" s="96" t="s" ph="1">
        <v>0</v>
      </c>
      <c r="W32" s="215" t="s" ph="1">
        <v>1</v>
      </c>
      <c r="X32" s="98" t="s" ph="1">
        <v>31</v>
      </c>
      <c r="Y32" s="99" t="s" ph="1">
        <v>0</v>
      </c>
      <c r="Z32" s="215" t="s" ph="1">
        <v>1</v>
      </c>
      <c r="AA32" s="216" t="s" ph="1">
        <v>31</v>
      </c>
      <c r="AB32" s="96" t="s" ph="1">
        <v>41</v>
      </c>
      <c r="AC32" s="215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247220.18265499998</v>
      </c>
      <c r="E33" s="245" ph="1">
        <f>H10+I10+J10+K10</f>
        <v>72080.487424419989</v>
      </c>
      <c r="F33" s="269" ph="1">
        <f>L10+N10</f>
        <v>86480.709386000002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217" t="s" ph="1">
        <v>62</v>
      </c>
      <c r="AA36" s="217" ph="1"/>
      <c r="AB36" s="231" t="s" ph="1">
        <v>67</v>
      </c>
      <c r="AC36" s="231" ph="1"/>
      <c r="AD36" s="231" ph="1"/>
      <c r="AE36" s="231" ph="1"/>
    </row>
    <row r="37" spans="1:31" s="21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601" priority="174">
      <formula>ABS(D$7-D$10)&gt;=1000</formula>
    </cfRule>
  </conditionalFormatting>
  <conditionalFormatting sqref="E4 E6 E8:E9 E11">
    <cfRule type="expression" dxfId="600" priority="173">
      <formula>ABS(E$7-E$10)&gt;=1000</formula>
    </cfRule>
  </conditionalFormatting>
  <conditionalFormatting sqref="F4 F6 F8:F9 F11">
    <cfRule type="expression" dxfId="599" priority="172">
      <formula>ABS(F$7-F$10)&gt;=1000</formula>
    </cfRule>
  </conditionalFormatting>
  <conditionalFormatting sqref="G4 G6 G8:G9 G11">
    <cfRule type="expression" dxfId="598" priority="171">
      <formula>ABS(G$7-G$10)&gt;=1000</formula>
    </cfRule>
  </conditionalFormatting>
  <conditionalFormatting sqref="H4:K4 H8 H11">
    <cfRule type="expression" dxfId="597" priority="170">
      <formula>ABS(H$7-H$10)&gt;=1000</formula>
    </cfRule>
  </conditionalFormatting>
  <conditionalFormatting sqref="I8 I11">
    <cfRule type="expression" dxfId="596" priority="169">
      <formula>ABS(I$7-I$10)&gt;=1000</formula>
    </cfRule>
  </conditionalFormatting>
  <conditionalFormatting sqref="J8 J11">
    <cfRule type="expression" dxfId="595" priority="168">
      <formula>ABS(J$7-J$10)&gt;=1000</formula>
    </cfRule>
  </conditionalFormatting>
  <conditionalFormatting sqref="K8 K11">
    <cfRule type="expression" dxfId="594" priority="167">
      <formula>ABS(K$7-K$10)&gt;=1000</formula>
    </cfRule>
  </conditionalFormatting>
  <conditionalFormatting sqref="L4:L5 M4:N4 Q4:S4 L8 L11">
    <cfRule type="expression" dxfId="593" priority="166">
      <formula>ABS(L$7-L$10)&gt;=1000</formula>
    </cfRule>
  </conditionalFormatting>
  <conditionalFormatting sqref="M8 M11">
    <cfRule type="expression" dxfId="592" priority="165">
      <formula>ABS(M$7-M$10)&gt;=1000</formula>
    </cfRule>
  </conditionalFormatting>
  <conditionalFormatting sqref="N8 N11">
    <cfRule type="expression" dxfId="591" priority="164">
      <formula>ABS(N$7-N$10)&gt;=1000</formula>
    </cfRule>
  </conditionalFormatting>
  <conditionalFormatting sqref="Q5:Q11">
    <cfRule type="expression" dxfId="590" priority="163">
      <formula>ABS(Q$7-Q$10)&gt;=1000</formula>
    </cfRule>
  </conditionalFormatting>
  <conditionalFormatting sqref="R5:R11">
    <cfRule type="expression" dxfId="589" priority="162">
      <formula>ABS(R$7-R$10)&gt;=1000</formula>
    </cfRule>
  </conditionalFormatting>
  <conditionalFormatting sqref="S5:S11">
    <cfRule type="expression" dxfId="588" priority="161">
      <formula>ABS(S$7-S$10)&gt;=1000</formula>
    </cfRule>
  </conditionalFormatting>
  <conditionalFormatting sqref="T4:T9 T11">
    <cfRule type="expression" dxfId="587" priority="160">
      <formula>ABS(T$7-T$10)&gt;=1000</formula>
    </cfRule>
  </conditionalFormatting>
  <conditionalFormatting sqref="U4:U9 U11">
    <cfRule type="expression" dxfId="586" priority="159">
      <formula>ABS(U$7-U$10)&gt;=1000</formula>
    </cfRule>
  </conditionalFormatting>
  <conditionalFormatting sqref="V4:V9 V11">
    <cfRule type="expression" dxfId="585" priority="158">
      <formula>ABS(V$7-V$10)&gt;=1000</formula>
    </cfRule>
  </conditionalFormatting>
  <conditionalFormatting sqref="W4:W9 W11">
    <cfRule type="expression" dxfId="584" priority="157">
      <formula>ABS(W$7-W$10)&gt;=1000</formula>
    </cfRule>
  </conditionalFormatting>
  <conditionalFormatting sqref="X4:X9 X11">
    <cfRule type="expression" dxfId="583" priority="156">
      <formula>ABS(X$7-X$10)&gt;=1000</formula>
    </cfRule>
  </conditionalFormatting>
  <conditionalFormatting sqref="Y4:Y9 Y11">
    <cfRule type="expression" dxfId="582" priority="155">
      <formula>ABS(Y$7-Y$10)&gt;=1000</formula>
    </cfRule>
  </conditionalFormatting>
  <conditionalFormatting sqref="Z4:Z11">
    <cfRule type="expression" dxfId="581" priority="154">
      <formula>ABS(Z$7-Z$10)&gt;=1000</formula>
    </cfRule>
  </conditionalFormatting>
  <conditionalFormatting sqref="AA4:AA11">
    <cfRule type="expression" dxfId="580" priority="153">
      <formula>ABS(AA$7-AA$10)&gt;=1000</formula>
    </cfRule>
  </conditionalFormatting>
  <conditionalFormatting sqref="AB4:AB11">
    <cfRule type="expression" dxfId="579" priority="152">
      <formula>ABS(AB$7-AB$10)&gt;=1000</formula>
    </cfRule>
  </conditionalFormatting>
  <conditionalFormatting sqref="AC4 AC6:AC11">
    <cfRule type="expression" dxfId="578" priority="151">
      <formula>ABS(AC$7-AC$10)&gt;=1000</formula>
    </cfRule>
  </conditionalFormatting>
  <conditionalFormatting sqref="AD4 AD6:AD11">
    <cfRule type="expression" dxfId="577" priority="150">
      <formula>ABS(AD$7-AD$10)&gt;=1000</formula>
    </cfRule>
  </conditionalFormatting>
  <conditionalFormatting sqref="AE4 AE6:AE11">
    <cfRule type="expression" dxfId="576" priority="149">
      <formula>ABS(AE$7-AE$10)&gt;=1000</formula>
    </cfRule>
  </conditionalFormatting>
  <conditionalFormatting sqref="D13:D20">
    <cfRule type="expression" dxfId="575" priority="148">
      <formula>ABS(D$16-D$19)&gt;=1000</formula>
    </cfRule>
  </conditionalFormatting>
  <conditionalFormatting sqref="E13:E20">
    <cfRule type="expression" dxfId="574" priority="147">
      <formula>ABS(E$16-E$19)&gt;=1000</formula>
    </cfRule>
  </conditionalFormatting>
  <conditionalFormatting sqref="F13 F15:F20">
    <cfRule type="expression" dxfId="573" priority="146">
      <formula>ABS(F$16-F$19)&gt;=1000</formula>
    </cfRule>
  </conditionalFormatting>
  <conditionalFormatting sqref="G13:G20">
    <cfRule type="expression" dxfId="572" priority="145">
      <formula>ABS(G$16-G$19)&gt;=1000</formula>
    </cfRule>
  </conditionalFormatting>
  <conditionalFormatting sqref="H13 H15:H20">
    <cfRule type="expression" dxfId="571" priority="144">
      <formula>ABS(H$16-H$19)&gt;=1000</formula>
    </cfRule>
  </conditionalFormatting>
  <conditionalFormatting sqref="I13:I20">
    <cfRule type="expression" dxfId="570" priority="143">
      <formula>ABS(I$16-I$19)&gt;=1000</formula>
    </cfRule>
  </conditionalFormatting>
  <conditionalFormatting sqref="J13:J20">
    <cfRule type="expression" dxfId="569" priority="142">
      <formula>ABS(J$16-J$19)&gt;=1000</formula>
    </cfRule>
  </conditionalFormatting>
  <conditionalFormatting sqref="L13:L20">
    <cfRule type="expression" dxfId="568" priority="141">
      <formula>ABS(L$16-L$19)&gt;=1000</formula>
    </cfRule>
  </conditionalFormatting>
  <conditionalFormatting sqref="M13 M15 M17:M18 M20">
    <cfRule type="expression" dxfId="567" priority="140">
      <formula>ABS(M$16-M$19)&gt;=1000</formula>
    </cfRule>
  </conditionalFormatting>
  <conditionalFormatting sqref="N13:N20">
    <cfRule type="expression" dxfId="566" priority="139">
      <formula>ABS(N$16-N$19)&gt;=1000</formula>
    </cfRule>
  </conditionalFormatting>
  <conditionalFormatting sqref="O13:O20">
    <cfRule type="expression" dxfId="565" priority="138">
      <formula>ABS(O$16-O$19)&gt;=1000</formula>
    </cfRule>
  </conditionalFormatting>
  <conditionalFormatting sqref="P13:P20">
    <cfRule type="expression" dxfId="564" priority="137">
      <formula>ABS(P$16-P$19)&gt;=1000</formula>
    </cfRule>
  </conditionalFormatting>
  <conditionalFormatting sqref="Q13 Q15:Q20">
    <cfRule type="expression" dxfId="563" priority="136">
      <formula>ABS(Q$16-Q$19)&gt;=1000</formula>
    </cfRule>
  </conditionalFormatting>
  <conditionalFormatting sqref="R13:R20">
    <cfRule type="expression" dxfId="562" priority="135">
      <formula>ABS(R$16-R$19)&gt;=1000</formula>
    </cfRule>
  </conditionalFormatting>
  <conditionalFormatting sqref="S13:S20">
    <cfRule type="expression" dxfId="561" priority="134">
      <formula>ABS(S$16-S$19)&gt;=1000</formula>
    </cfRule>
  </conditionalFormatting>
  <conditionalFormatting sqref="T13:T20">
    <cfRule type="expression" dxfId="560" priority="133">
      <formula>ABS(T$16-T$19)&gt;=1000</formula>
    </cfRule>
  </conditionalFormatting>
  <conditionalFormatting sqref="U13:U20">
    <cfRule type="expression" dxfId="559" priority="132">
      <formula>ABS(U$16-U$19)&gt;=1000</formula>
    </cfRule>
  </conditionalFormatting>
  <conditionalFormatting sqref="V13:V20">
    <cfRule type="expression" dxfId="558" priority="131">
      <formula>ABS(V$16-V$19)&gt;=1000</formula>
    </cfRule>
  </conditionalFormatting>
  <conditionalFormatting sqref="W13 W20 W15:W18">
    <cfRule type="expression" dxfId="557" priority="130">
      <formula>ABS(W$16-W$19)&gt;=1000</formula>
    </cfRule>
  </conditionalFormatting>
  <conditionalFormatting sqref="X13 X15:X20 Y19">
    <cfRule type="expression" dxfId="556" priority="129">
      <formula>ABS(X$16-X$19)&gt;=1000</formula>
    </cfRule>
  </conditionalFormatting>
  <conditionalFormatting sqref="Y13 Y15:Y18 Y20">
    <cfRule type="expression" dxfId="555" priority="128">
      <formula>ABS(Y$16-Y$19)&gt;=1000</formula>
    </cfRule>
  </conditionalFormatting>
  <conditionalFormatting sqref="Z13:Z20">
    <cfRule type="expression" dxfId="554" priority="127">
      <formula>ABS(Z$16-Z$19)&gt;=1000</formula>
    </cfRule>
  </conditionalFormatting>
  <conditionalFormatting sqref="AA13:AA20">
    <cfRule type="expression" dxfId="553" priority="126">
      <formula>ABS(AA$16-AA$19)&gt;=1000</formula>
    </cfRule>
  </conditionalFormatting>
  <conditionalFormatting sqref="AB13 AB15:AB20">
    <cfRule type="expression" dxfId="552" priority="125">
      <formula>ABS(AB$16-AB$19)&gt;=1000</formula>
    </cfRule>
  </conditionalFormatting>
  <conditionalFormatting sqref="AC13 AC15:AC20">
    <cfRule type="expression" dxfId="551" priority="124">
      <formula>ABS(AC$16-AC$19)&gt;=1000</formula>
    </cfRule>
  </conditionalFormatting>
  <conditionalFormatting sqref="AD13:AD20">
    <cfRule type="expression" dxfId="550" priority="123">
      <formula>ABS(AD$16-AD$19)&gt;=1000</formula>
    </cfRule>
  </conditionalFormatting>
  <conditionalFormatting sqref="AE13:AE20">
    <cfRule type="expression" dxfId="549" priority="122">
      <formula>ABS(AE$16-AE$19)&gt;=1000</formula>
    </cfRule>
  </conditionalFormatting>
  <conditionalFormatting sqref="D22:D29">
    <cfRule type="expression" dxfId="548" priority="121">
      <formula>ABS(D$25-D$28)&gt;=1000</formula>
    </cfRule>
  </conditionalFormatting>
  <conditionalFormatting sqref="E22:E29">
    <cfRule type="expression" dxfId="547" priority="120">
      <formula>ABS(E$25-E$28)&gt;=1000</formula>
    </cfRule>
  </conditionalFormatting>
  <conditionalFormatting sqref="F22:F29">
    <cfRule type="expression" dxfId="546" priority="119">
      <formula>ABS(F$25-F$28)&gt;=1000</formula>
    </cfRule>
  </conditionalFormatting>
  <conditionalFormatting sqref="G22:G29">
    <cfRule type="expression" dxfId="545" priority="118">
      <formula>ABS(G$25-G$28)&gt;=1000</formula>
    </cfRule>
  </conditionalFormatting>
  <conditionalFormatting sqref="H22:H29">
    <cfRule type="expression" dxfId="544" priority="117">
      <formula>ABS(H$25-H$28)&gt;=1000</formula>
    </cfRule>
  </conditionalFormatting>
  <conditionalFormatting sqref="I22 I24:I29">
    <cfRule type="expression" dxfId="543" priority="116">
      <formula>ABS(I$25-I$28)&gt;=1000</formula>
    </cfRule>
  </conditionalFormatting>
  <conditionalFormatting sqref="J22:J29 K22">
    <cfRule type="expression" dxfId="542" priority="115">
      <formula>ABS(J$25-J$28)&gt;=1000</formula>
    </cfRule>
  </conditionalFormatting>
  <conditionalFormatting sqref="K23:K29 L25 L28">
    <cfRule type="expression" dxfId="541" priority="114">
      <formula>ABS(K$25-K$28)&gt;=1000</formula>
    </cfRule>
  </conditionalFormatting>
  <conditionalFormatting sqref="L22 L26:L27 L29 L24">
    <cfRule type="expression" dxfId="540" priority="113">
      <formula>ABS(L$25-L$28)&gt;=1000</formula>
    </cfRule>
  </conditionalFormatting>
  <conditionalFormatting sqref="M22:M29">
    <cfRule type="expression" dxfId="539" priority="112">
      <formula>ABS(M$25-M$28)&gt;=1000</formula>
    </cfRule>
  </conditionalFormatting>
  <conditionalFormatting sqref="N22:N29">
    <cfRule type="expression" dxfId="538" priority="111">
      <formula>ABS(N$25-N$28)&gt;=1000</formula>
    </cfRule>
  </conditionalFormatting>
  <conditionalFormatting sqref="O22:O29">
    <cfRule type="expression" dxfId="537" priority="110">
      <formula>ABS(O$25-O$28)&gt;=1000</formula>
    </cfRule>
  </conditionalFormatting>
  <conditionalFormatting sqref="P22:P29">
    <cfRule type="expression" dxfId="536" priority="109">
      <formula>ABS(P$25-P$28)&gt;=1000</formula>
    </cfRule>
  </conditionalFormatting>
  <conditionalFormatting sqref="Q22:Q29">
    <cfRule type="expression" dxfId="535" priority="108">
      <formula>ABS(Q$25-Q$28)&gt;=1000</formula>
    </cfRule>
  </conditionalFormatting>
  <conditionalFormatting sqref="R22:R29">
    <cfRule type="expression" dxfId="534" priority="107">
      <formula>ABS(R$25-R$28)&gt;=1000</formula>
    </cfRule>
  </conditionalFormatting>
  <conditionalFormatting sqref="S22:S29">
    <cfRule type="expression" dxfId="533" priority="106">
      <formula>ABS(S$25-S$28)&gt;=1000</formula>
    </cfRule>
  </conditionalFormatting>
  <conditionalFormatting sqref="T22:T29">
    <cfRule type="expression" dxfId="532" priority="105">
      <formula>ABS(T$25-T$28)&gt;=1000</formula>
    </cfRule>
  </conditionalFormatting>
  <conditionalFormatting sqref="U22:U29">
    <cfRule type="expression" dxfId="531" priority="104">
      <formula>ABS(U$25-U$28)&gt;=1000</formula>
    </cfRule>
  </conditionalFormatting>
  <conditionalFormatting sqref="V22:V29">
    <cfRule type="expression" dxfId="530" priority="103">
      <formula>ABS(V$25-V$28)&gt;=1000</formula>
    </cfRule>
  </conditionalFormatting>
  <conditionalFormatting sqref="W22:W29">
    <cfRule type="expression" dxfId="529" priority="102">
      <formula>ABS(W$25-W$28)&gt;=1000</formula>
    </cfRule>
  </conditionalFormatting>
  <conditionalFormatting sqref="X22:X29">
    <cfRule type="expression" dxfId="528" priority="101">
      <formula>ABS(X$25-X$28)&gt;=1000</formula>
    </cfRule>
  </conditionalFormatting>
  <conditionalFormatting sqref="Y22:Y29">
    <cfRule type="expression" dxfId="527" priority="100">
      <formula>ABS(Y$25-Y$28)&gt;=1000</formula>
    </cfRule>
  </conditionalFormatting>
  <conditionalFormatting sqref="I23">
    <cfRule type="expression" dxfId="526" priority="99">
      <formula>ABS(I$25-I$28)&gt;=1000</formula>
    </cfRule>
  </conditionalFormatting>
  <conditionalFormatting sqref="Q14">
    <cfRule type="expression" dxfId="525" priority="98">
      <formula>ABS(Q$16-Q$19)&gt;=1000</formula>
    </cfRule>
  </conditionalFormatting>
  <conditionalFormatting sqref="W14">
    <cfRule type="expression" dxfId="524" priority="97">
      <formula>ABS(W$16-W$19)&gt;=1000</formula>
    </cfRule>
  </conditionalFormatting>
  <conditionalFormatting sqref="X14">
    <cfRule type="expression" dxfId="523" priority="96">
      <formula>ABS(X$16-X$19)&gt;=1000</formula>
    </cfRule>
  </conditionalFormatting>
  <conditionalFormatting sqref="T10:Y10">
    <cfRule type="expression" dxfId="522" priority="95">
      <formula>ABS(T$7-T$10)&gt;=1000</formula>
    </cfRule>
  </conditionalFormatting>
  <conditionalFormatting sqref="W19">
    <cfRule type="expression" dxfId="521" priority="94">
      <formula>ABS(W$16-W$19)&gt;=1000</formula>
    </cfRule>
  </conditionalFormatting>
  <conditionalFormatting sqref="AC5">
    <cfRule type="expression" dxfId="520" priority="93">
      <formula>ABS(AC$7-AC$10)&gt;=1000</formula>
    </cfRule>
  </conditionalFormatting>
  <conditionalFormatting sqref="M14">
    <cfRule type="expression" dxfId="519" priority="92">
      <formula>ABS(M$16-M$19)&gt;=1000</formula>
    </cfRule>
  </conditionalFormatting>
  <conditionalFormatting sqref="M16">
    <cfRule type="expression" dxfId="518" priority="91">
      <formula>ABS(M$16-M$19)&gt;=1000</formula>
    </cfRule>
  </conditionalFormatting>
  <conditionalFormatting sqref="M19">
    <cfRule type="expression" dxfId="517" priority="90">
      <formula>ABS(M$16-M$19)&gt;=1000</formula>
    </cfRule>
  </conditionalFormatting>
  <conditionalFormatting sqref="K13:K20">
    <cfRule type="expression" dxfId="516" priority="89">
      <formula>ABS(K$16-K$19)&gt;=1000</formula>
    </cfRule>
  </conditionalFormatting>
  <conditionalFormatting sqref="AB14:AC14">
    <cfRule type="expression" dxfId="515" priority="88">
      <formula>ABS(AB$16-AB$19)&gt;=1000</formula>
    </cfRule>
  </conditionalFormatting>
  <conditionalFormatting sqref="M5">
    <cfRule type="expression" dxfId="514" priority="87">
      <formula>ABS(M$7-M$10)&gt;=1000</formula>
    </cfRule>
  </conditionalFormatting>
  <conditionalFormatting sqref="N5">
    <cfRule type="expression" dxfId="513" priority="86">
      <formula>ABS(N$7-N$10)&gt;=1000</formula>
    </cfRule>
  </conditionalFormatting>
  <conditionalFormatting sqref="L23">
    <cfRule type="expression" dxfId="512" priority="85">
      <formula>ABS(L$25-L$28)&gt;=1000</formula>
    </cfRule>
  </conditionalFormatting>
  <conditionalFormatting sqref="Y14">
    <cfRule type="expression" dxfId="511" priority="84">
      <formula>ABS(Y$16-Y$19)&gt;=1000</formula>
    </cfRule>
  </conditionalFormatting>
  <conditionalFormatting sqref="F14">
    <cfRule type="expression" dxfId="510" priority="83">
      <formula>ABS(F$16-F$19)&gt;=1000</formula>
    </cfRule>
  </conditionalFormatting>
  <conditionalFormatting sqref="H14">
    <cfRule type="expression" dxfId="509" priority="82">
      <formula>ABS(H$16-H$19)&gt;=1000</formula>
    </cfRule>
  </conditionalFormatting>
  <conditionalFormatting sqref="AD5">
    <cfRule type="expression" dxfId="508" priority="81">
      <formula>ABS(AD$7-AD$10)&gt;=1000</formula>
    </cfRule>
  </conditionalFormatting>
  <conditionalFormatting sqref="AE5">
    <cfRule type="expression" dxfId="507" priority="80">
      <formula>ABS(AE$7-AE$10)&gt;=1000</formula>
    </cfRule>
  </conditionalFormatting>
  <conditionalFormatting sqref="D5">
    <cfRule type="expression" dxfId="506" priority="79">
      <formula>ABS(D$7-D$10)&gt;=1000</formula>
    </cfRule>
  </conditionalFormatting>
  <conditionalFormatting sqref="E5:G5">
    <cfRule type="expression" dxfId="505" priority="78">
      <formula>ABS(E$7-E$10)&gt;=1000</formula>
    </cfRule>
  </conditionalFormatting>
  <conditionalFormatting sqref="H5">
    <cfRule type="expression" dxfId="504" priority="77">
      <formula>ABS(H$7-H$10)&gt;=1000</formula>
    </cfRule>
  </conditionalFormatting>
  <conditionalFormatting sqref="O4:P4">
    <cfRule type="expression" dxfId="503" priority="76">
      <formula>ABS(O$7-O$10)&gt;=1000</formula>
    </cfRule>
  </conditionalFormatting>
  <conditionalFormatting sqref="O5 O8 O11">
    <cfRule type="expression" dxfId="502" priority="75">
      <formula>ABS(O$7-O$10)&gt;=1000</formula>
    </cfRule>
  </conditionalFormatting>
  <conditionalFormatting sqref="P8 P11">
    <cfRule type="expression" dxfId="501" priority="74">
      <formula>ABS(P$7-P$10)&gt;=1000</formula>
    </cfRule>
  </conditionalFormatting>
  <conditionalFormatting sqref="J5">
    <cfRule type="expression" dxfId="500" priority="73">
      <formula>ABS(J$7-J$10)&gt;=1000</formula>
    </cfRule>
  </conditionalFormatting>
  <conditionalFormatting sqref="K5">
    <cfRule type="expression" dxfId="499" priority="72">
      <formula>ABS(K$7-K$10)&gt;=1000</formula>
    </cfRule>
  </conditionalFormatting>
  <conditionalFormatting sqref="H6">
    <cfRule type="expression" dxfId="481" priority="54">
      <formula>ABS(H$7-H$10)&gt;=1000</formula>
    </cfRule>
  </conditionalFormatting>
  <conditionalFormatting sqref="J6">
    <cfRule type="expression" dxfId="480" priority="53">
      <formula>ABS(J$7-J$10)&gt;=1000</formula>
    </cfRule>
  </conditionalFormatting>
  <conditionalFormatting sqref="K6">
    <cfRule type="expression" dxfId="479" priority="52">
      <formula>ABS(K$7-K$10)&gt;=1000</formula>
    </cfRule>
  </conditionalFormatting>
  <conditionalFormatting sqref="L6">
    <cfRule type="expression" dxfId="478" priority="51">
      <formula>ABS(L$7-L$10)&gt;=1000</formula>
    </cfRule>
  </conditionalFormatting>
  <conditionalFormatting sqref="M6">
    <cfRule type="expression" dxfId="477" priority="50">
      <formula>ABS(M$7-M$10)&gt;=1000</formula>
    </cfRule>
  </conditionalFormatting>
  <conditionalFormatting sqref="N6">
    <cfRule type="expression" dxfId="476" priority="49">
      <formula>ABS(N$7-N$10)&gt;=1000</formula>
    </cfRule>
  </conditionalFormatting>
  <conditionalFormatting sqref="O6">
    <cfRule type="expression" dxfId="475" priority="48">
      <formula>ABS(O$7-O$10)&gt;=1000</formula>
    </cfRule>
  </conditionalFormatting>
  <conditionalFormatting sqref="P6">
    <cfRule type="expression" dxfId="474" priority="47">
      <formula>ABS(P$7-P$10)&gt;=1000</formula>
    </cfRule>
  </conditionalFormatting>
  <conditionalFormatting sqref="I6">
    <cfRule type="expression" dxfId="473" priority="46">
      <formula>ABS(I$7-I$10)&gt;=1000</formula>
    </cfRule>
  </conditionalFormatting>
  <conditionalFormatting sqref="H9">
    <cfRule type="expression" dxfId="472" priority="45">
      <formula>ABS(H$7-H$10)&gt;=1000</formula>
    </cfRule>
  </conditionalFormatting>
  <conditionalFormatting sqref="J9">
    <cfRule type="expression" dxfId="471" priority="44">
      <formula>ABS(J$7-J$10)&gt;=1000</formula>
    </cfRule>
  </conditionalFormatting>
  <conditionalFormatting sqref="K9">
    <cfRule type="expression" dxfId="470" priority="43">
      <formula>ABS(K$7-K$10)&gt;=1000</formula>
    </cfRule>
  </conditionalFormatting>
  <conditionalFormatting sqref="L9">
    <cfRule type="expression" dxfId="469" priority="42">
      <formula>ABS(L$7-L$10)&gt;=1000</formula>
    </cfRule>
  </conditionalFormatting>
  <conditionalFormatting sqref="M9">
    <cfRule type="expression" dxfId="468" priority="41">
      <formula>ABS(M$7-M$10)&gt;=1000</formula>
    </cfRule>
  </conditionalFormatting>
  <conditionalFormatting sqref="N9">
    <cfRule type="expression" dxfId="467" priority="40">
      <formula>ABS(N$7-N$10)&gt;=1000</formula>
    </cfRule>
  </conditionalFormatting>
  <conditionalFormatting sqref="O9">
    <cfRule type="expression" dxfId="466" priority="39">
      <formula>ABS(O$7-O$10)&gt;=1000</formula>
    </cfRule>
  </conditionalFormatting>
  <conditionalFormatting sqref="P9">
    <cfRule type="expression" dxfId="465" priority="38">
      <formula>ABS(P$7-P$10)&gt;=1000</formula>
    </cfRule>
  </conditionalFormatting>
  <conditionalFormatting sqref="I9">
    <cfRule type="expression" dxfId="464" priority="37">
      <formula>ABS(I$7-I$10)&gt;=1000</formula>
    </cfRule>
  </conditionalFormatting>
  <conditionalFormatting sqref="P5">
    <cfRule type="expression" dxfId="463" priority="36">
      <formula>ABS(P$7-P$10)&gt;=1000</formula>
    </cfRule>
  </conditionalFormatting>
  <conditionalFormatting sqref="I5">
    <cfRule type="expression" dxfId="462" priority="35">
      <formula>ABS(I$7-I$10)&gt;=1000</formula>
    </cfRule>
  </conditionalFormatting>
  <conditionalFormatting sqref="D7:G7">
    <cfRule type="expression" dxfId="184" priority="10">
      <formula>ABS(D$7-D$10)&gt;=1000</formula>
    </cfRule>
  </conditionalFormatting>
  <conditionalFormatting sqref="H7:L7">
    <cfRule type="expression" dxfId="183" priority="9">
      <formula>ABS(H$7-H$10)&gt;=1000</formula>
    </cfRule>
  </conditionalFormatting>
  <conditionalFormatting sqref="M7">
    <cfRule type="expression" dxfId="182" priority="8">
      <formula>ABS(M$7-M$10)&gt;=1000</formula>
    </cfRule>
  </conditionalFormatting>
  <conditionalFormatting sqref="O7:P7">
    <cfRule type="expression" dxfId="181" priority="7">
      <formula>ABS(O$7-O$10)&gt;=1000</formula>
    </cfRule>
  </conditionalFormatting>
  <conditionalFormatting sqref="N7">
    <cfRule type="expression" dxfId="180" priority="6">
      <formula>ABS(N$7-N$10)&gt;=1000</formula>
    </cfRule>
  </conditionalFormatting>
  <conditionalFormatting sqref="D10:G10">
    <cfRule type="expression" dxfId="179" priority="5">
      <formula>ABS(D$7-D$10)&gt;=1000</formula>
    </cfRule>
  </conditionalFormatting>
  <conditionalFormatting sqref="H10:L10">
    <cfRule type="expression" dxfId="178" priority="4">
      <formula>ABS(H$7-H$10)&gt;=1000</formula>
    </cfRule>
  </conditionalFormatting>
  <conditionalFormatting sqref="M10">
    <cfRule type="expression" dxfId="177" priority="3">
      <formula>ABS(M$7-M$10)&gt;=1000</formula>
    </cfRule>
  </conditionalFormatting>
  <conditionalFormatting sqref="O10:P10">
    <cfRule type="expression" dxfId="176" priority="2">
      <formula>ABS(O$7-O$10)&gt;=1000</formula>
    </cfRule>
  </conditionalFormatting>
  <conditionalFormatting sqref="N10">
    <cfRule type="expression" dxfId="17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13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9">
    <pageSetUpPr fitToPage="1"/>
  </sheetPr>
  <dimension ref="A1:BA223"/>
  <sheetViews>
    <sheetView tabSelected="1" view="pageBreakPreview" zoomScaleNormal="100" zoomScaleSheetLayoutView="100" workbookViewId="0">
      <selection activeCell="D7" sqref="D7:P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97" t="s" ph="1">
        <v>122</v>
      </c>
      <c r="C1" s="297" ph="1"/>
      <c r="D1" s="297" ph="1"/>
      <c r="E1" s="297" ph="1"/>
      <c r="F1" s="297" ph="1"/>
      <c r="G1" s="297" ph="1"/>
      <c r="H1" s="297" ph="1"/>
      <c r="I1" s="297" ph="1"/>
      <c r="J1" s="297" ph="1"/>
      <c r="K1" s="297" ph="1"/>
      <c r="L1" s="297" ph="1"/>
      <c r="M1" s="297" ph="1"/>
      <c r="N1" s="297" ph="1"/>
      <c r="O1" s="297" ph="1"/>
      <c r="P1" s="297" ph="1"/>
      <c r="Q1" s="297" ph="1"/>
      <c r="R1" s="297" ph="1"/>
      <c r="S1" s="297" ph="1"/>
      <c r="T1" s="297" ph="1"/>
      <c r="U1" s="297" ph="1"/>
      <c r="V1" s="297" ph="1"/>
      <c r="W1" s="297" ph="1"/>
      <c r="X1" s="297" ph="1"/>
      <c r="Y1" s="297" ph="1"/>
      <c r="Z1" s="297" ph="1"/>
      <c r="AA1" s="297" ph="1"/>
      <c r="AB1" s="297" ph="1"/>
      <c r="AC1" s="297" ph="1"/>
      <c r="AD1" s="297" ph="1"/>
      <c r="AE1" s="297" ph="1"/>
    </row>
    <row r="2" spans="1:53" s="65" customFormat="1" ht="24" customHeight="1" ph="1">
      <c r="B2" s="298" t="s" ph="1">
        <v>38</v>
      </c>
      <c r="C2" s="298" ph="1"/>
      <c r="D2" s="298" ph="1"/>
      <c r="E2" s="298" ph="1"/>
      <c r="F2" s="298" ph="1"/>
      <c r="G2" s="298" ph="1"/>
      <c r="H2" s="298" ph="1"/>
      <c r="I2" s="298" ph="1"/>
      <c r="J2" s="298" ph="1"/>
      <c r="K2" s="298" ph="1"/>
      <c r="L2" s="298" ph="1"/>
      <c r="M2" s="298" ph="1"/>
      <c r="N2" s="298" ph="1"/>
      <c r="O2" s="298" ph="1"/>
      <c r="P2" s="298" ph="1"/>
      <c r="Q2" s="298" ph="1"/>
      <c r="R2" s="298" ph="1"/>
      <c r="S2" s="298" ph="1"/>
      <c r="T2" s="298" ph="1"/>
      <c r="U2" s="298" ph="1"/>
      <c r="V2" s="298" ph="1"/>
      <c r="W2" s="298" ph="1"/>
      <c r="X2" s="298" ph="1"/>
      <c r="Y2" s="298" ph="1"/>
      <c r="Z2" s="298" ph="1"/>
      <c r="AA2" s="298" ph="1"/>
      <c r="AB2" s="298" ph="1"/>
      <c r="AC2" s="298" ph="1"/>
      <c r="AD2" s="298" ph="1"/>
      <c r="AE2" s="298" ph="1"/>
    </row>
    <row r="3" spans="1:53" ht="21" customHeight="1" ph="1">
      <c r="B3" s="299" ph="1">
        <v>46155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</row>
    <row r="4" spans="1:53" s="68" customFormat="1" ph="1">
      <c r="A4" s="64" ph="1"/>
      <c r="B4" s="278" t="s" ph="1">
        <v>28</v>
      </c>
      <c r="C4" s="66" t="s" ph="1">
        <v>53</v>
      </c>
      <c r="D4" s="67" t="s" ph="1">
        <v>174</v>
      </c>
      <c r="E4" s="67" t="s" ph="1">
        <v>175</v>
      </c>
      <c r="F4" s="67" t="s" ph="1">
        <v>30</v>
      </c>
      <c r="G4" s="67" t="s" ph="1">
        <v>68</v>
      </c>
      <c r="H4" s="67" t="s" ph="1">
        <v>173</v>
      </c>
      <c r="I4" s="67" t="s" ph="1">
        <v>177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78" ph="1"/>
      <c r="C5" s="66" t="s" ph="1">
        <v>132</v>
      </c>
      <c r="D5" s="141" t="s" ph="1">
        <v>87</v>
      </c>
      <c r="E5" s="141" t="s" ph="1">
        <v>87</v>
      </c>
      <c r="F5" s="141" t="s" ph="1">
        <v>121</v>
      </c>
      <c r="G5" s="141" t="s" ph="1">
        <v>121</v>
      </c>
      <c r="H5" s="141" t="s" ph="1">
        <v>87</v>
      </c>
      <c r="I5" s="141" t="s" ph="1">
        <v>87</v>
      </c>
      <c r="J5" s="141" t="s" ph="1">
        <v>121</v>
      </c>
      <c r="K5" s="141" t="s" ph="1">
        <v>121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96" ph="1">
        <v>0.33333333333333331</v>
      </c>
      <c r="C6" s="218" t="s" ph="1">
        <v>54</v>
      </c>
      <c r="D6" s="151">
        <v>0.58150000000000002</v>
      </c>
      <c r="E6" s="151">
        <v>0.99519999999999997</v>
      </c>
      <c r="F6" s="151">
        <v>0</v>
      </c>
      <c r="G6" s="151">
        <v>0</v>
      </c>
      <c r="H6" s="70">
        <v>4018</v>
      </c>
      <c r="I6" s="70">
        <v>0</v>
      </c>
      <c r="J6" s="70">
        <v>6300</v>
      </c>
      <c r="K6" s="70">
        <v>0</v>
      </c>
      <c r="L6" s="70">
        <v>3491</v>
      </c>
      <c r="M6" s="70">
        <v>1904</v>
      </c>
      <c r="N6" s="70">
        <v>1182</v>
      </c>
      <c r="O6" s="70">
        <v>2893</v>
      </c>
      <c r="P6" s="70">
        <v>1406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96" ph="1"/>
      <c r="C7" s="67" t="s" ph="1">
        <v>140</v>
      </c>
      <c r="D7" s="72" ph="1">
        <f>((D6*5885)*4.48)*LOOKUP(D8,密度!$A$2:$A$50,密度!$B$2:$B$50)</f>
        <v>11872.428001280001</v>
      </c>
      <c r="E7" s="72" ph="1">
        <f>((E6*5885)*4.48)*LOOKUP(E8,密度!$A$2:$A$50,密度!$B$2:$B$50)</f>
        <v>20318.899994624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44288.804869629996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71735.2381934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71507.640165999997</v>
      </c>
      <c r="M7" s="72" ph="1">
        <f>M6*26.42*1</f>
        <v>50303.68</v>
      </c>
      <c r="N7" s="72" ph="1">
        <f>N6*18.32*LOOKUP(N8,密度!$A$2:$A$50,密度!$B$2:$B$50)</f>
        <v>16788.532272</v>
      </c>
      <c r="O7" s="72" ph="1">
        <f>O6*81.71*LOOKUP(O8,密度!$A$2:$A$50,密度!$B$2:$B$50)</f>
        <v>183483.61268599998</v>
      </c>
      <c r="P7" s="72" ph="1">
        <f>P6*81.71*LOOKUP(P8,密度!$A$2:$A$50,密度!$B$2:$B$50)</f>
        <v>89069.76677799999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96" ph="1"/>
      <c r="C8" s="67" t="s" ph="1">
        <v>118</v>
      </c>
      <c r="D8" s="73">
        <v>31</v>
      </c>
      <c r="E8" s="73">
        <v>31</v>
      </c>
      <c r="F8" s="73">
        <v>32</v>
      </c>
      <c r="G8" s="73">
        <v>28</v>
      </c>
      <c r="H8" s="73">
        <v>33</v>
      </c>
      <c r="I8" s="73">
        <v>28</v>
      </c>
      <c r="J8" s="73">
        <v>25</v>
      </c>
      <c r="K8" s="73">
        <v>28</v>
      </c>
      <c r="L8" s="73">
        <v>30</v>
      </c>
      <c r="M8" s="73">
        <v>29</v>
      </c>
      <c r="N8" s="73">
        <v>30</v>
      </c>
      <c r="O8" s="73">
        <v>29</v>
      </c>
      <c r="P8" s="73">
        <v>30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96" ph="1">
        <v>0.66666666666666663</v>
      </c>
      <c r="C9" s="218" t="s" ph="1">
        <v>57</v>
      </c>
      <c r="D9" s="151">
        <v>0.89710000000000001</v>
      </c>
      <c r="E9" s="151">
        <v>4.1700000000000001E-2</v>
      </c>
      <c r="F9" s="151">
        <v>0</v>
      </c>
      <c r="G9" s="151">
        <v>0</v>
      </c>
      <c r="H9" s="70">
        <v>1025</v>
      </c>
      <c r="I9" s="70">
        <v>225</v>
      </c>
      <c r="J9" s="70">
        <v>4867</v>
      </c>
      <c r="K9" s="70">
        <v>285</v>
      </c>
      <c r="L9" s="70">
        <v>3532</v>
      </c>
      <c r="M9" s="70">
        <v>1904</v>
      </c>
      <c r="N9" s="70">
        <v>1247</v>
      </c>
      <c r="O9" s="70">
        <v>4475</v>
      </c>
      <c r="P9" s="70">
        <v>1703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96" ph="1"/>
      <c r="C10" s="218" t="s" ph="1">
        <v>140</v>
      </c>
      <c r="D10" s="72" ph="1">
        <f>((D9*5885)*4.48)*LOOKUP(D11,密度!$A$2:$A$50,密度!$B$2:$B$50)</f>
        <v>18294.71531888</v>
      </c>
      <c r="E10" s="72" ph="1">
        <f>((E9*5885)*4.48)*LOOKUP(E11,密度!$A$2:$A$50,密度!$B$2:$B$50)</f>
        <v>851.38477670400005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9113.0161511999995</v>
      </c>
      <c r="I10" s="72" ph="1">
        <f>IF(I9&lt;=0,0,IF(I9&lt;=745,PI()*(5.3235*(I9/1000)^2-(4/3)*(I9/1000)^3),7.55+15.2053*((I9-745)/1000))*LOOKUP(I11,密度!$A$2:$A$50,密度!$B$2:$B$50)*1000)</f>
        <v>618.70932241886771</v>
      </c>
      <c r="J10" s="72" ph="1">
        <f>IF(J9&lt;=0,0,IF(J9&lt;=745,PI()*(5.3235*(J9/1000)^2-(4/3)*(J9/1000)^3),7.55+15.2053*((J9-745)/1000))*LOOKUP(J11,密度!$A$2:$A$50,密度!$B$2:$B$50)*1000)</f>
        <v>54320.001745099995</v>
      </c>
      <c r="K10" s="72" ph="1">
        <f>IF(K9&lt;=0,0,IF(K9&lt;=745,PI()*(5.3235*(K9/1000)^2-(4/3)*(K9/1000)^3),7.55+15.2053*((K9-745)/1000))*LOOKUP(K11,密度!$A$2:$A$50,密度!$B$2:$B$50)*1000)</f>
        <v>975.74076430638377</v>
      </c>
      <c r="L10" s="72" ph="1">
        <f>L9*26.42*LOOKUP(L11,密度!$A$2:$A$50,密度!$B$2:$B$50)</f>
        <v>72347.460632000002</v>
      </c>
      <c r="M10" s="72" ph="1">
        <f>M9*26.42*1</f>
        <v>50303.68</v>
      </c>
      <c r="N10" s="72" ph="1">
        <f>N9*18.32*LOOKUP(N11,密度!$A$2:$A$50,密度!$B$2:$B$50)</f>
        <v>17691.198976</v>
      </c>
      <c r="O10" s="72" ph="1">
        <f>O9*81.71*LOOKUP(O11,密度!$A$2:$A$50,密度!$B$2:$B$50)</f>
        <v>284111.79824999999</v>
      </c>
      <c r="P10" s="72" ph="1">
        <f>P9*81.71*LOOKUP(P11,密度!$A$2:$A$50,密度!$B$2:$B$50)</f>
        <v>107759.40947199998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96" ph="1"/>
      <c r="C11" s="218" t="s" ph="1">
        <v>118</v>
      </c>
      <c r="D11" s="73">
        <v>32</v>
      </c>
      <c r="E11" s="73">
        <v>31</v>
      </c>
      <c r="F11" s="73">
        <v>32</v>
      </c>
      <c r="G11" s="73">
        <v>33</v>
      </c>
      <c r="H11" s="73">
        <v>34</v>
      </c>
      <c r="I11" s="73">
        <v>31</v>
      </c>
      <c r="J11" s="73">
        <v>32</v>
      </c>
      <c r="K11" s="73">
        <v>32</v>
      </c>
      <c r="L11" s="73">
        <v>30</v>
      </c>
      <c r="M11" s="73">
        <v>30</v>
      </c>
      <c r="N11" s="73">
        <v>31</v>
      </c>
      <c r="O11" s="73">
        <v>28</v>
      </c>
      <c r="P11" s="73">
        <v>31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91" ph="1"/>
    </row>
    <row r="13" spans="1:53" s="71" customFormat="1" ht="29.25" customHeight="1" ph="1">
      <c r="B13" s="273" t="s" ph="1">
        <v>28</v>
      </c>
      <c r="C13" s="218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74" ph="1"/>
      <c r="C14" s="66" t="s" ph="1">
        <v>132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75" ph="1">
        <v>0.33333333333333331</v>
      </c>
      <c r="C15" s="218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76" ph="1"/>
      <c r="C16" s="218" t="s" ph="1">
        <v>140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9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77" ph="1"/>
      <c r="C17" s="78" t="s" ph="1">
        <v>118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9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75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76" ph="1"/>
      <c r="C19" s="218" t="s" ph="1">
        <v>140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76" ph="1"/>
      <c r="C20" s="79" t="s" ph="1">
        <v>118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150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74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84" t="s" ph="1">
        <v>34</v>
      </c>
      <c r="AA22" s="285"/>
      <c r="AB22" s="285"/>
      <c r="AC22" s="285"/>
      <c r="AD22" s="285"/>
      <c r="AE22" s="286"/>
    </row>
    <row r="23" spans="1:32" ph="1">
      <c r="A23" s="71" ph="1"/>
      <c r="B23" s="278" ph="1"/>
      <c r="C23" s="66" t="s" ph="1">
        <v>132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87" t="s" ph="1">
        <v>90</v>
      </c>
      <c r="AA23" s="288"/>
      <c r="AB23" s="288"/>
      <c r="AC23" s="288"/>
      <c r="AD23" s="288"/>
      <c r="AE23" s="289"/>
    </row>
    <row r="24" spans="1:32" ph="1">
      <c r="A24" s="71" ph="1"/>
      <c r="B24" s="296" ph="1">
        <v>0.33333333333333331</v>
      </c>
      <c r="C24" s="218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90"/>
      <c r="AA24" s="291"/>
      <c r="AB24" s="291"/>
      <c r="AC24" s="291"/>
      <c r="AD24" s="291"/>
      <c r="AE24" s="292"/>
    </row>
    <row r="25" spans="1:32" ph="1">
      <c r="A25" s="71" ph="1"/>
      <c r="B25" s="296" ph="1"/>
      <c r="C25" s="67" t="s" ph="1">
        <v>140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90"/>
      <c r="AA25" s="291"/>
      <c r="AB25" s="291"/>
      <c r="AC25" s="291"/>
      <c r="AD25" s="291"/>
      <c r="AE25" s="292"/>
    </row>
    <row r="26" spans="1:32" ph="1">
      <c r="A26" s="71" ph="1"/>
      <c r="B26" s="296" ph="1"/>
      <c r="C26" s="67" t="s" ph="1">
        <v>118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90"/>
      <c r="AA26" s="291"/>
      <c r="AB26" s="291"/>
      <c r="AC26" s="291"/>
      <c r="AD26" s="291"/>
      <c r="AE26" s="292"/>
    </row>
    <row r="27" spans="1:32" ht="26.4" ph="1">
      <c r="A27" s="71" ph="1"/>
      <c r="B27" s="296" ph="1">
        <v>0.66666666666666663</v>
      </c>
      <c r="C27" s="218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90"/>
      <c r="AA27" s="291"/>
      <c r="AB27" s="291"/>
      <c r="AC27" s="291"/>
      <c r="AD27" s="291"/>
      <c r="AE27" s="292"/>
    </row>
    <row r="28" spans="1:32" ph="1">
      <c r="A28" s="71" ph="1"/>
      <c r="B28" s="296" ph="1"/>
      <c r="C28" s="218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90"/>
      <c r="AA28" s="291"/>
      <c r="AB28" s="291"/>
      <c r="AC28" s="291"/>
      <c r="AD28" s="291"/>
      <c r="AE28" s="292"/>
    </row>
    <row r="29" spans="1:32" ph="1">
      <c r="A29" s="71" ph="1"/>
      <c r="B29" s="296" ph="1"/>
      <c r="C29" s="218" t="s" ph="1">
        <v>118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93"/>
      <c r="AA29" s="294"/>
      <c r="AB29" s="294"/>
      <c r="AC29" s="294"/>
      <c r="AD29" s="294"/>
      <c r="AE29" s="295"/>
    </row>
    <row r="30" spans="1:32" ph="1">
      <c r="D30" s="93" ph="1"/>
      <c r="Z30" s="63" t="s" ph="1">
        <v>150</v>
      </c>
      <c r="AE30" s="94" ph="1"/>
    </row>
    <row r="31" spans="1:32" ht="28.2" ph="1">
      <c r="A31" s="63"/>
      <c r="B31" s="279" t="s" ph="1">
        <v>150</v>
      </c>
      <c r="C31" s="280" ph="1"/>
      <c r="D31" s="257" t="s" ph="1">
        <v>3</v>
      </c>
      <c r="E31" s="258" ph="1"/>
      <c r="F31" s="259" ph="1"/>
      <c r="G31" s="283" ph="1"/>
      <c r="H31" s="258" ph="1"/>
      <c r="I31" s="259" ph="1"/>
      <c r="J31" s="257" ph="1"/>
      <c r="K31" s="258" ph="1"/>
      <c r="L31" s="259" ph="1"/>
      <c r="M31" s="257" ph="1"/>
      <c r="N31" s="258" ph="1"/>
      <c r="O31" s="259" ph="1"/>
      <c r="P31" s="257" ph="1"/>
      <c r="Q31" s="258"/>
      <c r="R31" s="259"/>
      <c r="S31" s="257" ph="1"/>
      <c r="T31" s="258"/>
      <c r="U31" s="259"/>
      <c r="V31" s="257" ph="1"/>
      <c r="W31" s="258" ph="1"/>
      <c r="X31" s="259" ph="1"/>
      <c r="Y31" s="257" ph="1"/>
      <c r="Z31" s="258" ph="1"/>
      <c r="AA31" s="259" ph="1"/>
      <c r="AB31" s="260"/>
      <c r="AC31" s="261"/>
      <c r="AD31" s="261"/>
      <c r="AE31" s="262"/>
    </row>
    <row r="32" spans="1:32" ph="1">
      <c r="A32" s="63"/>
      <c r="B32" s="281" ph="1"/>
      <c r="C32" s="282" ph="1"/>
      <c r="D32" s="95" t="s" ph="1">
        <v>0</v>
      </c>
      <c r="E32" s="218" t="s" ph="1">
        <v>1</v>
      </c>
      <c r="F32" s="219" t="s" ph="1">
        <v>31</v>
      </c>
      <c r="G32" s="96" t="s" ph="1">
        <v>0</v>
      </c>
      <c r="H32" s="218" t="s" ph="1">
        <v>1</v>
      </c>
      <c r="I32" s="219" t="s" ph="1">
        <v>31</v>
      </c>
      <c r="J32" s="96" t="s" ph="1">
        <v>0</v>
      </c>
      <c r="K32" s="218" t="s" ph="1">
        <v>1</v>
      </c>
      <c r="L32" s="219" t="s" ph="1">
        <v>31</v>
      </c>
      <c r="M32" s="96" t="s" ph="1">
        <v>0</v>
      </c>
      <c r="N32" s="218" t="s" ph="1">
        <v>1</v>
      </c>
      <c r="O32" s="219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18" t="s" ph="1">
        <v>1</v>
      </c>
      <c r="U32" s="98" t="s" ph="1">
        <v>31</v>
      </c>
      <c r="V32" s="96" t="s" ph="1">
        <v>0</v>
      </c>
      <c r="W32" s="218" t="s" ph="1">
        <v>1</v>
      </c>
      <c r="X32" s="98" t="s" ph="1">
        <v>31</v>
      </c>
      <c r="Y32" s="99" t="s" ph="1">
        <v>0</v>
      </c>
      <c r="Z32" s="218" t="s" ph="1">
        <v>1</v>
      </c>
      <c r="AA32" s="219" t="s" ph="1">
        <v>31</v>
      </c>
      <c r="AB32" s="96" t="s" ph="1">
        <v>41</v>
      </c>
      <c r="AC32" s="218" t="s" ph="1">
        <v>40</v>
      </c>
      <c r="AD32" s="263" t="s" ph="1">
        <v>39</v>
      </c>
      <c r="AE32" s="264"/>
    </row>
    <row r="33" spans="1:31" ph="1">
      <c r="A33" s="63"/>
      <c r="B33" s="265" t="s" ph="1">
        <v>58</v>
      </c>
      <c r="C33" s="266" ph="1"/>
      <c r="D33" s="245" ph="1">
        <f>O10+P10</f>
        <v>391871.20772199996</v>
      </c>
      <c r="E33" s="245" ph="1">
        <f>H10+I10+J10+K10</f>
        <v>65027.46798302525</v>
      </c>
      <c r="F33" s="269" ph="1">
        <f>L10+N10</f>
        <v>90038.659608000002</v>
      </c>
      <c r="G33" s="271" ph="1">
        <v>0</v>
      </c>
      <c r="H33" s="245" ph="1">
        <v>0</v>
      </c>
      <c r="I33" s="249" ph="1">
        <v>0</v>
      </c>
      <c r="J33" s="253" ph="1">
        <v>0</v>
      </c>
      <c r="K33" s="245" ph="1">
        <v>0</v>
      </c>
      <c r="L33" s="255" ph="1">
        <v>0</v>
      </c>
      <c r="M33" s="253" ph="1">
        <v>0</v>
      </c>
      <c r="N33" s="245" ph="1">
        <v>0</v>
      </c>
      <c r="O33" s="249" ph="1">
        <f>G19</f>
        <v>0</v>
      </c>
      <c r="P33" s="253" ph="1">
        <v>0</v>
      </c>
      <c r="Q33" s="245" ph="1">
        <v>0</v>
      </c>
      <c r="R33" s="249" ph="1">
        <v>0</v>
      </c>
      <c r="S33" s="253" ph="1">
        <v>0</v>
      </c>
      <c r="T33" s="245" ph="1">
        <v>0</v>
      </c>
      <c r="U33" s="234" ph="1">
        <v>0</v>
      </c>
      <c r="V33" s="247" ph="1">
        <v>0</v>
      </c>
      <c r="W33" s="247" ph="1">
        <v>0</v>
      </c>
      <c r="X33" s="249" ph="1">
        <v>0</v>
      </c>
      <c r="Y33" s="251" ph="1">
        <v>0</v>
      </c>
      <c r="Z33" s="232" ph="1">
        <v>0</v>
      </c>
      <c r="AA33" s="234" ph="1">
        <v>0</v>
      </c>
      <c r="AB33" s="236" ph="1">
        <v>0</v>
      </c>
      <c r="AC33" s="238" ph="1">
        <v>0</v>
      </c>
      <c r="AD33" s="240" ph="1">
        <v>0</v>
      </c>
      <c r="AE33" s="241"/>
    </row>
    <row r="34" spans="1:31" ph="1">
      <c r="A34" s="63"/>
      <c r="B34" s="267" ph="1"/>
      <c r="C34" s="268" ph="1"/>
      <c r="D34" s="246" ph="1"/>
      <c r="E34" s="246" ph="1"/>
      <c r="F34" s="270" ph="1"/>
      <c r="G34" s="272" ph="1"/>
      <c r="H34" s="246" ph="1"/>
      <c r="I34" s="250" ph="1"/>
      <c r="J34" s="254" ph="1"/>
      <c r="K34" s="246" ph="1"/>
      <c r="L34" s="256" ph="1"/>
      <c r="M34" s="254" ph="1"/>
      <c r="N34" s="246" ph="1"/>
      <c r="O34" s="250" ph="1"/>
      <c r="P34" s="254" ph="1"/>
      <c r="Q34" s="246" ph="1"/>
      <c r="R34" s="250" ph="1"/>
      <c r="S34" s="254" ph="1"/>
      <c r="T34" s="246"/>
      <c r="U34" s="235"/>
      <c r="V34" s="248" ph="1"/>
      <c r="W34" s="248" ph="1"/>
      <c r="X34" s="250" ph="1"/>
      <c r="Y34" s="252" ph="1"/>
      <c r="Z34" s="233" ph="1"/>
      <c r="AA34" s="235" ph="1"/>
      <c r="AB34" s="237"/>
      <c r="AC34" s="239"/>
      <c r="AD34" s="242"/>
      <c r="AE34" s="243"/>
    </row>
    <row r="35" spans="1:31" ph="1">
      <c r="A35" s="63"/>
      <c r="AC35" s="244" t="s" ph="1">
        <v>65</v>
      </c>
      <c r="AD35" s="244"/>
      <c r="AE35" s="244"/>
    </row>
    <row r="36" spans="1:31" ht="28.2" ph="1">
      <c r="A36" s="63"/>
      <c r="B36" s="102" t="s" ph="1">
        <v>59</v>
      </c>
      <c r="I36" s="230" t="s" ph="1">
        <v>60</v>
      </c>
      <c r="J36" s="230" ph="1"/>
      <c r="K36" s="100" ph="1"/>
      <c r="P36" s="100" ph="1"/>
      <c r="R36" s="230" t="s" ph="1">
        <v>61</v>
      </c>
      <c r="S36" s="230" ph="1"/>
      <c r="Y36" s="101" ph="1"/>
      <c r="Z36" s="220" t="s" ph="1">
        <v>62</v>
      </c>
      <c r="AA36" s="220" ph="1"/>
      <c r="AB36" s="231" t="s" ph="1">
        <v>67</v>
      </c>
      <c r="AC36" s="231" ph="1"/>
      <c r="AD36" s="231" ph="1"/>
      <c r="AE36" s="231" ph="1"/>
    </row>
    <row r="37" spans="1:31" s="220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341" priority="149">
      <formula>ABS(D$7-D$10)&gt;=1000</formula>
    </cfRule>
  </conditionalFormatting>
  <conditionalFormatting sqref="E4 E6 E8:E9 E11">
    <cfRule type="expression" dxfId="340" priority="148">
      <formula>ABS(E$7-E$10)&gt;=1000</formula>
    </cfRule>
  </conditionalFormatting>
  <conditionalFormatting sqref="F4 F6 F8:F9 F11">
    <cfRule type="expression" dxfId="339" priority="147">
      <formula>ABS(F$7-F$10)&gt;=1000</formula>
    </cfRule>
  </conditionalFormatting>
  <conditionalFormatting sqref="G4 G6 G8:G9 G11">
    <cfRule type="expression" dxfId="338" priority="146">
      <formula>ABS(G$7-G$10)&gt;=1000</formula>
    </cfRule>
  </conditionalFormatting>
  <conditionalFormatting sqref="H4:K4 H8 H11">
    <cfRule type="expression" dxfId="337" priority="145">
      <formula>ABS(H$7-H$10)&gt;=1000</formula>
    </cfRule>
  </conditionalFormatting>
  <conditionalFormatting sqref="I8 I11">
    <cfRule type="expression" dxfId="336" priority="144">
      <formula>ABS(I$7-I$10)&gt;=1000</formula>
    </cfRule>
  </conditionalFormatting>
  <conditionalFormatting sqref="J8 J11">
    <cfRule type="expression" dxfId="335" priority="143">
      <formula>ABS(J$7-J$10)&gt;=1000</formula>
    </cfRule>
  </conditionalFormatting>
  <conditionalFormatting sqref="K8 K11">
    <cfRule type="expression" dxfId="334" priority="142">
      <formula>ABS(K$7-K$10)&gt;=1000</formula>
    </cfRule>
  </conditionalFormatting>
  <conditionalFormatting sqref="L4:L5 M4:N4 Q4:S4 L8 L11">
    <cfRule type="expression" dxfId="333" priority="141">
      <formula>ABS(L$7-L$10)&gt;=1000</formula>
    </cfRule>
  </conditionalFormatting>
  <conditionalFormatting sqref="M8 M11">
    <cfRule type="expression" dxfId="332" priority="140">
      <formula>ABS(M$7-M$10)&gt;=1000</formula>
    </cfRule>
  </conditionalFormatting>
  <conditionalFormatting sqref="N8 N11">
    <cfRule type="expression" dxfId="331" priority="139">
      <formula>ABS(N$7-N$10)&gt;=1000</formula>
    </cfRule>
  </conditionalFormatting>
  <conditionalFormatting sqref="Q5:Q11">
    <cfRule type="expression" dxfId="330" priority="138">
      <formula>ABS(Q$7-Q$10)&gt;=1000</formula>
    </cfRule>
  </conditionalFormatting>
  <conditionalFormatting sqref="R5:R11">
    <cfRule type="expression" dxfId="329" priority="137">
      <formula>ABS(R$7-R$10)&gt;=1000</formula>
    </cfRule>
  </conditionalFormatting>
  <conditionalFormatting sqref="S5:S11">
    <cfRule type="expression" dxfId="328" priority="136">
      <formula>ABS(S$7-S$10)&gt;=1000</formula>
    </cfRule>
  </conditionalFormatting>
  <conditionalFormatting sqref="T4:T9 T11">
    <cfRule type="expression" dxfId="327" priority="135">
      <formula>ABS(T$7-T$10)&gt;=1000</formula>
    </cfRule>
  </conditionalFormatting>
  <conditionalFormatting sqref="U4:U9 U11">
    <cfRule type="expression" dxfId="326" priority="134">
      <formula>ABS(U$7-U$10)&gt;=1000</formula>
    </cfRule>
  </conditionalFormatting>
  <conditionalFormatting sqref="V4:V9 V11">
    <cfRule type="expression" dxfId="325" priority="133">
      <formula>ABS(V$7-V$10)&gt;=1000</formula>
    </cfRule>
  </conditionalFormatting>
  <conditionalFormatting sqref="W4:W9 W11">
    <cfRule type="expression" dxfId="324" priority="132">
      <formula>ABS(W$7-W$10)&gt;=1000</formula>
    </cfRule>
  </conditionalFormatting>
  <conditionalFormatting sqref="X4:X9 X11">
    <cfRule type="expression" dxfId="323" priority="131">
      <formula>ABS(X$7-X$10)&gt;=1000</formula>
    </cfRule>
  </conditionalFormatting>
  <conditionalFormatting sqref="Y4:Y9 Y11">
    <cfRule type="expression" dxfId="322" priority="130">
      <formula>ABS(Y$7-Y$10)&gt;=1000</formula>
    </cfRule>
  </conditionalFormatting>
  <conditionalFormatting sqref="Z4:Z11">
    <cfRule type="expression" dxfId="321" priority="129">
      <formula>ABS(Z$7-Z$10)&gt;=1000</formula>
    </cfRule>
  </conditionalFormatting>
  <conditionalFormatting sqref="AA4:AA11">
    <cfRule type="expression" dxfId="320" priority="128">
      <formula>ABS(AA$7-AA$10)&gt;=1000</formula>
    </cfRule>
  </conditionalFormatting>
  <conditionalFormatting sqref="AB4:AB11">
    <cfRule type="expression" dxfId="319" priority="127">
      <formula>ABS(AB$7-AB$10)&gt;=1000</formula>
    </cfRule>
  </conditionalFormatting>
  <conditionalFormatting sqref="AC4 AC6:AC11">
    <cfRule type="expression" dxfId="318" priority="126">
      <formula>ABS(AC$7-AC$10)&gt;=1000</formula>
    </cfRule>
  </conditionalFormatting>
  <conditionalFormatting sqref="AD4 AD6:AD11">
    <cfRule type="expression" dxfId="317" priority="125">
      <formula>ABS(AD$7-AD$10)&gt;=1000</formula>
    </cfRule>
  </conditionalFormatting>
  <conditionalFormatting sqref="AE4 AE6:AE11">
    <cfRule type="expression" dxfId="316" priority="124">
      <formula>ABS(AE$7-AE$10)&gt;=1000</formula>
    </cfRule>
  </conditionalFormatting>
  <conditionalFormatting sqref="D13:D20">
    <cfRule type="expression" dxfId="315" priority="123">
      <formula>ABS(D$16-D$19)&gt;=1000</formula>
    </cfRule>
  </conditionalFormatting>
  <conditionalFormatting sqref="E13:E20">
    <cfRule type="expression" dxfId="314" priority="122">
      <formula>ABS(E$16-E$19)&gt;=1000</formula>
    </cfRule>
  </conditionalFormatting>
  <conditionalFormatting sqref="F13 F15:F20">
    <cfRule type="expression" dxfId="313" priority="121">
      <formula>ABS(F$16-F$19)&gt;=1000</formula>
    </cfRule>
  </conditionalFormatting>
  <conditionalFormatting sqref="G13:G20">
    <cfRule type="expression" dxfId="312" priority="120">
      <formula>ABS(G$16-G$19)&gt;=1000</formula>
    </cfRule>
  </conditionalFormatting>
  <conditionalFormatting sqref="H13 H15:H20">
    <cfRule type="expression" dxfId="311" priority="119">
      <formula>ABS(H$16-H$19)&gt;=1000</formula>
    </cfRule>
  </conditionalFormatting>
  <conditionalFormatting sqref="I13:I20">
    <cfRule type="expression" dxfId="310" priority="118">
      <formula>ABS(I$16-I$19)&gt;=1000</formula>
    </cfRule>
  </conditionalFormatting>
  <conditionalFormatting sqref="J13:J20">
    <cfRule type="expression" dxfId="309" priority="117">
      <formula>ABS(J$16-J$19)&gt;=1000</formula>
    </cfRule>
  </conditionalFormatting>
  <conditionalFormatting sqref="L13:L20">
    <cfRule type="expression" dxfId="308" priority="116">
      <formula>ABS(L$16-L$19)&gt;=1000</formula>
    </cfRule>
  </conditionalFormatting>
  <conditionalFormatting sqref="M13 M15 M17:M18 M20">
    <cfRule type="expression" dxfId="307" priority="115">
      <formula>ABS(M$16-M$19)&gt;=1000</formula>
    </cfRule>
  </conditionalFormatting>
  <conditionalFormatting sqref="N13:N20">
    <cfRule type="expression" dxfId="306" priority="114">
      <formula>ABS(N$16-N$19)&gt;=1000</formula>
    </cfRule>
  </conditionalFormatting>
  <conditionalFormatting sqref="O13:O20">
    <cfRule type="expression" dxfId="305" priority="113">
      <formula>ABS(O$16-O$19)&gt;=1000</formula>
    </cfRule>
  </conditionalFormatting>
  <conditionalFormatting sqref="P13:P20">
    <cfRule type="expression" dxfId="304" priority="112">
      <formula>ABS(P$16-P$19)&gt;=1000</formula>
    </cfRule>
  </conditionalFormatting>
  <conditionalFormatting sqref="Q13 Q15:Q20">
    <cfRule type="expression" dxfId="303" priority="111">
      <formula>ABS(Q$16-Q$19)&gt;=1000</formula>
    </cfRule>
  </conditionalFormatting>
  <conditionalFormatting sqref="R13:R20">
    <cfRule type="expression" dxfId="302" priority="110">
      <formula>ABS(R$16-R$19)&gt;=1000</formula>
    </cfRule>
  </conditionalFormatting>
  <conditionalFormatting sqref="S13:S20">
    <cfRule type="expression" dxfId="301" priority="109">
      <formula>ABS(S$16-S$19)&gt;=1000</formula>
    </cfRule>
  </conditionalFormatting>
  <conditionalFormatting sqref="T13:T20">
    <cfRule type="expression" dxfId="300" priority="108">
      <formula>ABS(T$16-T$19)&gt;=1000</formula>
    </cfRule>
  </conditionalFormatting>
  <conditionalFormatting sqref="U13:U20">
    <cfRule type="expression" dxfId="299" priority="107">
      <formula>ABS(U$16-U$19)&gt;=1000</formula>
    </cfRule>
  </conditionalFormatting>
  <conditionalFormatting sqref="V13:V20">
    <cfRule type="expression" dxfId="298" priority="106">
      <formula>ABS(V$16-V$19)&gt;=1000</formula>
    </cfRule>
  </conditionalFormatting>
  <conditionalFormatting sqref="W13 W20 W15:W18">
    <cfRule type="expression" dxfId="297" priority="105">
      <formula>ABS(W$16-W$19)&gt;=1000</formula>
    </cfRule>
  </conditionalFormatting>
  <conditionalFormatting sqref="X13 X15:X20 Y19">
    <cfRule type="expression" dxfId="296" priority="104">
      <formula>ABS(X$16-X$19)&gt;=1000</formula>
    </cfRule>
  </conditionalFormatting>
  <conditionalFormatting sqref="Y13 Y15:Y18 Y20">
    <cfRule type="expression" dxfId="295" priority="103">
      <formula>ABS(Y$16-Y$19)&gt;=1000</formula>
    </cfRule>
  </conditionalFormatting>
  <conditionalFormatting sqref="Z13:Z20">
    <cfRule type="expression" dxfId="294" priority="102">
      <formula>ABS(Z$16-Z$19)&gt;=1000</formula>
    </cfRule>
  </conditionalFormatting>
  <conditionalFormatting sqref="AA13:AA20">
    <cfRule type="expression" dxfId="293" priority="101">
      <formula>ABS(AA$16-AA$19)&gt;=1000</formula>
    </cfRule>
  </conditionalFormatting>
  <conditionalFormatting sqref="AB13 AB15:AB20">
    <cfRule type="expression" dxfId="292" priority="100">
      <formula>ABS(AB$16-AB$19)&gt;=1000</formula>
    </cfRule>
  </conditionalFormatting>
  <conditionalFormatting sqref="AC13 AC15:AC20">
    <cfRule type="expression" dxfId="291" priority="99">
      <formula>ABS(AC$16-AC$19)&gt;=1000</formula>
    </cfRule>
  </conditionalFormatting>
  <conditionalFormatting sqref="AD13:AD20">
    <cfRule type="expression" dxfId="290" priority="98">
      <formula>ABS(AD$16-AD$19)&gt;=1000</formula>
    </cfRule>
  </conditionalFormatting>
  <conditionalFormatting sqref="AE13:AE20">
    <cfRule type="expression" dxfId="289" priority="97">
      <formula>ABS(AE$16-AE$19)&gt;=1000</formula>
    </cfRule>
  </conditionalFormatting>
  <conditionalFormatting sqref="D22:D29">
    <cfRule type="expression" dxfId="288" priority="96">
      <formula>ABS(D$25-D$28)&gt;=1000</formula>
    </cfRule>
  </conditionalFormatting>
  <conditionalFormatting sqref="E22:E29">
    <cfRule type="expression" dxfId="287" priority="95">
      <formula>ABS(E$25-E$28)&gt;=1000</formula>
    </cfRule>
  </conditionalFormatting>
  <conditionalFormatting sqref="F22:F29">
    <cfRule type="expression" dxfId="286" priority="94">
      <formula>ABS(F$25-F$28)&gt;=1000</formula>
    </cfRule>
  </conditionalFormatting>
  <conditionalFormatting sqref="G22:G29">
    <cfRule type="expression" dxfId="285" priority="93">
      <formula>ABS(G$25-G$28)&gt;=1000</formula>
    </cfRule>
  </conditionalFormatting>
  <conditionalFormatting sqref="H22:H29">
    <cfRule type="expression" dxfId="284" priority="92">
      <formula>ABS(H$25-H$28)&gt;=1000</formula>
    </cfRule>
  </conditionalFormatting>
  <conditionalFormatting sqref="I22 I24:I29">
    <cfRule type="expression" dxfId="283" priority="91">
      <formula>ABS(I$25-I$28)&gt;=1000</formula>
    </cfRule>
  </conditionalFormatting>
  <conditionalFormatting sqref="J22:J29 K22">
    <cfRule type="expression" dxfId="282" priority="90">
      <formula>ABS(J$25-J$28)&gt;=1000</formula>
    </cfRule>
  </conditionalFormatting>
  <conditionalFormatting sqref="K23:K29 L25 L28">
    <cfRule type="expression" dxfId="281" priority="89">
      <formula>ABS(K$25-K$28)&gt;=1000</formula>
    </cfRule>
  </conditionalFormatting>
  <conditionalFormatting sqref="L22 L26:L27 L29 L24">
    <cfRule type="expression" dxfId="280" priority="88">
      <formula>ABS(L$25-L$28)&gt;=1000</formula>
    </cfRule>
  </conditionalFormatting>
  <conditionalFormatting sqref="M22:M29">
    <cfRule type="expression" dxfId="279" priority="87">
      <formula>ABS(M$25-M$28)&gt;=1000</formula>
    </cfRule>
  </conditionalFormatting>
  <conditionalFormatting sqref="N22:N29">
    <cfRule type="expression" dxfId="278" priority="86">
      <formula>ABS(N$25-N$28)&gt;=1000</formula>
    </cfRule>
  </conditionalFormatting>
  <conditionalFormatting sqref="O22:O29">
    <cfRule type="expression" dxfId="277" priority="85">
      <formula>ABS(O$25-O$28)&gt;=1000</formula>
    </cfRule>
  </conditionalFormatting>
  <conditionalFormatting sqref="P22:P29">
    <cfRule type="expression" dxfId="276" priority="84">
      <formula>ABS(P$25-P$28)&gt;=1000</formula>
    </cfRule>
  </conditionalFormatting>
  <conditionalFormatting sqref="Q22:Q29">
    <cfRule type="expression" dxfId="275" priority="83">
      <formula>ABS(Q$25-Q$28)&gt;=1000</formula>
    </cfRule>
  </conditionalFormatting>
  <conditionalFormatting sqref="R22:R29">
    <cfRule type="expression" dxfId="274" priority="82">
      <formula>ABS(R$25-R$28)&gt;=1000</formula>
    </cfRule>
  </conditionalFormatting>
  <conditionalFormatting sqref="S22:S29">
    <cfRule type="expression" dxfId="273" priority="81">
      <formula>ABS(S$25-S$28)&gt;=1000</formula>
    </cfRule>
  </conditionalFormatting>
  <conditionalFormatting sqref="T22:T29">
    <cfRule type="expression" dxfId="272" priority="80">
      <formula>ABS(T$25-T$28)&gt;=1000</formula>
    </cfRule>
  </conditionalFormatting>
  <conditionalFormatting sqref="U22:U29">
    <cfRule type="expression" dxfId="271" priority="79">
      <formula>ABS(U$25-U$28)&gt;=1000</formula>
    </cfRule>
  </conditionalFormatting>
  <conditionalFormatting sqref="V22:V29">
    <cfRule type="expression" dxfId="270" priority="78">
      <formula>ABS(V$25-V$28)&gt;=1000</formula>
    </cfRule>
  </conditionalFormatting>
  <conditionalFormatting sqref="W22:W29">
    <cfRule type="expression" dxfId="269" priority="77">
      <formula>ABS(W$25-W$28)&gt;=1000</formula>
    </cfRule>
  </conditionalFormatting>
  <conditionalFormatting sqref="X22:X29">
    <cfRule type="expression" dxfId="268" priority="76">
      <formula>ABS(X$25-X$28)&gt;=1000</formula>
    </cfRule>
  </conditionalFormatting>
  <conditionalFormatting sqref="Y22:Y29">
    <cfRule type="expression" dxfId="267" priority="75">
      <formula>ABS(Y$25-Y$28)&gt;=1000</formula>
    </cfRule>
  </conditionalFormatting>
  <conditionalFormatting sqref="I23">
    <cfRule type="expression" dxfId="266" priority="74">
      <formula>ABS(I$25-I$28)&gt;=1000</formula>
    </cfRule>
  </conditionalFormatting>
  <conditionalFormatting sqref="Q14">
    <cfRule type="expression" dxfId="265" priority="73">
      <formula>ABS(Q$16-Q$19)&gt;=1000</formula>
    </cfRule>
  </conditionalFormatting>
  <conditionalFormatting sqref="W14">
    <cfRule type="expression" dxfId="264" priority="72">
      <formula>ABS(W$16-W$19)&gt;=1000</formula>
    </cfRule>
  </conditionalFormatting>
  <conditionalFormatting sqref="X14">
    <cfRule type="expression" dxfId="263" priority="71">
      <formula>ABS(X$16-X$19)&gt;=1000</formula>
    </cfRule>
  </conditionalFormatting>
  <conditionalFormatting sqref="T10:Y10">
    <cfRule type="expression" dxfId="262" priority="70">
      <formula>ABS(T$7-T$10)&gt;=1000</formula>
    </cfRule>
  </conditionalFormatting>
  <conditionalFormatting sqref="W19">
    <cfRule type="expression" dxfId="261" priority="69">
      <formula>ABS(W$16-W$19)&gt;=1000</formula>
    </cfRule>
  </conditionalFormatting>
  <conditionalFormatting sqref="AC5">
    <cfRule type="expression" dxfId="260" priority="68">
      <formula>ABS(AC$7-AC$10)&gt;=1000</formula>
    </cfRule>
  </conditionalFormatting>
  <conditionalFormatting sqref="M14">
    <cfRule type="expression" dxfId="259" priority="67">
      <formula>ABS(M$16-M$19)&gt;=1000</formula>
    </cfRule>
  </conditionalFormatting>
  <conditionalFormatting sqref="M16">
    <cfRule type="expression" dxfId="258" priority="66">
      <formula>ABS(M$16-M$19)&gt;=1000</formula>
    </cfRule>
  </conditionalFormatting>
  <conditionalFormatting sqref="M19">
    <cfRule type="expression" dxfId="257" priority="65">
      <formula>ABS(M$16-M$19)&gt;=1000</formula>
    </cfRule>
  </conditionalFormatting>
  <conditionalFormatting sqref="K13:K20">
    <cfRule type="expression" dxfId="256" priority="64">
      <formula>ABS(K$16-K$19)&gt;=1000</formula>
    </cfRule>
  </conditionalFormatting>
  <conditionalFormatting sqref="AB14:AC14">
    <cfRule type="expression" dxfId="255" priority="63">
      <formula>ABS(AB$16-AB$19)&gt;=1000</formula>
    </cfRule>
  </conditionalFormatting>
  <conditionalFormatting sqref="M5">
    <cfRule type="expression" dxfId="254" priority="62">
      <formula>ABS(M$7-M$10)&gt;=1000</formula>
    </cfRule>
  </conditionalFormatting>
  <conditionalFormatting sqref="N5">
    <cfRule type="expression" dxfId="253" priority="61">
      <formula>ABS(N$7-N$10)&gt;=1000</formula>
    </cfRule>
  </conditionalFormatting>
  <conditionalFormatting sqref="L23">
    <cfRule type="expression" dxfId="252" priority="60">
      <formula>ABS(L$25-L$28)&gt;=1000</formula>
    </cfRule>
  </conditionalFormatting>
  <conditionalFormatting sqref="Y14">
    <cfRule type="expression" dxfId="251" priority="59">
      <formula>ABS(Y$16-Y$19)&gt;=1000</formula>
    </cfRule>
  </conditionalFormatting>
  <conditionalFormatting sqref="F14">
    <cfRule type="expression" dxfId="250" priority="58">
      <formula>ABS(F$16-F$19)&gt;=1000</formula>
    </cfRule>
  </conditionalFormatting>
  <conditionalFormatting sqref="H14">
    <cfRule type="expression" dxfId="249" priority="57">
      <formula>ABS(H$16-H$19)&gt;=1000</formula>
    </cfRule>
  </conditionalFormatting>
  <conditionalFormatting sqref="AD5">
    <cfRule type="expression" dxfId="248" priority="56">
      <formula>ABS(AD$7-AD$10)&gt;=1000</formula>
    </cfRule>
  </conditionalFormatting>
  <conditionalFormatting sqref="AE5">
    <cfRule type="expression" dxfId="247" priority="55">
      <formula>ABS(AE$7-AE$10)&gt;=1000</formula>
    </cfRule>
  </conditionalFormatting>
  <conditionalFormatting sqref="D5">
    <cfRule type="expression" dxfId="246" priority="54">
      <formula>ABS(D$7-D$10)&gt;=1000</formula>
    </cfRule>
  </conditionalFormatting>
  <conditionalFormatting sqref="E5:G5">
    <cfRule type="expression" dxfId="245" priority="53">
      <formula>ABS(E$7-E$10)&gt;=1000</formula>
    </cfRule>
  </conditionalFormatting>
  <conditionalFormatting sqref="H5">
    <cfRule type="expression" dxfId="244" priority="52">
      <formula>ABS(H$7-H$10)&gt;=1000</formula>
    </cfRule>
  </conditionalFormatting>
  <conditionalFormatting sqref="O4:P4">
    <cfRule type="expression" dxfId="243" priority="51">
      <formula>ABS(O$7-O$10)&gt;=1000</formula>
    </cfRule>
  </conditionalFormatting>
  <conditionalFormatting sqref="O5 O8 O11">
    <cfRule type="expression" dxfId="242" priority="50">
      <formula>ABS(O$7-O$10)&gt;=1000</formula>
    </cfRule>
  </conditionalFormatting>
  <conditionalFormatting sqref="P8 P11">
    <cfRule type="expression" dxfId="241" priority="49">
      <formula>ABS(P$7-P$10)&gt;=1000</formula>
    </cfRule>
  </conditionalFormatting>
  <conditionalFormatting sqref="J5">
    <cfRule type="expression" dxfId="240" priority="48">
      <formula>ABS(J$7-J$10)&gt;=1000</formula>
    </cfRule>
  </conditionalFormatting>
  <conditionalFormatting sqref="K5">
    <cfRule type="expression" dxfId="239" priority="47">
      <formula>ABS(K$7-K$10)&gt;=1000</formula>
    </cfRule>
  </conditionalFormatting>
  <conditionalFormatting sqref="D7:G7">
    <cfRule type="expression" dxfId="238" priority="46">
      <formula>ABS(D$7-D$10)&gt;=1000</formula>
    </cfRule>
  </conditionalFormatting>
  <conditionalFormatting sqref="H7:L7">
    <cfRule type="expression" dxfId="230" priority="38">
      <formula>ABS(H$7-H$10)&gt;=1000</formula>
    </cfRule>
  </conditionalFormatting>
  <conditionalFormatting sqref="M7">
    <cfRule type="expression" dxfId="229" priority="37">
      <formula>ABS(M$7-M$10)&gt;=1000</formula>
    </cfRule>
  </conditionalFormatting>
  <conditionalFormatting sqref="O7:P7">
    <cfRule type="expression" dxfId="228" priority="36">
      <formula>ABS(O$7-O$10)&gt;=1000</formula>
    </cfRule>
  </conditionalFormatting>
  <conditionalFormatting sqref="N7">
    <cfRule type="expression" dxfId="227" priority="35">
      <formula>ABS(N$7-N$10)&gt;=1000</formula>
    </cfRule>
  </conditionalFormatting>
  <conditionalFormatting sqref="H6">
    <cfRule type="expression" dxfId="221" priority="29">
      <formula>ABS(H$7-H$10)&gt;=1000</formula>
    </cfRule>
  </conditionalFormatting>
  <conditionalFormatting sqref="J6">
    <cfRule type="expression" dxfId="220" priority="28">
      <formula>ABS(J$7-J$10)&gt;=1000</formula>
    </cfRule>
  </conditionalFormatting>
  <conditionalFormatting sqref="K6">
    <cfRule type="expression" dxfId="219" priority="27">
      <formula>ABS(K$7-K$10)&gt;=1000</formula>
    </cfRule>
  </conditionalFormatting>
  <conditionalFormatting sqref="L6">
    <cfRule type="expression" dxfId="218" priority="26">
      <formula>ABS(L$7-L$10)&gt;=1000</formula>
    </cfRule>
  </conditionalFormatting>
  <conditionalFormatting sqref="M6">
    <cfRule type="expression" dxfId="217" priority="25">
      <formula>ABS(M$7-M$10)&gt;=1000</formula>
    </cfRule>
  </conditionalFormatting>
  <conditionalFormatting sqref="N6">
    <cfRule type="expression" dxfId="216" priority="24">
      <formula>ABS(N$7-N$10)&gt;=1000</formula>
    </cfRule>
  </conditionalFormatting>
  <conditionalFormatting sqref="O6">
    <cfRule type="expression" dxfId="215" priority="23">
      <formula>ABS(O$7-O$10)&gt;=1000</formula>
    </cfRule>
  </conditionalFormatting>
  <conditionalFormatting sqref="P6">
    <cfRule type="expression" dxfId="214" priority="22">
      <formula>ABS(P$7-P$10)&gt;=1000</formula>
    </cfRule>
  </conditionalFormatting>
  <conditionalFormatting sqref="I6">
    <cfRule type="expression" dxfId="213" priority="21">
      <formula>ABS(I$7-I$10)&gt;=1000</formula>
    </cfRule>
  </conditionalFormatting>
  <conditionalFormatting sqref="H9">
    <cfRule type="expression" dxfId="212" priority="20">
      <formula>ABS(H$7-H$10)&gt;=1000</formula>
    </cfRule>
  </conditionalFormatting>
  <conditionalFormatting sqref="J9">
    <cfRule type="expression" dxfId="211" priority="19">
      <formula>ABS(J$7-J$10)&gt;=1000</formula>
    </cfRule>
  </conditionalFormatting>
  <conditionalFormatting sqref="K9">
    <cfRule type="expression" dxfId="210" priority="18">
      <formula>ABS(K$7-K$10)&gt;=1000</formula>
    </cfRule>
  </conditionalFormatting>
  <conditionalFormatting sqref="L9">
    <cfRule type="expression" dxfId="209" priority="17">
      <formula>ABS(L$7-L$10)&gt;=1000</formula>
    </cfRule>
  </conditionalFormatting>
  <conditionalFormatting sqref="M9">
    <cfRule type="expression" dxfId="208" priority="16">
      <formula>ABS(M$7-M$10)&gt;=1000</formula>
    </cfRule>
  </conditionalFormatting>
  <conditionalFormatting sqref="N9">
    <cfRule type="expression" dxfId="207" priority="15">
      <formula>ABS(N$7-N$10)&gt;=1000</formula>
    </cfRule>
  </conditionalFormatting>
  <conditionalFormatting sqref="O9">
    <cfRule type="expression" dxfId="206" priority="14">
      <formula>ABS(O$7-O$10)&gt;=1000</formula>
    </cfRule>
  </conditionalFormatting>
  <conditionalFormatting sqref="P9">
    <cfRule type="expression" dxfId="205" priority="13">
      <formula>ABS(P$7-P$10)&gt;=1000</formula>
    </cfRule>
  </conditionalFormatting>
  <conditionalFormatting sqref="I9">
    <cfRule type="expression" dxfId="204" priority="12">
      <formula>ABS(I$7-I$10)&gt;=1000</formula>
    </cfRule>
  </conditionalFormatting>
  <conditionalFormatting sqref="P5">
    <cfRule type="expression" dxfId="203" priority="11">
      <formula>ABS(P$7-P$10)&gt;=1000</formula>
    </cfRule>
  </conditionalFormatting>
  <conditionalFormatting sqref="I5">
    <cfRule type="expression" dxfId="202" priority="10">
      <formula>ABS(I$7-I$10)&gt;=1000</formula>
    </cfRule>
  </conditionalFormatting>
  <conditionalFormatting sqref="D10:G10">
    <cfRule type="expression" dxfId="189" priority="5">
      <formula>ABS(D$7-D$10)&gt;=1000</formula>
    </cfRule>
  </conditionalFormatting>
  <conditionalFormatting sqref="H10:L10">
    <cfRule type="expression" dxfId="188" priority="4">
      <formula>ABS(H$7-H$10)&gt;=1000</formula>
    </cfRule>
  </conditionalFormatting>
  <conditionalFormatting sqref="M10">
    <cfRule type="expression" dxfId="187" priority="3">
      <formula>ABS(M$7-M$10)&gt;=1000</formula>
    </cfRule>
  </conditionalFormatting>
  <conditionalFormatting sqref="O10:P10">
    <cfRule type="expression" dxfId="186" priority="2">
      <formula>ABS(O$7-O$10)&gt;=1000</formula>
    </cfRule>
  </conditionalFormatting>
  <conditionalFormatting sqref="N10">
    <cfRule type="expression" dxfId="185" priority="1">
      <formula>ABS(N$7-N$10)&gt;=1000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已命名的範圍</vt:lpstr>
      </vt:variant>
      <vt:variant>
        <vt:i4>25</vt:i4>
      </vt:variant>
    </vt:vector>
  </HeadingPairs>
  <TitlesOfParts>
    <vt:vector size="51" baseType="lpstr">
      <vt:lpstr>新增</vt:lpstr>
      <vt:lpstr>工作表1</vt:lpstr>
      <vt:lpstr>密度</vt:lpstr>
      <vt:lpstr>mm計算</vt:lpstr>
      <vt:lpstr>1.30 %計算</vt:lpstr>
      <vt:lpstr>4.30</vt:lpstr>
      <vt:lpstr>5.4</vt:lpstr>
      <vt:lpstr>5.5</vt:lpstr>
      <vt:lpstr>5.6</vt:lpstr>
      <vt:lpstr>5.7</vt:lpstr>
      <vt:lpstr>5.8</vt:lpstr>
      <vt:lpstr>5.11</vt:lpstr>
      <vt:lpstr>5.12</vt:lpstr>
      <vt:lpstr>5.13</vt:lpstr>
      <vt:lpstr>5.14</vt:lpstr>
      <vt:lpstr>5.15</vt:lpstr>
      <vt:lpstr>5.18</vt:lpstr>
      <vt:lpstr>5.19</vt:lpstr>
      <vt:lpstr>5.20</vt:lpstr>
      <vt:lpstr>5.21</vt:lpstr>
      <vt:lpstr>5.22</vt:lpstr>
      <vt:lpstr>5.25</vt:lpstr>
      <vt:lpstr>5.26</vt:lpstr>
      <vt:lpstr>5.27</vt:lpstr>
      <vt:lpstr>5.28</vt:lpstr>
      <vt:lpstr>5.29 </vt:lpstr>
      <vt:lpstr>'1.30 %計算'!Print_Area</vt:lpstr>
      <vt:lpstr>'4.30'!Print_Area</vt:lpstr>
      <vt:lpstr>'5.11'!Print_Area</vt:lpstr>
      <vt:lpstr>'5.12'!Print_Area</vt:lpstr>
      <vt:lpstr>'5.13'!Print_Area</vt:lpstr>
      <vt:lpstr>'5.14'!Print_Area</vt:lpstr>
      <vt:lpstr>'5.15'!Print_Area</vt:lpstr>
      <vt:lpstr>'5.18'!Print_Area</vt:lpstr>
      <vt:lpstr>'5.19'!Print_Area</vt:lpstr>
      <vt:lpstr>'5.20'!Print_Area</vt:lpstr>
      <vt:lpstr>'5.21'!Print_Area</vt:lpstr>
      <vt:lpstr>'5.22'!Print_Area</vt:lpstr>
      <vt:lpstr>'5.25'!Print_Area</vt:lpstr>
      <vt:lpstr>'5.26'!Print_Area</vt:lpstr>
      <vt:lpstr>'5.27'!Print_Area</vt:lpstr>
      <vt:lpstr>'5.28'!Print_Area</vt:lpstr>
      <vt:lpstr>'5.29 '!Print_Area</vt:lpstr>
      <vt:lpstr>'5.4'!Print_Area</vt:lpstr>
      <vt:lpstr>'5.5'!Print_Area</vt:lpstr>
      <vt:lpstr>'5.6'!Print_Area</vt:lpstr>
      <vt:lpstr>'5.7'!Print_Area</vt:lpstr>
      <vt:lpstr>'5.8'!Print_Area</vt:lpstr>
      <vt:lpstr>mm計算!Print_Area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鴻勝化學-張立杰</cp:lastModifiedBy>
  <cp:lastPrinted>2026-02-26T11:26:55Z</cp:lastPrinted>
  <dcterms:created xsi:type="dcterms:W3CDTF">2006-09-16T00:00:00Z</dcterms:created>
  <dcterms:modified xsi:type="dcterms:W3CDTF">2026-06-23T04:08:32Z</dcterms:modified>
</cp:coreProperties>
</file>