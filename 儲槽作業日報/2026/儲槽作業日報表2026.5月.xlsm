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23.xml" ContentType="application/vnd.openxmlformats-officedocument.drawing+xml"/>
  <Override PartName="/xl/ctrlProps/ctrlProp22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2026\"/>
    </mc:Choice>
  </mc:AlternateContent>
  <bookViews>
    <workbookView xWindow="0" yWindow="0" windowWidth="21600" windowHeight="8256" firstSheet="7" activeTab="23"/>
  </bookViews>
  <sheets>
    <sheet name="新增" sheetId="1727" r:id="rId1"/>
    <sheet name="密度" sheetId="13" r:id="rId2"/>
    <sheet name="4.30" sheetId="2158" r:id="rId3"/>
    <sheet name="5.1" sheetId="2159" r:id="rId4"/>
    <sheet name="5.4" sheetId="2160" r:id="rId5"/>
    <sheet name="5.5" sheetId="2161" r:id="rId6"/>
    <sheet name="5.6" sheetId="2162" r:id="rId7"/>
    <sheet name="5.7" sheetId="2163" r:id="rId8"/>
    <sheet name="5.8" sheetId="2164" r:id="rId9"/>
    <sheet name="5.11" sheetId="2165" r:id="rId10"/>
    <sheet name="5.12" sheetId="2166" r:id="rId11"/>
    <sheet name="5.13" sheetId="2167" r:id="rId12"/>
    <sheet name="5.14" sheetId="2168" r:id="rId13"/>
    <sheet name="5.15" sheetId="2169" r:id="rId14"/>
    <sheet name="5.18" sheetId="2170" r:id="rId15"/>
    <sheet name="5.19" sheetId="2171" r:id="rId16"/>
    <sheet name="5.20" sheetId="2172" r:id="rId17"/>
    <sheet name="5.21" sheetId="2173" r:id="rId18"/>
    <sheet name="5.22" sheetId="2174" r:id="rId19"/>
    <sheet name="5.25" sheetId="2175" r:id="rId20"/>
    <sheet name="5.26" sheetId="2176" r:id="rId21"/>
    <sheet name="5.27" sheetId="2177" r:id="rId22"/>
    <sheet name="5.28" sheetId="2178" r:id="rId23"/>
    <sheet name="5.29" sheetId="2179" r:id="rId24"/>
  </sheets>
  <definedNames>
    <definedName name="_xlnm.Print_Area" localSheetId="2">'4.30'!$B$1:$AE$36</definedName>
    <definedName name="_xlnm.Print_Area" localSheetId="3">'5.1'!$B$1:$AE$36</definedName>
    <definedName name="_xlnm.Print_Area" localSheetId="9">'5.11'!$B$1:$AE$36</definedName>
    <definedName name="_xlnm.Print_Area" localSheetId="10">'5.12'!$B$1:$AE$36</definedName>
    <definedName name="_xlnm.Print_Area" localSheetId="11">'5.13'!$B$1:$AE$36</definedName>
    <definedName name="_xlnm.Print_Area" localSheetId="12">'5.14'!$B$1:$AE$36</definedName>
    <definedName name="_xlnm.Print_Area" localSheetId="13">'5.15'!$B$1:$AE$36</definedName>
    <definedName name="_xlnm.Print_Area" localSheetId="14">'5.18'!$B$1:$AE$36</definedName>
    <definedName name="_xlnm.Print_Area" localSheetId="15">'5.19'!$B$1:$AE$36</definedName>
    <definedName name="_xlnm.Print_Area" localSheetId="16">'5.20'!$B$1:$AE$36</definedName>
    <definedName name="_xlnm.Print_Area" localSheetId="17">'5.21'!$B$1:$AE$36</definedName>
    <definedName name="_xlnm.Print_Area" localSheetId="18">'5.22'!$B$1:$AE$36</definedName>
    <definedName name="_xlnm.Print_Area" localSheetId="19">'5.25'!$B$1:$AE$36</definedName>
    <definedName name="_xlnm.Print_Area" localSheetId="20">'5.26'!$B$1:$AE$36</definedName>
    <definedName name="_xlnm.Print_Area" localSheetId="21">'5.27'!$B$1:$AE$36</definedName>
    <definedName name="_xlnm.Print_Area" localSheetId="22">'5.28'!$B$1:$AE$36</definedName>
    <definedName name="_xlnm.Print_Area" localSheetId="23">'5.29'!$B$1:$AE$36</definedName>
    <definedName name="_xlnm.Print_Area" localSheetId="4">'5.4'!$B$1:$AE$36</definedName>
    <definedName name="_xlnm.Print_Area" localSheetId="5">'5.5'!$B$1:$AE$36</definedName>
    <definedName name="_xlnm.Print_Area" localSheetId="6">'5.6'!$B$1:$AE$36</definedName>
    <definedName name="_xlnm.Print_Area" localSheetId="7">'5.7'!$B$1:$AE$36</definedName>
    <definedName name="_xlnm.Print_Area" localSheetId="8">'5.8'!$B$1:$AE$36</definedName>
    <definedName name="_xlnm.Print_Area" localSheetId="1">密度!$A$1:$W$61</definedName>
    <definedName name="_xlnm.Print_Area" localSheetId="0">新增!$A$1:$M$45</definedName>
    <definedName name="Z_512059F6_F0DC_4056_8FD0_37088AB81F9E_.wvu.PrintArea" localSheetId="2" hidden="1">'4.30'!$B$3:$AE$36</definedName>
    <definedName name="Z_512059F6_F0DC_4056_8FD0_37088AB81F9E_.wvu.PrintArea" localSheetId="3" hidden="1">'5.1'!$B$3:$AE$36</definedName>
    <definedName name="Z_512059F6_F0DC_4056_8FD0_37088AB81F9E_.wvu.PrintArea" localSheetId="9" hidden="1">'5.11'!$B$3:$AE$36</definedName>
    <definedName name="Z_512059F6_F0DC_4056_8FD0_37088AB81F9E_.wvu.PrintArea" localSheetId="10" hidden="1">'5.12'!$B$3:$AE$36</definedName>
    <definedName name="Z_512059F6_F0DC_4056_8FD0_37088AB81F9E_.wvu.PrintArea" localSheetId="11" hidden="1">'5.13'!$B$3:$AE$36</definedName>
    <definedName name="Z_512059F6_F0DC_4056_8FD0_37088AB81F9E_.wvu.PrintArea" localSheetId="12" hidden="1">'5.14'!$B$3:$AE$36</definedName>
    <definedName name="Z_512059F6_F0DC_4056_8FD0_37088AB81F9E_.wvu.PrintArea" localSheetId="13" hidden="1">'5.15'!$B$3:$AE$36</definedName>
    <definedName name="Z_512059F6_F0DC_4056_8FD0_37088AB81F9E_.wvu.PrintArea" localSheetId="14" hidden="1">'5.18'!$B$3:$AE$36</definedName>
    <definedName name="Z_512059F6_F0DC_4056_8FD0_37088AB81F9E_.wvu.PrintArea" localSheetId="15" hidden="1">'5.19'!$B$3:$AE$36</definedName>
    <definedName name="Z_512059F6_F0DC_4056_8FD0_37088AB81F9E_.wvu.PrintArea" localSheetId="16" hidden="1">'5.20'!$B$3:$AE$36</definedName>
    <definedName name="Z_512059F6_F0DC_4056_8FD0_37088AB81F9E_.wvu.PrintArea" localSheetId="17" hidden="1">'5.21'!$B$3:$AE$36</definedName>
    <definedName name="Z_512059F6_F0DC_4056_8FD0_37088AB81F9E_.wvu.PrintArea" localSheetId="18" hidden="1">'5.22'!$B$3:$AE$36</definedName>
    <definedName name="Z_512059F6_F0DC_4056_8FD0_37088AB81F9E_.wvu.PrintArea" localSheetId="19" hidden="1">'5.25'!$B$3:$AE$36</definedName>
    <definedName name="Z_512059F6_F0DC_4056_8FD0_37088AB81F9E_.wvu.PrintArea" localSheetId="20" hidden="1">'5.26'!$B$3:$AE$36</definedName>
    <definedName name="Z_512059F6_F0DC_4056_8FD0_37088AB81F9E_.wvu.PrintArea" localSheetId="21" hidden="1">'5.27'!$B$3:$AE$36</definedName>
    <definedName name="Z_512059F6_F0DC_4056_8FD0_37088AB81F9E_.wvu.PrintArea" localSheetId="22" hidden="1">'5.28'!$B$3:$AE$36</definedName>
    <definedName name="Z_512059F6_F0DC_4056_8FD0_37088AB81F9E_.wvu.PrintArea" localSheetId="23" hidden="1">'5.29'!$B$3:$AE$36</definedName>
    <definedName name="Z_512059F6_F0DC_4056_8FD0_37088AB81F9E_.wvu.PrintArea" localSheetId="4" hidden="1">'5.4'!$B$3:$AE$36</definedName>
    <definedName name="Z_512059F6_F0DC_4056_8FD0_37088AB81F9E_.wvu.PrintArea" localSheetId="5" hidden="1">'5.5'!$B$3:$AE$36</definedName>
    <definedName name="Z_512059F6_F0DC_4056_8FD0_37088AB81F9E_.wvu.PrintArea" localSheetId="6" hidden="1">'5.6'!$B$3:$AE$36</definedName>
    <definedName name="Z_512059F6_F0DC_4056_8FD0_37088AB81F9E_.wvu.PrintArea" localSheetId="7" hidden="1">'5.7'!$B$3:$AE$36</definedName>
    <definedName name="Z_512059F6_F0DC_4056_8FD0_37088AB81F9E_.wvu.PrintArea" localSheetId="8" hidden="1">'5.8'!$B$3:$AE$36</definedName>
    <definedName name="Z_68643476_8805_447E_8170_A582EA1D0343_.wvu.PrintArea" localSheetId="2" hidden="1">'4.30'!$B$3:$AE$36</definedName>
    <definedName name="Z_68643476_8805_447E_8170_A582EA1D0343_.wvu.PrintArea" localSheetId="3" hidden="1">'5.1'!$B$3:$AE$36</definedName>
    <definedName name="Z_68643476_8805_447E_8170_A582EA1D0343_.wvu.PrintArea" localSheetId="9" hidden="1">'5.11'!$B$3:$AE$36</definedName>
    <definedName name="Z_68643476_8805_447E_8170_A582EA1D0343_.wvu.PrintArea" localSheetId="10" hidden="1">'5.12'!$B$3:$AE$36</definedName>
    <definedName name="Z_68643476_8805_447E_8170_A582EA1D0343_.wvu.PrintArea" localSheetId="11" hidden="1">'5.13'!$B$3:$AE$36</definedName>
    <definedName name="Z_68643476_8805_447E_8170_A582EA1D0343_.wvu.PrintArea" localSheetId="12" hidden="1">'5.14'!$B$3:$AE$36</definedName>
    <definedName name="Z_68643476_8805_447E_8170_A582EA1D0343_.wvu.PrintArea" localSheetId="13" hidden="1">'5.15'!$B$3:$AE$36</definedName>
    <definedName name="Z_68643476_8805_447E_8170_A582EA1D0343_.wvu.PrintArea" localSheetId="14" hidden="1">'5.18'!$B$3:$AE$36</definedName>
    <definedName name="Z_68643476_8805_447E_8170_A582EA1D0343_.wvu.PrintArea" localSheetId="15" hidden="1">'5.19'!$B$3:$AE$36</definedName>
    <definedName name="Z_68643476_8805_447E_8170_A582EA1D0343_.wvu.PrintArea" localSheetId="16" hidden="1">'5.20'!$B$3:$AE$36</definedName>
    <definedName name="Z_68643476_8805_447E_8170_A582EA1D0343_.wvu.PrintArea" localSheetId="17" hidden="1">'5.21'!$B$3:$AE$36</definedName>
    <definedName name="Z_68643476_8805_447E_8170_A582EA1D0343_.wvu.PrintArea" localSheetId="18" hidden="1">'5.22'!$B$3:$AE$36</definedName>
    <definedName name="Z_68643476_8805_447E_8170_A582EA1D0343_.wvu.PrintArea" localSheetId="19" hidden="1">'5.25'!$B$3:$AE$36</definedName>
    <definedName name="Z_68643476_8805_447E_8170_A582EA1D0343_.wvu.PrintArea" localSheetId="20" hidden="1">'5.26'!$B$3:$AE$36</definedName>
    <definedName name="Z_68643476_8805_447E_8170_A582EA1D0343_.wvu.PrintArea" localSheetId="21" hidden="1">'5.27'!$B$3:$AE$36</definedName>
    <definedName name="Z_68643476_8805_447E_8170_A582EA1D0343_.wvu.PrintArea" localSheetId="22" hidden="1">'5.28'!$B$3:$AE$36</definedName>
    <definedName name="Z_68643476_8805_447E_8170_A582EA1D0343_.wvu.PrintArea" localSheetId="23" hidden="1">'5.29'!$B$3:$AE$36</definedName>
    <definedName name="Z_68643476_8805_447E_8170_A582EA1D0343_.wvu.PrintArea" localSheetId="4" hidden="1">'5.4'!$B$3:$AE$36</definedName>
    <definedName name="Z_68643476_8805_447E_8170_A582EA1D0343_.wvu.PrintArea" localSheetId="5" hidden="1">'5.5'!$B$3:$AE$36</definedName>
    <definedName name="Z_68643476_8805_447E_8170_A582EA1D0343_.wvu.PrintArea" localSheetId="6" hidden="1">'5.6'!$B$3:$AE$36</definedName>
    <definedName name="Z_68643476_8805_447E_8170_A582EA1D0343_.wvu.PrintArea" localSheetId="7" hidden="1">'5.7'!$B$3:$AE$36</definedName>
    <definedName name="Z_68643476_8805_447E_8170_A582EA1D0343_.wvu.PrintArea" localSheetId="8" hidden="1">'5.8'!$B$3:$AE$36</definedName>
    <definedName name="Z_8E5926ED_4EBD_4129_B8FF_799CC47580D7_.wvu.PrintArea" localSheetId="2" hidden="1">'4.30'!$B$3:$AE$36</definedName>
    <definedName name="Z_8E5926ED_4EBD_4129_B8FF_799CC47580D7_.wvu.PrintArea" localSheetId="3" hidden="1">'5.1'!$B$3:$AE$36</definedName>
    <definedName name="Z_8E5926ED_4EBD_4129_B8FF_799CC47580D7_.wvu.PrintArea" localSheetId="9" hidden="1">'5.11'!$B$3:$AE$36</definedName>
    <definedName name="Z_8E5926ED_4EBD_4129_B8FF_799CC47580D7_.wvu.PrintArea" localSheetId="10" hidden="1">'5.12'!$B$3:$AE$36</definedName>
    <definedName name="Z_8E5926ED_4EBD_4129_B8FF_799CC47580D7_.wvu.PrintArea" localSheetId="11" hidden="1">'5.13'!$B$3:$AE$36</definedName>
    <definedName name="Z_8E5926ED_4EBD_4129_B8FF_799CC47580D7_.wvu.PrintArea" localSheetId="12" hidden="1">'5.14'!$B$3:$AE$36</definedName>
    <definedName name="Z_8E5926ED_4EBD_4129_B8FF_799CC47580D7_.wvu.PrintArea" localSheetId="13" hidden="1">'5.15'!$B$3:$AE$36</definedName>
    <definedName name="Z_8E5926ED_4EBD_4129_B8FF_799CC47580D7_.wvu.PrintArea" localSheetId="14" hidden="1">'5.18'!$B$3:$AE$36</definedName>
    <definedName name="Z_8E5926ED_4EBD_4129_B8FF_799CC47580D7_.wvu.PrintArea" localSheetId="15" hidden="1">'5.19'!$B$3:$AE$36</definedName>
    <definedName name="Z_8E5926ED_4EBD_4129_B8FF_799CC47580D7_.wvu.PrintArea" localSheetId="16" hidden="1">'5.20'!$B$3:$AE$36</definedName>
    <definedName name="Z_8E5926ED_4EBD_4129_B8FF_799CC47580D7_.wvu.PrintArea" localSheetId="17" hidden="1">'5.21'!$B$3:$AE$36</definedName>
    <definedName name="Z_8E5926ED_4EBD_4129_B8FF_799CC47580D7_.wvu.PrintArea" localSheetId="18" hidden="1">'5.22'!$B$3:$AE$36</definedName>
    <definedName name="Z_8E5926ED_4EBD_4129_B8FF_799CC47580D7_.wvu.PrintArea" localSheetId="19" hidden="1">'5.25'!$B$3:$AE$36</definedName>
    <definedName name="Z_8E5926ED_4EBD_4129_B8FF_799CC47580D7_.wvu.PrintArea" localSheetId="20" hidden="1">'5.26'!$B$3:$AE$36</definedName>
    <definedName name="Z_8E5926ED_4EBD_4129_B8FF_799CC47580D7_.wvu.PrintArea" localSheetId="21" hidden="1">'5.27'!$B$3:$AE$36</definedName>
    <definedName name="Z_8E5926ED_4EBD_4129_B8FF_799CC47580D7_.wvu.PrintArea" localSheetId="22" hidden="1">'5.28'!$B$3:$AE$36</definedName>
    <definedName name="Z_8E5926ED_4EBD_4129_B8FF_799CC47580D7_.wvu.PrintArea" localSheetId="23" hidden="1">'5.29'!$B$3:$AE$36</definedName>
    <definedName name="Z_8E5926ED_4EBD_4129_B8FF_799CC47580D7_.wvu.PrintArea" localSheetId="4" hidden="1">'5.4'!$B$3:$AE$36</definedName>
    <definedName name="Z_8E5926ED_4EBD_4129_B8FF_799CC47580D7_.wvu.PrintArea" localSheetId="5" hidden="1">'5.5'!$B$3:$AE$36</definedName>
    <definedName name="Z_8E5926ED_4EBD_4129_B8FF_799CC47580D7_.wvu.PrintArea" localSheetId="6" hidden="1">'5.6'!$B$3:$AE$36</definedName>
    <definedName name="Z_8E5926ED_4EBD_4129_B8FF_799CC47580D7_.wvu.PrintArea" localSheetId="7" hidden="1">'5.7'!$B$3:$AE$36</definedName>
    <definedName name="Z_8E5926ED_4EBD_4129_B8FF_799CC47580D7_.wvu.PrintArea" localSheetId="8" hidden="1">'5.8'!$B$3:$AE$36</definedName>
    <definedName name="Z_8FA8B620_C56C_11DB_A857_00055D5FD5FF_.wvu.PrintArea" localSheetId="2" hidden="1">'4.30'!$B$3:$AE$36</definedName>
    <definedName name="Z_8FA8B620_C56C_11DB_A857_00055D5FD5FF_.wvu.PrintArea" localSheetId="3" hidden="1">'5.1'!$B$3:$AE$36</definedName>
    <definedName name="Z_8FA8B620_C56C_11DB_A857_00055D5FD5FF_.wvu.PrintArea" localSheetId="9" hidden="1">'5.11'!$B$3:$AE$36</definedName>
    <definedName name="Z_8FA8B620_C56C_11DB_A857_00055D5FD5FF_.wvu.PrintArea" localSheetId="10" hidden="1">'5.12'!$B$3:$AE$36</definedName>
    <definedName name="Z_8FA8B620_C56C_11DB_A857_00055D5FD5FF_.wvu.PrintArea" localSheetId="11" hidden="1">'5.13'!$B$3:$AE$36</definedName>
    <definedName name="Z_8FA8B620_C56C_11DB_A857_00055D5FD5FF_.wvu.PrintArea" localSheetId="12" hidden="1">'5.14'!$B$3:$AE$36</definedName>
    <definedName name="Z_8FA8B620_C56C_11DB_A857_00055D5FD5FF_.wvu.PrintArea" localSheetId="13" hidden="1">'5.15'!$B$3:$AE$36</definedName>
    <definedName name="Z_8FA8B620_C56C_11DB_A857_00055D5FD5FF_.wvu.PrintArea" localSheetId="14" hidden="1">'5.18'!$B$3:$AE$36</definedName>
    <definedName name="Z_8FA8B620_C56C_11DB_A857_00055D5FD5FF_.wvu.PrintArea" localSheetId="15" hidden="1">'5.19'!$B$3:$AE$36</definedName>
    <definedName name="Z_8FA8B620_C56C_11DB_A857_00055D5FD5FF_.wvu.PrintArea" localSheetId="16" hidden="1">'5.20'!$B$3:$AE$36</definedName>
    <definedName name="Z_8FA8B620_C56C_11DB_A857_00055D5FD5FF_.wvu.PrintArea" localSheetId="17" hidden="1">'5.21'!$B$3:$AE$36</definedName>
    <definedName name="Z_8FA8B620_C56C_11DB_A857_00055D5FD5FF_.wvu.PrintArea" localSheetId="18" hidden="1">'5.22'!$B$3:$AE$36</definedName>
    <definedName name="Z_8FA8B620_C56C_11DB_A857_00055D5FD5FF_.wvu.PrintArea" localSheetId="19" hidden="1">'5.25'!$B$3:$AE$36</definedName>
    <definedName name="Z_8FA8B620_C56C_11DB_A857_00055D5FD5FF_.wvu.PrintArea" localSheetId="20" hidden="1">'5.26'!$B$3:$AE$36</definedName>
    <definedName name="Z_8FA8B620_C56C_11DB_A857_00055D5FD5FF_.wvu.PrintArea" localSheetId="21" hidden="1">'5.27'!$B$3:$AE$36</definedName>
    <definedName name="Z_8FA8B620_C56C_11DB_A857_00055D5FD5FF_.wvu.PrintArea" localSheetId="22" hidden="1">'5.28'!$B$3:$AE$36</definedName>
    <definedName name="Z_8FA8B620_C56C_11DB_A857_00055D5FD5FF_.wvu.PrintArea" localSheetId="23" hidden="1">'5.29'!$B$3:$AE$36</definedName>
    <definedName name="Z_8FA8B620_C56C_11DB_A857_00055D5FD5FF_.wvu.PrintArea" localSheetId="4" hidden="1">'5.4'!$B$3:$AE$36</definedName>
    <definedName name="Z_8FA8B620_C56C_11DB_A857_00055D5FD5FF_.wvu.PrintArea" localSheetId="5" hidden="1">'5.5'!$B$3:$AE$36</definedName>
    <definedName name="Z_8FA8B620_C56C_11DB_A857_00055D5FD5FF_.wvu.PrintArea" localSheetId="6" hidden="1">'5.6'!$B$3:$AE$36</definedName>
    <definedName name="Z_8FA8B620_C56C_11DB_A857_00055D5FD5FF_.wvu.PrintArea" localSheetId="7" hidden="1">'5.7'!$B$3:$AE$36</definedName>
    <definedName name="Z_8FA8B620_C56C_11DB_A857_00055D5FD5FF_.wvu.PrintArea" localSheetId="8" hidden="1">'5.8'!$B$3:$AE$36</definedName>
    <definedName name="Z_A3DB5619_047E_4CE2_8C39_700CFD25F2CB_.wvu.PrintArea" localSheetId="2" hidden="1">'4.30'!$B$3:$AE$36</definedName>
    <definedName name="Z_A3DB5619_047E_4CE2_8C39_700CFD25F2CB_.wvu.PrintArea" localSheetId="3" hidden="1">'5.1'!$B$3:$AE$36</definedName>
    <definedName name="Z_A3DB5619_047E_4CE2_8C39_700CFD25F2CB_.wvu.PrintArea" localSheetId="9" hidden="1">'5.11'!$B$3:$AE$36</definedName>
    <definedName name="Z_A3DB5619_047E_4CE2_8C39_700CFD25F2CB_.wvu.PrintArea" localSheetId="10" hidden="1">'5.12'!$B$3:$AE$36</definedName>
    <definedName name="Z_A3DB5619_047E_4CE2_8C39_700CFD25F2CB_.wvu.PrintArea" localSheetId="11" hidden="1">'5.13'!$B$3:$AE$36</definedName>
    <definedName name="Z_A3DB5619_047E_4CE2_8C39_700CFD25F2CB_.wvu.PrintArea" localSheetId="12" hidden="1">'5.14'!$B$3:$AE$36</definedName>
    <definedName name="Z_A3DB5619_047E_4CE2_8C39_700CFD25F2CB_.wvu.PrintArea" localSheetId="13" hidden="1">'5.15'!$B$3:$AE$36</definedName>
    <definedName name="Z_A3DB5619_047E_4CE2_8C39_700CFD25F2CB_.wvu.PrintArea" localSheetId="14" hidden="1">'5.18'!$B$3:$AE$36</definedName>
    <definedName name="Z_A3DB5619_047E_4CE2_8C39_700CFD25F2CB_.wvu.PrintArea" localSheetId="15" hidden="1">'5.19'!$B$3:$AE$36</definedName>
    <definedName name="Z_A3DB5619_047E_4CE2_8C39_700CFD25F2CB_.wvu.PrintArea" localSheetId="16" hidden="1">'5.20'!$B$3:$AE$36</definedName>
    <definedName name="Z_A3DB5619_047E_4CE2_8C39_700CFD25F2CB_.wvu.PrintArea" localSheetId="17" hidden="1">'5.21'!$B$3:$AE$36</definedName>
    <definedName name="Z_A3DB5619_047E_4CE2_8C39_700CFD25F2CB_.wvu.PrintArea" localSheetId="18" hidden="1">'5.22'!$B$3:$AE$36</definedName>
    <definedName name="Z_A3DB5619_047E_4CE2_8C39_700CFD25F2CB_.wvu.PrintArea" localSheetId="19" hidden="1">'5.25'!$B$3:$AE$36</definedName>
    <definedName name="Z_A3DB5619_047E_4CE2_8C39_700CFD25F2CB_.wvu.PrintArea" localSheetId="20" hidden="1">'5.26'!$B$3:$AE$36</definedName>
    <definedName name="Z_A3DB5619_047E_4CE2_8C39_700CFD25F2CB_.wvu.PrintArea" localSheetId="21" hidden="1">'5.27'!$B$3:$AE$36</definedName>
    <definedName name="Z_A3DB5619_047E_4CE2_8C39_700CFD25F2CB_.wvu.PrintArea" localSheetId="22" hidden="1">'5.28'!$B$3:$AE$36</definedName>
    <definedName name="Z_A3DB5619_047E_4CE2_8C39_700CFD25F2CB_.wvu.PrintArea" localSheetId="23" hidden="1">'5.29'!$B$3:$AE$36</definedName>
    <definedName name="Z_A3DB5619_047E_4CE2_8C39_700CFD25F2CB_.wvu.PrintArea" localSheetId="4" hidden="1">'5.4'!$B$3:$AE$36</definedName>
    <definedName name="Z_A3DB5619_047E_4CE2_8C39_700CFD25F2CB_.wvu.PrintArea" localSheetId="5" hidden="1">'5.5'!$B$3:$AE$36</definedName>
    <definedName name="Z_A3DB5619_047E_4CE2_8C39_700CFD25F2CB_.wvu.PrintArea" localSheetId="6" hidden="1">'5.6'!$B$3:$AE$36</definedName>
    <definedName name="Z_A3DB5619_047E_4CE2_8C39_700CFD25F2CB_.wvu.PrintArea" localSheetId="7" hidden="1">'5.7'!$B$3:$AE$36</definedName>
    <definedName name="Z_A3DB5619_047E_4CE2_8C39_700CFD25F2CB_.wvu.PrintArea" localSheetId="8" hidden="1">'5.8'!$B$3:$AE$36</definedName>
    <definedName name="Z_D903F940_B812_11DB_B168_0010B575B8B2_.wvu.PrintArea" localSheetId="2" hidden="1">'4.30'!$B$3:$AE$36</definedName>
    <definedName name="Z_D903F940_B812_11DB_B168_0010B575B8B2_.wvu.PrintArea" localSheetId="3" hidden="1">'5.1'!$B$3:$AE$36</definedName>
    <definedName name="Z_D903F940_B812_11DB_B168_0010B575B8B2_.wvu.PrintArea" localSheetId="9" hidden="1">'5.11'!$B$3:$AE$36</definedName>
    <definedName name="Z_D903F940_B812_11DB_B168_0010B575B8B2_.wvu.PrintArea" localSheetId="10" hidden="1">'5.12'!$B$3:$AE$36</definedName>
    <definedName name="Z_D903F940_B812_11DB_B168_0010B575B8B2_.wvu.PrintArea" localSheetId="11" hidden="1">'5.13'!$B$3:$AE$36</definedName>
    <definedName name="Z_D903F940_B812_11DB_B168_0010B575B8B2_.wvu.PrintArea" localSheetId="12" hidden="1">'5.14'!$B$3:$AE$36</definedName>
    <definedName name="Z_D903F940_B812_11DB_B168_0010B575B8B2_.wvu.PrintArea" localSheetId="13" hidden="1">'5.15'!$B$3:$AE$36</definedName>
    <definedName name="Z_D903F940_B812_11DB_B168_0010B575B8B2_.wvu.PrintArea" localSheetId="14" hidden="1">'5.18'!$B$3:$AE$36</definedName>
    <definedName name="Z_D903F940_B812_11DB_B168_0010B575B8B2_.wvu.PrintArea" localSheetId="15" hidden="1">'5.19'!$B$3:$AE$36</definedName>
    <definedName name="Z_D903F940_B812_11DB_B168_0010B575B8B2_.wvu.PrintArea" localSheetId="16" hidden="1">'5.20'!$B$3:$AE$36</definedName>
    <definedName name="Z_D903F940_B812_11DB_B168_0010B575B8B2_.wvu.PrintArea" localSheetId="17" hidden="1">'5.21'!$B$3:$AE$36</definedName>
    <definedName name="Z_D903F940_B812_11DB_B168_0010B575B8B2_.wvu.PrintArea" localSheetId="18" hidden="1">'5.22'!$B$3:$AE$36</definedName>
    <definedName name="Z_D903F940_B812_11DB_B168_0010B575B8B2_.wvu.PrintArea" localSheetId="19" hidden="1">'5.25'!$B$3:$AE$36</definedName>
    <definedName name="Z_D903F940_B812_11DB_B168_0010B575B8B2_.wvu.PrintArea" localSheetId="20" hidden="1">'5.26'!$B$3:$AE$36</definedName>
    <definedName name="Z_D903F940_B812_11DB_B168_0010B575B8B2_.wvu.PrintArea" localSheetId="21" hidden="1">'5.27'!$B$3:$AE$36</definedName>
    <definedName name="Z_D903F940_B812_11DB_B168_0010B575B8B2_.wvu.PrintArea" localSheetId="22" hidden="1">'5.28'!$B$3:$AE$36</definedName>
    <definedName name="Z_D903F940_B812_11DB_B168_0010B575B8B2_.wvu.PrintArea" localSheetId="23" hidden="1">'5.29'!$B$3:$AE$36</definedName>
    <definedName name="Z_D903F940_B812_11DB_B168_0010B575B8B2_.wvu.PrintArea" localSheetId="4" hidden="1">'5.4'!$B$3:$AE$36</definedName>
    <definedName name="Z_D903F940_B812_11DB_B168_0010B575B8B2_.wvu.PrintArea" localSheetId="5" hidden="1">'5.5'!$B$3:$AE$36</definedName>
    <definedName name="Z_D903F940_B812_11DB_B168_0010B575B8B2_.wvu.PrintArea" localSheetId="6" hidden="1">'5.6'!$B$3:$AE$36</definedName>
    <definedName name="Z_D903F940_B812_11DB_B168_0010B575B8B2_.wvu.PrintArea" localSheetId="7" hidden="1">'5.7'!$B$3:$AE$36</definedName>
    <definedName name="Z_D903F940_B812_11DB_B168_0010B575B8B2_.wvu.PrintArea" localSheetId="8" hidden="1">'5.8'!$B$3:$AE$36</definedName>
    <definedName name="取樣回收每月庫存表" localSheetId="2" hidden="1">'4.30'!#REF!</definedName>
    <definedName name="取樣回收每月庫存表" localSheetId="3" hidden="1">'5.1'!#REF!</definedName>
    <definedName name="取樣回收每月庫存表" localSheetId="9" hidden="1">'5.11'!#REF!</definedName>
    <definedName name="取樣回收每月庫存表" localSheetId="10" hidden="1">'5.12'!#REF!</definedName>
    <definedName name="取樣回收每月庫存表" localSheetId="11" hidden="1">'5.13'!#REF!</definedName>
    <definedName name="取樣回收每月庫存表" localSheetId="12" hidden="1">'5.14'!#REF!</definedName>
    <definedName name="取樣回收每月庫存表" localSheetId="13" hidden="1">'5.15'!#REF!</definedName>
    <definedName name="取樣回收每月庫存表" localSheetId="14" hidden="1">'5.18'!#REF!</definedName>
    <definedName name="取樣回收每月庫存表" localSheetId="15" hidden="1">'5.19'!#REF!</definedName>
    <definedName name="取樣回收每月庫存表" localSheetId="16" hidden="1">'5.20'!#REF!</definedName>
    <definedName name="取樣回收每月庫存表" localSheetId="17" hidden="1">'5.21'!#REF!</definedName>
    <definedName name="取樣回收每月庫存表" localSheetId="18" hidden="1">'5.22'!#REF!</definedName>
    <definedName name="取樣回收每月庫存表" localSheetId="19" hidden="1">'5.25'!#REF!</definedName>
    <definedName name="取樣回收每月庫存表" localSheetId="20" hidden="1">'5.26'!#REF!</definedName>
    <definedName name="取樣回收每月庫存表" localSheetId="21" hidden="1">'5.27'!#REF!</definedName>
    <definedName name="取樣回收每月庫存表" localSheetId="22" hidden="1">'5.28'!#REF!</definedName>
    <definedName name="取樣回收每月庫存表" localSheetId="23" hidden="1">'5.29'!#REF!</definedName>
    <definedName name="取樣回收每月庫存表" localSheetId="4" hidden="1">'5.4'!#REF!</definedName>
    <definedName name="取樣回收每月庫存表" localSheetId="5" hidden="1">'5.5'!#REF!</definedName>
    <definedName name="取樣回收每月庫存表" localSheetId="6" hidden="1">'5.6'!#REF!</definedName>
    <definedName name="取樣回收每月庫存表" localSheetId="7" hidden="1">'5.7'!#REF!</definedName>
    <definedName name="取樣回收每月庫存表" localSheetId="8" hidden="1">'5.8'!#REF!</definedName>
    <definedName name="取樣回收每月庫存表_0620更新" localSheetId="2" hidden="1">'4.30'!$AG$13:$BH$189</definedName>
    <definedName name="取樣回收每月庫存表_0620更新" localSheetId="3" hidden="1">'5.1'!$AG$13:$BH$189</definedName>
    <definedName name="取樣回收每月庫存表_0620更新" localSheetId="9" hidden="1">'5.11'!$AG$13:$BH$189</definedName>
    <definedName name="取樣回收每月庫存表_0620更新" localSheetId="10" hidden="1">'5.12'!$AG$13:$BH$189</definedName>
    <definedName name="取樣回收每月庫存表_0620更新" localSheetId="11" hidden="1">'5.13'!$AG$13:$BH$189</definedName>
    <definedName name="取樣回收每月庫存表_0620更新" localSheetId="12" hidden="1">'5.14'!$AG$13:$BH$189</definedName>
    <definedName name="取樣回收每月庫存表_0620更新" localSheetId="13" hidden="1">'5.15'!$AG$13:$BH$189</definedName>
    <definedName name="取樣回收每月庫存表_0620更新" localSheetId="14" hidden="1">'5.18'!$AG$13:$BH$189</definedName>
    <definedName name="取樣回收每月庫存表_0620更新" localSheetId="15" hidden="1">'5.19'!$AG$13:$BH$189</definedName>
    <definedName name="取樣回收每月庫存表_0620更新" localSheetId="16" hidden="1">'5.20'!$AG$13:$BH$189</definedName>
    <definedName name="取樣回收每月庫存表_0620更新" localSheetId="17" hidden="1">'5.21'!$AG$13:$BH$189</definedName>
    <definedName name="取樣回收每月庫存表_0620更新" localSheetId="18" hidden="1">'5.22'!$AG$13:$BH$189</definedName>
    <definedName name="取樣回收每月庫存表_0620更新" localSheetId="19" hidden="1">'5.25'!$AG$13:$BH$189</definedName>
    <definedName name="取樣回收每月庫存表_0620更新" localSheetId="20" hidden="1">'5.26'!$AG$13:$BH$189</definedName>
    <definedName name="取樣回收每月庫存表_0620更新" localSheetId="21" hidden="1">'5.27'!$AG$13:$BH$189</definedName>
    <definedName name="取樣回收每月庫存表_0620更新" localSheetId="22" hidden="1">'5.28'!$AG$13:$BH$189</definedName>
    <definedName name="取樣回收每月庫存表_0620更新" localSheetId="23" hidden="1">'5.29'!$AG$13:$BH$189</definedName>
    <definedName name="取樣回收每月庫存表_0620更新" localSheetId="4" hidden="1">'5.4'!$AG$13:$BH$189</definedName>
    <definedName name="取樣回收每月庫存表_0620更新" localSheetId="5" hidden="1">'5.5'!$AG$13:$BH$189</definedName>
    <definedName name="取樣回收每月庫存表_0620更新" localSheetId="6" hidden="1">'5.6'!$AG$13:$BH$189</definedName>
    <definedName name="取樣回收每月庫存表_0620更新" localSheetId="7" hidden="1">'5.7'!$AG$13:$BH$189</definedName>
    <definedName name="取樣回收每月庫存表_0620更新" localSheetId="8" hidden="1">'5.8'!$AG$13:$BH$189</definedName>
    <definedName name="複本_14_取樣回收每月庫存表" localSheetId="2" hidden="1">'4.30'!#REF!</definedName>
    <definedName name="複本_14_取樣回收每月庫存表" localSheetId="3" hidden="1">'5.1'!#REF!</definedName>
    <definedName name="複本_14_取樣回收每月庫存表" localSheetId="9" hidden="1">'5.11'!#REF!</definedName>
    <definedName name="複本_14_取樣回收每月庫存表" localSheetId="10" hidden="1">'5.12'!#REF!</definedName>
    <definedName name="複本_14_取樣回收每月庫存表" localSheetId="11" hidden="1">'5.13'!#REF!</definedName>
    <definedName name="複本_14_取樣回收每月庫存表" localSheetId="12" hidden="1">'5.14'!#REF!</definedName>
    <definedName name="複本_14_取樣回收每月庫存表" localSheetId="13" hidden="1">'5.15'!#REF!</definedName>
    <definedName name="複本_14_取樣回收每月庫存表" localSheetId="14" hidden="1">'5.18'!#REF!</definedName>
    <definedName name="複本_14_取樣回收每月庫存表" localSheetId="15" hidden="1">'5.19'!#REF!</definedName>
    <definedName name="複本_14_取樣回收每月庫存表" localSheetId="16" hidden="1">'5.20'!#REF!</definedName>
    <definedName name="複本_14_取樣回收每月庫存表" localSheetId="17" hidden="1">'5.21'!#REF!</definedName>
    <definedName name="複本_14_取樣回收每月庫存表" localSheetId="18" hidden="1">'5.22'!#REF!</definedName>
    <definedName name="複本_14_取樣回收每月庫存表" localSheetId="19" hidden="1">'5.25'!#REF!</definedName>
    <definedName name="複本_14_取樣回收每月庫存表" localSheetId="20" hidden="1">'5.26'!#REF!</definedName>
    <definedName name="複本_14_取樣回收每月庫存表" localSheetId="21" hidden="1">'5.27'!#REF!</definedName>
    <definedName name="複本_14_取樣回收每月庫存表" localSheetId="22" hidden="1">'5.28'!#REF!</definedName>
    <definedName name="複本_14_取樣回收每月庫存表" localSheetId="23" hidden="1">'5.29'!#REF!</definedName>
    <definedName name="複本_14_取樣回收每月庫存表" localSheetId="4" hidden="1">'5.4'!#REF!</definedName>
    <definedName name="複本_14_取樣回收每月庫存表" localSheetId="5" hidden="1">'5.5'!#REF!</definedName>
    <definedName name="複本_14_取樣回收每月庫存表" localSheetId="6" hidden="1">'5.6'!#REF!</definedName>
    <definedName name="複本_14_取樣回收每月庫存表" localSheetId="7" hidden="1">'5.7'!#REF!</definedName>
    <definedName name="複本_14_取樣回收每月庫存表" localSheetId="8" hidden="1">'5.8'!#REF!</definedName>
  </definedNames>
  <calcPr calcId="162913"/>
</workbook>
</file>

<file path=xl/calcChain.xml><?xml version="1.0" encoding="utf-8"?>
<calcChain xmlns="http://schemas.openxmlformats.org/spreadsheetml/2006/main">
  <c r="AA33" i="2179" l="1"/>
  <c r="X33" i="2179"/>
  <c r="U33" i="2179"/>
  <c r="R33" i="2179"/>
  <c r="F33" i="2179"/>
  <c r="Y28" i="2179"/>
  <c r="X28" i="2179"/>
  <c r="S33" i="2179" s="1"/>
  <c r="W28" i="2179"/>
  <c r="V28" i="2179"/>
  <c r="U28" i="2179"/>
  <c r="T28" i="2179"/>
  <c r="S28" i="2179"/>
  <c r="R28" i="2179"/>
  <c r="Q28" i="2179"/>
  <c r="P28" i="2179"/>
  <c r="O28" i="2179"/>
  <c r="N28" i="2179"/>
  <c r="M28" i="2179"/>
  <c r="L28" i="2179"/>
  <c r="K28" i="2179"/>
  <c r="J28" i="2179"/>
  <c r="I28" i="2179"/>
  <c r="H28" i="2179"/>
  <c r="G28" i="2179"/>
  <c r="F28" i="2179"/>
  <c r="E28" i="2179"/>
  <c r="D28" i="2179"/>
  <c r="Y25" i="2179"/>
  <c r="X25" i="2179"/>
  <c r="W25" i="2179"/>
  <c r="V25" i="2179"/>
  <c r="U25" i="2179"/>
  <c r="T25" i="2179"/>
  <c r="S25" i="2179"/>
  <c r="R25" i="2179"/>
  <c r="Q25" i="2179"/>
  <c r="P25" i="2179"/>
  <c r="O25" i="2179"/>
  <c r="N25" i="2179"/>
  <c r="M25" i="2179"/>
  <c r="L25" i="2179"/>
  <c r="K25" i="2179"/>
  <c r="J25" i="2179"/>
  <c r="I25" i="2179"/>
  <c r="H25" i="2179"/>
  <c r="G25" i="2179"/>
  <c r="F25" i="2179"/>
  <c r="E25" i="2179"/>
  <c r="D25" i="2179"/>
  <c r="AE19" i="2179"/>
  <c r="AD19" i="2179"/>
  <c r="AC19" i="2179"/>
  <c r="AB19" i="2179"/>
  <c r="AA19" i="2179"/>
  <c r="Z19" i="2179"/>
  <c r="Y19" i="2179"/>
  <c r="X19" i="2179"/>
  <c r="T33" i="2179" s="1"/>
  <c r="W19" i="2179"/>
  <c r="V19" i="2179"/>
  <c r="U19" i="2179"/>
  <c r="T19" i="2179"/>
  <c r="S19" i="2179"/>
  <c r="R19" i="2179"/>
  <c r="Q19" i="2179"/>
  <c r="P19" i="2179"/>
  <c r="O19" i="2179"/>
  <c r="N19" i="2179"/>
  <c r="G33" i="2179" s="1"/>
  <c r="M19" i="2179"/>
  <c r="H33" i="2179" s="1"/>
  <c r="L19" i="2179"/>
  <c r="P33" i="2179" s="1"/>
  <c r="K19" i="2179"/>
  <c r="L33" i="2179" s="1"/>
  <c r="J19" i="2179"/>
  <c r="I19" i="2179"/>
  <c r="AB33" i="2179" s="1"/>
  <c r="H19" i="2179"/>
  <c r="G19" i="2179"/>
  <c r="O33" i="2179" s="1"/>
  <c r="F19" i="2179"/>
  <c r="E19" i="2179"/>
  <c r="D19" i="2179"/>
  <c r="AE16" i="2179"/>
  <c r="AD16" i="2179"/>
  <c r="AC16" i="2179"/>
  <c r="AB16" i="2179"/>
  <c r="AA16" i="2179"/>
  <c r="Z16" i="2179"/>
  <c r="X16" i="2179"/>
  <c r="W16" i="2179"/>
  <c r="V16" i="2179"/>
  <c r="U16" i="2179"/>
  <c r="T16" i="2179"/>
  <c r="S16" i="2179"/>
  <c r="R16" i="2179"/>
  <c r="Q16" i="2179"/>
  <c r="P16" i="2179"/>
  <c r="O16" i="2179"/>
  <c r="N16" i="2179"/>
  <c r="M16" i="2179"/>
  <c r="L16" i="2179"/>
  <c r="K16" i="2179"/>
  <c r="J16" i="2179"/>
  <c r="I16" i="2179"/>
  <c r="H16" i="2179"/>
  <c r="G16" i="2179"/>
  <c r="F16" i="2179"/>
  <c r="E16" i="2179"/>
  <c r="D16" i="2179"/>
  <c r="AE10" i="2179"/>
  <c r="AD10" i="2179"/>
  <c r="AC10" i="2179"/>
  <c r="AB10" i="2179"/>
  <c r="AA10" i="2179"/>
  <c r="Z10" i="2179"/>
  <c r="Y10" i="2179"/>
  <c r="X10" i="2179"/>
  <c r="W10" i="2179"/>
  <c r="V10" i="2179"/>
  <c r="U10" i="2179"/>
  <c r="T10" i="2179"/>
  <c r="S10" i="2179"/>
  <c r="R10" i="2179"/>
  <c r="Q10" i="2179"/>
  <c r="P10" i="2179"/>
  <c r="O10" i="2179"/>
  <c r="N10" i="2179"/>
  <c r="M10" i="2179"/>
  <c r="L10" i="2179"/>
  <c r="K10" i="2179"/>
  <c r="J10" i="2179"/>
  <c r="Q33" i="2179" s="1"/>
  <c r="I10" i="2179"/>
  <c r="H10" i="2179"/>
  <c r="G10" i="2179"/>
  <c r="F10" i="2179"/>
  <c r="E10" i="2179"/>
  <c r="D10" i="2179"/>
  <c r="AE7" i="2179"/>
  <c r="AD7" i="2179"/>
  <c r="AC7" i="2179"/>
  <c r="AB7" i="2179"/>
  <c r="AA7" i="2179"/>
  <c r="Z7" i="2179"/>
  <c r="Y7" i="2179"/>
  <c r="X7" i="2179"/>
  <c r="W7" i="2179"/>
  <c r="V7" i="2179"/>
  <c r="U7" i="2179"/>
  <c r="T7" i="2179"/>
  <c r="S7" i="2179"/>
  <c r="R7" i="2179"/>
  <c r="Q7" i="2179"/>
  <c r="P7" i="2179"/>
  <c r="O7" i="2179"/>
  <c r="N7" i="2179"/>
  <c r="M7" i="2179"/>
  <c r="L7" i="2179"/>
  <c r="K7" i="2179"/>
  <c r="J7" i="2179"/>
  <c r="I7" i="2179"/>
  <c r="H7" i="2179"/>
  <c r="G7" i="2179"/>
  <c r="F7" i="2179"/>
  <c r="E7" i="2179"/>
  <c r="D7" i="2179"/>
  <c r="J33" i="2179" l="1"/>
  <c r="W33" i="2179"/>
  <c r="AC33" i="2179"/>
  <c r="D33" i="2179"/>
  <c r="Z33" i="2179"/>
  <c r="Y33" i="2179"/>
  <c r="N33" i="2179"/>
  <c r="E33" i="2179"/>
  <c r="K33" i="2179"/>
  <c r="M33" i="2179"/>
  <c r="V33" i="2179"/>
  <c r="AA33" i="2178"/>
  <c r="X33" i="2178"/>
  <c r="U33" i="2178"/>
  <c r="R33" i="2178"/>
  <c r="F33" i="2178"/>
  <c r="Y28" i="2178"/>
  <c r="X28" i="2178"/>
  <c r="S33" i="2178" s="1"/>
  <c r="W28" i="2178"/>
  <c r="V28" i="2178"/>
  <c r="U28" i="2178"/>
  <c r="T28" i="2178"/>
  <c r="S28" i="2178"/>
  <c r="R28" i="2178"/>
  <c r="Q28" i="2178"/>
  <c r="P28" i="2178"/>
  <c r="O28" i="2178"/>
  <c r="N28" i="2178"/>
  <c r="M28" i="2178"/>
  <c r="L28" i="2178"/>
  <c r="K28" i="2178"/>
  <c r="J28" i="2178"/>
  <c r="I28" i="2178"/>
  <c r="H28" i="2178"/>
  <c r="G28" i="2178"/>
  <c r="F28" i="2178"/>
  <c r="E28" i="2178"/>
  <c r="D28" i="2178"/>
  <c r="Y25" i="2178"/>
  <c r="X25" i="2178"/>
  <c r="W25" i="2178"/>
  <c r="V25" i="2178"/>
  <c r="U25" i="2178"/>
  <c r="T25" i="2178"/>
  <c r="S25" i="2178"/>
  <c r="R25" i="2178"/>
  <c r="Q25" i="2178"/>
  <c r="P25" i="2178"/>
  <c r="O25" i="2178"/>
  <c r="N25" i="2178"/>
  <c r="M25" i="2178"/>
  <c r="L25" i="2178"/>
  <c r="K25" i="2178"/>
  <c r="J25" i="2178"/>
  <c r="I25" i="2178"/>
  <c r="H25" i="2178"/>
  <c r="G25" i="2178"/>
  <c r="F25" i="2178"/>
  <c r="E25" i="2178"/>
  <c r="D25" i="2178"/>
  <c r="AE19" i="2178"/>
  <c r="AD19" i="2178"/>
  <c r="AC19" i="2178"/>
  <c r="AB19" i="2178"/>
  <c r="AA19" i="2178"/>
  <c r="Z19" i="2178"/>
  <c r="Y19" i="2178"/>
  <c r="X19" i="2178"/>
  <c r="T33" i="2178" s="1"/>
  <c r="W19" i="2178"/>
  <c r="V19" i="2178"/>
  <c r="U19" i="2178"/>
  <c r="T19" i="2178"/>
  <c r="S19" i="2178"/>
  <c r="R19" i="2178"/>
  <c r="Q19" i="2178"/>
  <c r="P19" i="2178"/>
  <c r="O19" i="2178"/>
  <c r="N19" i="2178"/>
  <c r="G33" i="2178" s="1"/>
  <c r="M19" i="2178"/>
  <c r="H33" i="2178" s="1"/>
  <c r="L19" i="2178"/>
  <c r="P33" i="2178" s="1"/>
  <c r="K19" i="2178"/>
  <c r="L33" i="2178" s="1"/>
  <c r="J19" i="2178"/>
  <c r="I19" i="2178"/>
  <c r="AB33" i="2178" s="1"/>
  <c r="H19" i="2178"/>
  <c r="G19" i="2178"/>
  <c r="O33" i="2178" s="1"/>
  <c r="F19" i="2178"/>
  <c r="E19" i="2178"/>
  <c r="D19" i="2178"/>
  <c r="AE16" i="2178"/>
  <c r="AD16" i="2178"/>
  <c r="AC16" i="2178"/>
  <c r="AB16" i="2178"/>
  <c r="AA16" i="2178"/>
  <c r="Z16" i="2178"/>
  <c r="X16" i="2178"/>
  <c r="W16" i="2178"/>
  <c r="V16" i="2178"/>
  <c r="U16" i="2178"/>
  <c r="T16" i="2178"/>
  <c r="S16" i="2178"/>
  <c r="R16" i="2178"/>
  <c r="Q16" i="2178"/>
  <c r="P16" i="2178"/>
  <c r="O16" i="2178"/>
  <c r="N16" i="2178"/>
  <c r="M16" i="2178"/>
  <c r="L16" i="2178"/>
  <c r="K16" i="2178"/>
  <c r="J16" i="2178"/>
  <c r="I16" i="2178"/>
  <c r="H16" i="2178"/>
  <c r="G16" i="2178"/>
  <c r="F16" i="2178"/>
  <c r="E16" i="2178"/>
  <c r="D16" i="2178"/>
  <c r="AE10" i="2178"/>
  <c r="AD10" i="2178"/>
  <c r="AC10" i="2178"/>
  <c r="AB10" i="2178"/>
  <c r="AA10" i="2178"/>
  <c r="Z10" i="2178"/>
  <c r="Y10" i="2178"/>
  <c r="X10" i="2178"/>
  <c r="W10" i="2178"/>
  <c r="V10" i="2178"/>
  <c r="U10" i="2178"/>
  <c r="T10" i="2178"/>
  <c r="S10" i="2178"/>
  <c r="R10" i="2178"/>
  <c r="Q10" i="2178"/>
  <c r="P10" i="2178"/>
  <c r="O10" i="2178"/>
  <c r="N10" i="2178"/>
  <c r="M10" i="2178"/>
  <c r="E33" i="2178" s="1"/>
  <c r="L10" i="2178"/>
  <c r="K10" i="2178"/>
  <c r="J10" i="2178"/>
  <c r="Q33" i="2178" s="1"/>
  <c r="I10" i="2178"/>
  <c r="H10" i="2178"/>
  <c r="G10" i="2178"/>
  <c r="F10" i="2178"/>
  <c r="E10" i="2178"/>
  <c r="D10" i="2178"/>
  <c r="AE7" i="2178"/>
  <c r="AD7" i="2178"/>
  <c r="AC7" i="2178"/>
  <c r="AB7" i="2178"/>
  <c r="AA7" i="2178"/>
  <c r="Z7" i="2178"/>
  <c r="Y7" i="2178"/>
  <c r="X7" i="2178"/>
  <c r="W7" i="2178"/>
  <c r="V7" i="2178"/>
  <c r="U7" i="2178"/>
  <c r="T7" i="2178"/>
  <c r="S7" i="2178"/>
  <c r="R7" i="2178"/>
  <c r="Q7" i="2178"/>
  <c r="P7" i="2178"/>
  <c r="O7" i="2178"/>
  <c r="N7" i="2178"/>
  <c r="M7" i="2178"/>
  <c r="L7" i="2178"/>
  <c r="K7" i="2178"/>
  <c r="J7" i="2178"/>
  <c r="I7" i="2178"/>
  <c r="H7" i="2178"/>
  <c r="G7" i="2178"/>
  <c r="F7" i="2178"/>
  <c r="E7" i="2178"/>
  <c r="D7" i="2178"/>
  <c r="J33" i="2178" l="1"/>
  <c r="W33" i="2178"/>
  <c r="AC33" i="2178"/>
  <c r="D33" i="2178"/>
  <c r="Z33" i="2178"/>
  <c r="Y33" i="2178"/>
  <c r="N33" i="2178"/>
  <c r="K33" i="2178"/>
  <c r="M33" i="2178"/>
  <c r="V33" i="2178"/>
  <c r="AA33" i="2177"/>
  <c r="X33" i="2177"/>
  <c r="U33" i="2177"/>
  <c r="R33" i="2177"/>
  <c r="F33" i="2177"/>
  <c r="Y28" i="2177"/>
  <c r="X28" i="2177"/>
  <c r="S33" i="2177" s="1"/>
  <c r="W28" i="2177"/>
  <c r="V28" i="2177"/>
  <c r="U28" i="2177"/>
  <c r="T28" i="2177"/>
  <c r="S28" i="2177"/>
  <c r="R28" i="2177"/>
  <c r="Q28" i="2177"/>
  <c r="P28" i="2177"/>
  <c r="O28" i="2177"/>
  <c r="N28" i="2177"/>
  <c r="M28" i="2177"/>
  <c r="L28" i="2177"/>
  <c r="K28" i="2177"/>
  <c r="J28" i="2177"/>
  <c r="I28" i="2177"/>
  <c r="H28" i="2177"/>
  <c r="G28" i="2177"/>
  <c r="F28" i="2177"/>
  <c r="E28" i="2177"/>
  <c r="D28" i="2177"/>
  <c r="Y25" i="2177"/>
  <c r="X25" i="2177"/>
  <c r="W25" i="2177"/>
  <c r="V25" i="2177"/>
  <c r="U25" i="2177"/>
  <c r="T25" i="2177"/>
  <c r="S25" i="2177"/>
  <c r="R25" i="2177"/>
  <c r="Q25" i="2177"/>
  <c r="P25" i="2177"/>
  <c r="O25" i="2177"/>
  <c r="N25" i="2177"/>
  <c r="M25" i="2177"/>
  <c r="L25" i="2177"/>
  <c r="K25" i="2177"/>
  <c r="J25" i="2177"/>
  <c r="I25" i="2177"/>
  <c r="H25" i="2177"/>
  <c r="G25" i="2177"/>
  <c r="F25" i="2177"/>
  <c r="E25" i="2177"/>
  <c r="D25" i="2177"/>
  <c r="AE19" i="2177"/>
  <c r="AD19" i="2177"/>
  <c r="AC19" i="2177"/>
  <c r="AB19" i="2177"/>
  <c r="AA19" i="2177"/>
  <c r="Z19" i="2177"/>
  <c r="Y19" i="2177"/>
  <c r="X19" i="2177"/>
  <c r="T33" i="2177" s="1"/>
  <c r="W19" i="2177"/>
  <c r="V19" i="2177"/>
  <c r="U19" i="2177"/>
  <c r="T19" i="2177"/>
  <c r="S19" i="2177"/>
  <c r="R19" i="2177"/>
  <c r="Q19" i="2177"/>
  <c r="P19" i="2177"/>
  <c r="O19" i="2177"/>
  <c r="N19" i="2177"/>
  <c r="G33" i="2177" s="1"/>
  <c r="M19" i="2177"/>
  <c r="H33" i="2177" s="1"/>
  <c r="L19" i="2177"/>
  <c r="P33" i="2177" s="1"/>
  <c r="K19" i="2177"/>
  <c r="L33" i="2177" s="1"/>
  <c r="J19" i="2177"/>
  <c r="I19" i="2177"/>
  <c r="AB33" i="2177" s="1"/>
  <c r="H19" i="2177"/>
  <c r="G19" i="2177"/>
  <c r="O33" i="2177" s="1"/>
  <c r="F19" i="2177"/>
  <c r="E19" i="2177"/>
  <c r="D19" i="2177"/>
  <c r="AE16" i="2177"/>
  <c r="AD16" i="2177"/>
  <c r="AC16" i="2177"/>
  <c r="AB16" i="2177"/>
  <c r="AA16" i="2177"/>
  <c r="Z16" i="2177"/>
  <c r="X16" i="2177"/>
  <c r="W16" i="2177"/>
  <c r="V16" i="2177"/>
  <c r="U16" i="2177"/>
  <c r="T16" i="2177"/>
  <c r="S16" i="2177"/>
  <c r="R16" i="2177"/>
  <c r="Q16" i="2177"/>
  <c r="P16" i="2177"/>
  <c r="O16" i="2177"/>
  <c r="N16" i="2177"/>
  <c r="M16" i="2177"/>
  <c r="L16" i="2177"/>
  <c r="K16" i="2177"/>
  <c r="J16" i="2177"/>
  <c r="I16" i="2177"/>
  <c r="H16" i="2177"/>
  <c r="G16" i="2177"/>
  <c r="F16" i="2177"/>
  <c r="E16" i="2177"/>
  <c r="D16" i="2177"/>
  <c r="AE10" i="2177"/>
  <c r="AD10" i="2177"/>
  <c r="AC10" i="2177"/>
  <c r="AB10" i="2177"/>
  <c r="AA10" i="2177"/>
  <c r="Z10" i="2177"/>
  <c r="Y10" i="2177"/>
  <c r="X10" i="2177"/>
  <c r="W10" i="2177"/>
  <c r="V10" i="2177"/>
  <c r="U10" i="2177"/>
  <c r="T10" i="2177"/>
  <c r="S10" i="2177"/>
  <c r="R10" i="2177"/>
  <c r="Q10" i="2177"/>
  <c r="P10" i="2177"/>
  <c r="O10" i="2177"/>
  <c r="N10" i="2177"/>
  <c r="M10" i="2177"/>
  <c r="L10" i="2177"/>
  <c r="K10" i="2177"/>
  <c r="J10" i="2177"/>
  <c r="I10" i="2177"/>
  <c r="E33" i="2177" s="1"/>
  <c r="H10" i="2177"/>
  <c r="G10" i="2177"/>
  <c r="F10" i="2177"/>
  <c r="E10" i="2177"/>
  <c r="D10" i="2177"/>
  <c r="AE7" i="2177"/>
  <c r="AD7" i="2177"/>
  <c r="AC7" i="2177"/>
  <c r="AB7" i="2177"/>
  <c r="AA7" i="2177"/>
  <c r="Z7" i="2177"/>
  <c r="Y7" i="2177"/>
  <c r="X7" i="2177"/>
  <c r="W7" i="2177"/>
  <c r="V7" i="2177"/>
  <c r="U7" i="2177"/>
  <c r="T7" i="2177"/>
  <c r="S7" i="2177"/>
  <c r="R7" i="2177"/>
  <c r="Q7" i="2177"/>
  <c r="P7" i="2177"/>
  <c r="O7" i="2177"/>
  <c r="N7" i="2177"/>
  <c r="M7" i="2177"/>
  <c r="L7" i="2177"/>
  <c r="K7" i="2177"/>
  <c r="J7" i="2177"/>
  <c r="I7" i="2177"/>
  <c r="H7" i="2177"/>
  <c r="G7" i="2177"/>
  <c r="F7" i="2177"/>
  <c r="E7" i="2177"/>
  <c r="D7" i="2177"/>
  <c r="AA33" i="2176"/>
  <c r="X33" i="2176"/>
  <c r="U33" i="2176"/>
  <c r="R33" i="2176"/>
  <c r="F33" i="2176"/>
  <c r="Y28" i="2176"/>
  <c r="X28" i="2176"/>
  <c r="S33" i="2176" s="1"/>
  <c r="W28" i="2176"/>
  <c r="V28" i="2176"/>
  <c r="U28" i="2176"/>
  <c r="T28" i="2176"/>
  <c r="S28" i="2176"/>
  <c r="R28" i="2176"/>
  <c r="Q28" i="2176"/>
  <c r="P28" i="2176"/>
  <c r="O28" i="2176"/>
  <c r="N28" i="2176"/>
  <c r="M28" i="2176"/>
  <c r="L28" i="2176"/>
  <c r="K28" i="2176"/>
  <c r="J28" i="2176"/>
  <c r="I28" i="2176"/>
  <c r="H28" i="2176"/>
  <c r="G28" i="2176"/>
  <c r="F28" i="2176"/>
  <c r="E28" i="2176"/>
  <c r="D28" i="2176"/>
  <c r="Y25" i="2176"/>
  <c r="X25" i="2176"/>
  <c r="W25" i="2176"/>
  <c r="V25" i="2176"/>
  <c r="U25" i="2176"/>
  <c r="T25" i="2176"/>
  <c r="S25" i="2176"/>
  <c r="R25" i="2176"/>
  <c r="Q25" i="2176"/>
  <c r="P25" i="2176"/>
  <c r="O25" i="2176"/>
  <c r="N25" i="2176"/>
  <c r="M25" i="2176"/>
  <c r="L25" i="2176"/>
  <c r="K25" i="2176"/>
  <c r="J25" i="2176"/>
  <c r="I25" i="2176"/>
  <c r="H25" i="2176"/>
  <c r="G25" i="2176"/>
  <c r="F25" i="2176"/>
  <c r="E25" i="2176"/>
  <c r="D25" i="2176"/>
  <c r="AE19" i="2176"/>
  <c r="AD19" i="2176"/>
  <c r="AC19" i="2176"/>
  <c r="AB19" i="2176"/>
  <c r="AA19" i="2176"/>
  <c r="Z19" i="2176"/>
  <c r="Y19" i="2176"/>
  <c r="X19" i="2176"/>
  <c r="T33" i="2176" s="1"/>
  <c r="W19" i="2176"/>
  <c r="V19" i="2176"/>
  <c r="U19" i="2176"/>
  <c r="T19" i="2176"/>
  <c r="S19" i="2176"/>
  <c r="R19" i="2176"/>
  <c r="Q19" i="2176"/>
  <c r="P19" i="2176"/>
  <c r="O19" i="2176"/>
  <c r="N19" i="2176"/>
  <c r="G33" i="2176" s="1"/>
  <c r="M19" i="2176"/>
  <c r="H33" i="2176" s="1"/>
  <c r="L19" i="2176"/>
  <c r="P33" i="2176" s="1"/>
  <c r="K19" i="2176"/>
  <c r="L33" i="2176" s="1"/>
  <c r="J19" i="2176"/>
  <c r="I19" i="2176"/>
  <c r="AB33" i="2176" s="1"/>
  <c r="H19" i="2176"/>
  <c r="G19" i="2176"/>
  <c r="O33" i="2176" s="1"/>
  <c r="F19" i="2176"/>
  <c r="E19" i="2176"/>
  <c r="D19" i="2176"/>
  <c r="AE16" i="2176"/>
  <c r="AD16" i="2176"/>
  <c r="AC16" i="2176"/>
  <c r="AB16" i="2176"/>
  <c r="AA16" i="2176"/>
  <c r="Z16" i="2176"/>
  <c r="X16" i="2176"/>
  <c r="W16" i="2176"/>
  <c r="V16" i="2176"/>
  <c r="U16" i="2176"/>
  <c r="T16" i="2176"/>
  <c r="S16" i="2176"/>
  <c r="R16" i="2176"/>
  <c r="Q16" i="2176"/>
  <c r="P16" i="2176"/>
  <c r="O16" i="2176"/>
  <c r="N16" i="2176"/>
  <c r="M16" i="2176"/>
  <c r="L16" i="2176"/>
  <c r="K16" i="2176"/>
  <c r="J16" i="2176"/>
  <c r="I16" i="2176"/>
  <c r="H16" i="2176"/>
  <c r="G16" i="2176"/>
  <c r="F16" i="2176"/>
  <c r="E16" i="2176"/>
  <c r="D16" i="2176"/>
  <c r="AE10" i="2176"/>
  <c r="AD10" i="2176"/>
  <c r="AC10" i="2176"/>
  <c r="AB10" i="2176"/>
  <c r="AA10" i="2176"/>
  <c r="Z10" i="2176"/>
  <c r="Y10" i="2176"/>
  <c r="X10" i="2176"/>
  <c r="W10" i="2176"/>
  <c r="V10" i="2176"/>
  <c r="U10" i="2176"/>
  <c r="T10" i="2176"/>
  <c r="S10" i="2176"/>
  <c r="R10" i="2176"/>
  <c r="Q10" i="2176"/>
  <c r="P10" i="2176"/>
  <c r="O10" i="2176"/>
  <c r="N10" i="2176"/>
  <c r="M10" i="2176"/>
  <c r="L10" i="2176"/>
  <c r="K10" i="2176"/>
  <c r="J10" i="2176"/>
  <c r="I10" i="2176"/>
  <c r="E33" i="2176" s="1"/>
  <c r="H10" i="2176"/>
  <c r="G10" i="2176"/>
  <c r="F10" i="2176"/>
  <c r="E10" i="2176"/>
  <c r="D10" i="2176"/>
  <c r="AE7" i="2176"/>
  <c r="AD7" i="2176"/>
  <c r="AC7" i="2176"/>
  <c r="AB7" i="2176"/>
  <c r="AA7" i="2176"/>
  <c r="Z7" i="2176"/>
  <c r="Y7" i="2176"/>
  <c r="X7" i="2176"/>
  <c r="W7" i="2176"/>
  <c r="V7" i="2176"/>
  <c r="U7" i="2176"/>
  <c r="T7" i="2176"/>
  <c r="S7" i="2176"/>
  <c r="R7" i="2176"/>
  <c r="Q7" i="2176"/>
  <c r="P7" i="2176"/>
  <c r="O7" i="2176"/>
  <c r="N7" i="2176"/>
  <c r="M7" i="2176"/>
  <c r="L7" i="2176"/>
  <c r="K7" i="2176"/>
  <c r="J7" i="2176"/>
  <c r="I7" i="2176"/>
  <c r="H7" i="2176"/>
  <c r="G7" i="2176"/>
  <c r="F7" i="2176"/>
  <c r="E7" i="2176"/>
  <c r="D7" i="2176"/>
  <c r="J33" i="2177" l="1"/>
  <c r="W33" i="2177"/>
  <c r="N33" i="2177"/>
  <c r="AC33" i="2177"/>
  <c r="D33" i="2177"/>
  <c r="Z33" i="2177"/>
  <c r="Y33" i="2177"/>
  <c r="Q33" i="2177"/>
  <c r="K33" i="2177"/>
  <c r="M33" i="2177"/>
  <c r="V33" i="2177"/>
  <c r="J33" i="2176"/>
  <c r="W33" i="2176"/>
  <c r="AC33" i="2176"/>
  <c r="D33" i="2176"/>
  <c r="Z33" i="2176"/>
  <c r="Y33" i="2176"/>
  <c r="N33" i="2176"/>
  <c r="K33" i="2176"/>
  <c r="Q33" i="2176"/>
  <c r="M33" i="2176"/>
  <c r="V33" i="2176"/>
  <c r="AA33" i="2175"/>
  <c r="X33" i="2175"/>
  <c r="U33" i="2175"/>
  <c r="R33" i="2175"/>
  <c r="F33" i="2175"/>
  <c r="Y28" i="2175"/>
  <c r="X28" i="2175"/>
  <c r="S33" i="2175" s="1"/>
  <c r="W28" i="2175"/>
  <c r="V28" i="2175"/>
  <c r="U28" i="2175"/>
  <c r="T28" i="2175"/>
  <c r="S28" i="2175"/>
  <c r="R28" i="2175"/>
  <c r="Q28" i="2175"/>
  <c r="P28" i="2175"/>
  <c r="O28" i="2175"/>
  <c r="N28" i="2175"/>
  <c r="M28" i="2175"/>
  <c r="L28" i="2175"/>
  <c r="K28" i="2175"/>
  <c r="J28" i="2175"/>
  <c r="I28" i="2175"/>
  <c r="H28" i="2175"/>
  <c r="G28" i="2175"/>
  <c r="F28" i="2175"/>
  <c r="E28" i="2175"/>
  <c r="D28" i="2175"/>
  <c r="Y25" i="2175"/>
  <c r="X25" i="2175"/>
  <c r="W25" i="2175"/>
  <c r="V25" i="2175"/>
  <c r="U25" i="2175"/>
  <c r="T25" i="2175"/>
  <c r="S25" i="2175"/>
  <c r="R25" i="2175"/>
  <c r="Q25" i="2175"/>
  <c r="P25" i="2175"/>
  <c r="O25" i="2175"/>
  <c r="N25" i="2175"/>
  <c r="M25" i="2175"/>
  <c r="L25" i="2175"/>
  <c r="K25" i="2175"/>
  <c r="J25" i="2175"/>
  <c r="I25" i="2175"/>
  <c r="H25" i="2175"/>
  <c r="G25" i="2175"/>
  <c r="F25" i="2175"/>
  <c r="E25" i="2175"/>
  <c r="D25" i="2175"/>
  <c r="AE19" i="2175"/>
  <c r="AD19" i="2175"/>
  <c r="AC19" i="2175"/>
  <c r="AB19" i="2175"/>
  <c r="AA19" i="2175"/>
  <c r="Z19" i="2175"/>
  <c r="Y19" i="2175"/>
  <c r="X19" i="2175"/>
  <c r="T33" i="2175" s="1"/>
  <c r="W19" i="2175"/>
  <c r="V19" i="2175"/>
  <c r="U19" i="2175"/>
  <c r="T19" i="2175"/>
  <c r="S19" i="2175"/>
  <c r="R19" i="2175"/>
  <c r="Q19" i="2175"/>
  <c r="P19" i="2175"/>
  <c r="O19" i="2175"/>
  <c r="N19" i="2175"/>
  <c r="G33" i="2175" s="1"/>
  <c r="M19" i="2175"/>
  <c r="H33" i="2175" s="1"/>
  <c r="L19" i="2175"/>
  <c r="P33" i="2175" s="1"/>
  <c r="K19" i="2175"/>
  <c r="L33" i="2175" s="1"/>
  <c r="J19" i="2175"/>
  <c r="I19" i="2175"/>
  <c r="AB33" i="2175" s="1"/>
  <c r="H19" i="2175"/>
  <c r="G19" i="2175"/>
  <c r="O33" i="2175" s="1"/>
  <c r="F19" i="2175"/>
  <c r="E19" i="2175"/>
  <c r="D19" i="2175"/>
  <c r="AE16" i="2175"/>
  <c r="AD16" i="2175"/>
  <c r="AC16" i="2175"/>
  <c r="AB16" i="2175"/>
  <c r="AA16" i="2175"/>
  <c r="Z16" i="2175"/>
  <c r="X16" i="2175"/>
  <c r="W16" i="2175"/>
  <c r="V16" i="2175"/>
  <c r="U16" i="2175"/>
  <c r="T16" i="2175"/>
  <c r="S16" i="2175"/>
  <c r="R16" i="2175"/>
  <c r="Q16" i="2175"/>
  <c r="P16" i="2175"/>
  <c r="O16" i="2175"/>
  <c r="N16" i="2175"/>
  <c r="M16" i="2175"/>
  <c r="L16" i="2175"/>
  <c r="K16" i="2175"/>
  <c r="J16" i="2175"/>
  <c r="I16" i="2175"/>
  <c r="H16" i="2175"/>
  <c r="G16" i="2175"/>
  <c r="F16" i="2175"/>
  <c r="E16" i="2175"/>
  <c r="D16" i="2175"/>
  <c r="AE10" i="2175"/>
  <c r="AD10" i="2175"/>
  <c r="AC10" i="2175"/>
  <c r="AB10" i="2175"/>
  <c r="AA10" i="2175"/>
  <c r="Z10" i="2175"/>
  <c r="Y10" i="2175"/>
  <c r="X10" i="2175"/>
  <c r="W10" i="2175"/>
  <c r="V10" i="2175"/>
  <c r="U10" i="2175"/>
  <c r="T10" i="2175"/>
  <c r="S10" i="2175"/>
  <c r="R10" i="2175"/>
  <c r="Q10" i="2175"/>
  <c r="P10" i="2175"/>
  <c r="O10" i="2175"/>
  <c r="N10" i="2175"/>
  <c r="Q33" i="2175" s="1"/>
  <c r="M10" i="2175"/>
  <c r="E33" i="2175" s="1"/>
  <c r="L10" i="2175"/>
  <c r="K10" i="2175"/>
  <c r="J10" i="2175"/>
  <c r="I10" i="2175"/>
  <c r="H10" i="2175"/>
  <c r="G10" i="2175"/>
  <c r="F10" i="2175"/>
  <c r="E10" i="2175"/>
  <c r="D10" i="2175"/>
  <c r="AE7" i="2175"/>
  <c r="AD7" i="2175"/>
  <c r="AC7" i="2175"/>
  <c r="AB7" i="2175"/>
  <c r="AA7" i="2175"/>
  <c r="Z7" i="2175"/>
  <c r="Y7" i="2175"/>
  <c r="X7" i="2175"/>
  <c r="W7" i="2175"/>
  <c r="V7" i="2175"/>
  <c r="U7" i="2175"/>
  <c r="T7" i="2175"/>
  <c r="S7" i="2175"/>
  <c r="R7" i="2175"/>
  <c r="Q7" i="2175"/>
  <c r="P7" i="2175"/>
  <c r="O7" i="2175"/>
  <c r="N7" i="2175"/>
  <c r="M7" i="2175"/>
  <c r="L7" i="2175"/>
  <c r="K7" i="2175"/>
  <c r="J7" i="2175"/>
  <c r="I7" i="2175"/>
  <c r="H7" i="2175"/>
  <c r="G7" i="2175"/>
  <c r="F7" i="2175"/>
  <c r="E7" i="2175"/>
  <c r="D7" i="2175"/>
  <c r="J33" i="2175" l="1"/>
  <c r="W33" i="2175"/>
  <c r="N33" i="2175"/>
  <c r="AC33" i="2175"/>
  <c r="D33" i="2175"/>
  <c r="Z33" i="2175"/>
  <c r="Y33" i="2175"/>
  <c r="K33" i="2175"/>
  <c r="M33" i="2175"/>
  <c r="V33" i="2175"/>
  <c r="AA33" i="2174"/>
  <c r="X33" i="2174"/>
  <c r="U33" i="2174"/>
  <c r="R33" i="2174"/>
  <c r="F33" i="2174"/>
  <c r="Y28" i="2174"/>
  <c r="X28" i="2174"/>
  <c r="S33" i="2174" s="1"/>
  <c r="W28" i="2174"/>
  <c r="V28" i="2174"/>
  <c r="U28" i="2174"/>
  <c r="T28" i="2174"/>
  <c r="S28" i="2174"/>
  <c r="R28" i="2174"/>
  <c r="Q28" i="2174"/>
  <c r="P28" i="2174"/>
  <c r="O28" i="2174"/>
  <c r="N28" i="2174"/>
  <c r="M28" i="2174"/>
  <c r="L28" i="2174"/>
  <c r="K28" i="2174"/>
  <c r="J28" i="2174"/>
  <c r="I28" i="2174"/>
  <c r="H28" i="2174"/>
  <c r="G28" i="2174"/>
  <c r="F28" i="2174"/>
  <c r="E28" i="2174"/>
  <c r="D28" i="2174"/>
  <c r="Y25" i="2174"/>
  <c r="X25" i="2174"/>
  <c r="W25" i="2174"/>
  <c r="V25" i="2174"/>
  <c r="U25" i="2174"/>
  <c r="T25" i="2174"/>
  <c r="S25" i="2174"/>
  <c r="R25" i="2174"/>
  <c r="Q25" i="2174"/>
  <c r="P25" i="2174"/>
  <c r="O25" i="2174"/>
  <c r="N25" i="2174"/>
  <c r="M25" i="2174"/>
  <c r="L25" i="2174"/>
  <c r="K25" i="2174"/>
  <c r="J25" i="2174"/>
  <c r="I25" i="2174"/>
  <c r="H25" i="2174"/>
  <c r="G25" i="2174"/>
  <c r="F25" i="2174"/>
  <c r="E25" i="2174"/>
  <c r="D25" i="2174"/>
  <c r="AE19" i="2174"/>
  <c r="AD19" i="2174"/>
  <c r="AC19" i="2174"/>
  <c r="AB19" i="2174"/>
  <c r="AA19" i="2174"/>
  <c r="Z19" i="2174"/>
  <c r="Y19" i="2174"/>
  <c r="X19" i="2174"/>
  <c r="T33" i="2174" s="1"/>
  <c r="W19" i="2174"/>
  <c r="V19" i="2174"/>
  <c r="U19" i="2174"/>
  <c r="T19" i="2174"/>
  <c r="S19" i="2174"/>
  <c r="R19" i="2174"/>
  <c r="Q19" i="2174"/>
  <c r="P19" i="2174"/>
  <c r="O19" i="2174"/>
  <c r="N19" i="2174"/>
  <c r="G33" i="2174" s="1"/>
  <c r="M19" i="2174"/>
  <c r="H33" i="2174" s="1"/>
  <c r="L19" i="2174"/>
  <c r="P33" i="2174" s="1"/>
  <c r="K19" i="2174"/>
  <c r="L33" i="2174" s="1"/>
  <c r="J19" i="2174"/>
  <c r="I19" i="2174"/>
  <c r="AB33" i="2174" s="1"/>
  <c r="H19" i="2174"/>
  <c r="G19" i="2174"/>
  <c r="O33" i="2174" s="1"/>
  <c r="F19" i="2174"/>
  <c r="E19" i="2174"/>
  <c r="D19" i="2174"/>
  <c r="AE16" i="2174"/>
  <c r="AD16" i="2174"/>
  <c r="AC16" i="2174"/>
  <c r="AB16" i="2174"/>
  <c r="AA16" i="2174"/>
  <c r="Z16" i="2174"/>
  <c r="X16" i="2174"/>
  <c r="W16" i="2174"/>
  <c r="V16" i="2174"/>
  <c r="U16" i="2174"/>
  <c r="T16" i="2174"/>
  <c r="S16" i="2174"/>
  <c r="R16" i="2174"/>
  <c r="Q16" i="2174"/>
  <c r="P16" i="2174"/>
  <c r="O16" i="2174"/>
  <c r="N16" i="2174"/>
  <c r="M16" i="2174"/>
  <c r="L16" i="2174"/>
  <c r="K16" i="2174"/>
  <c r="J16" i="2174"/>
  <c r="I16" i="2174"/>
  <c r="H16" i="2174"/>
  <c r="G16" i="2174"/>
  <c r="F16" i="2174"/>
  <c r="E16" i="2174"/>
  <c r="D16" i="2174"/>
  <c r="AE10" i="2174"/>
  <c r="AD10" i="2174"/>
  <c r="AC10" i="2174"/>
  <c r="AB10" i="2174"/>
  <c r="AA10" i="2174"/>
  <c r="Z10" i="2174"/>
  <c r="Y10" i="2174"/>
  <c r="X10" i="2174"/>
  <c r="W10" i="2174"/>
  <c r="V10" i="2174"/>
  <c r="U10" i="2174"/>
  <c r="T10" i="2174"/>
  <c r="S10" i="2174"/>
  <c r="R10" i="2174"/>
  <c r="Q10" i="2174"/>
  <c r="P10" i="2174"/>
  <c r="O10" i="2174"/>
  <c r="N10" i="2174"/>
  <c r="M10" i="2174"/>
  <c r="E33" i="2174" s="1"/>
  <c r="L10" i="2174"/>
  <c r="K10" i="2174"/>
  <c r="J10" i="2174"/>
  <c r="Q33" i="2174" s="1"/>
  <c r="I10" i="2174"/>
  <c r="H10" i="2174"/>
  <c r="G10" i="2174"/>
  <c r="F10" i="2174"/>
  <c r="E10" i="2174"/>
  <c r="D10" i="2174"/>
  <c r="AE7" i="2174"/>
  <c r="AD7" i="2174"/>
  <c r="AC7" i="2174"/>
  <c r="AB7" i="2174"/>
  <c r="AA7" i="2174"/>
  <c r="Z7" i="2174"/>
  <c r="Y7" i="2174"/>
  <c r="X7" i="2174"/>
  <c r="W7" i="2174"/>
  <c r="V7" i="2174"/>
  <c r="U7" i="2174"/>
  <c r="T7" i="2174"/>
  <c r="S7" i="2174"/>
  <c r="R7" i="2174"/>
  <c r="Q7" i="2174"/>
  <c r="P7" i="2174"/>
  <c r="O7" i="2174"/>
  <c r="N7" i="2174"/>
  <c r="M7" i="2174"/>
  <c r="L7" i="2174"/>
  <c r="K7" i="2174"/>
  <c r="J7" i="2174"/>
  <c r="I7" i="2174"/>
  <c r="H7" i="2174"/>
  <c r="G7" i="2174"/>
  <c r="F7" i="2174"/>
  <c r="E7" i="2174"/>
  <c r="D7" i="2174"/>
  <c r="J33" i="2174" l="1"/>
  <c r="W33" i="2174"/>
  <c r="N33" i="2174"/>
  <c r="AC33" i="2174"/>
  <c r="D33" i="2174"/>
  <c r="Z33" i="2174"/>
  <c r="Y33" i="2174"/>
  <c r="K33" i="2174"/>
  <c r="M33" i="2174"/>
  <c r="V33" i="2174"/>
  <c r="AA33" i="2173"/>
  <c r="X33" i="2173"/>
  <c r="U33" i="2173"/>
  <c r="R33" i="2173"/>
  <c r="O33" i="2173"/>
  <c r="F33" i="2173"/>
  <c r="Y28" i="2173"/>
  <c r="X28" i="2173"/>
  <c r="S33" i="2173" s="1"/>
  <c r="W28" i="2173"/>
  <c r="V28" i="2173"/>
  <c r="U28" i="2173"/>
  <c r="T28" i="2173"/>
  <c r="S28" i="2173"/>
  <c r="R28" i="2173"/>
  <c r="Q28" i="2173"/>
  <c r="P28" i="2173"/>
  <c r="O28" i="2173"/>
  <c r="N28" i="2173"/>
  <c r="M28" i="2173"/>
  <c r="L28" i="2173"/>
  <c r="K28" i="2173"/>
  <c r="J28" i="2173"/>
  <c r="I28" i="2173"/>
  <c r="H28" i="2173"/>
  <c r="G28" i="2173"/>
  <c r="F28" i="2173"/>
  <c r="E28" i="2173"/>
  <c r="D28" i="2173"/>
  <c r="Y25" i="2173"/>
  <c r="X25" i="2173"/>
  <c r="W25" i="2173"/>
  <c r="V25" i="2173"/>
  <c r="U25" i="2173"/>
  <c r="T25" i="2173"/>
  <c r="S25" i="2173"/>
  <c r="R25" i="2173"/>
  <c r="Q25" i="2173"/>
  <c r="P25" i="2173"/>
  <c r="O25" i="2173"/>
  <c r="N25" i="2173"/>
  <c r="M25" i="2173"/>
  <c r="L25" i="2173"/>
  <c r="K25" i="2173"/>
  <c r="J25" i="2173"/>
  <c r="I25" i="2173"/>
  <c r="H25" i="2173"/>
  <c r="G25" i="2173"/>
  <c r="F25" i="2173"/>
  <c r="E25" i="2173"/>
  <c r="D25" i="2173"/>
  <c r="AE19" i="2173"/>
  <c r="AD19" i="2173"/>
  <c r="AC19" i="2173"/>
  <c r="AB19" i="2173"/>
  <c r="AA19" i="2173"/>
  <c r="Z19" i="2173"/>
  <c r="Y19" i="2173"/>
  <c r="X19" i="2173"/>
  <c r="T33" i="2173" s="1"/>
  <c r="W19" i="2173"/>
  <c r="V19" i="2173"/>
  <c r="U19" i="2173"/>
  <c r="T19" i="2173"/>
  <c r="S19" i="2173"/>
  <c r="R19" i="2173"/>
  <c r="Q19" i="2173"/>
  <c r="P19" i="2173"/>
  <c r="O19" i="2173"/>
  <c r="N19" i="2173"/>
  <c r="G33" i="2173" s="1"/>
  <c r="M19" i="2173"/>
  <c r="H33" i="2173" s="1"/>
  <c r="L19" i="2173"/>
  <c r="P33" i="2173" s="1"/>
  <c r="K19" i="2173"/>
  <c r="L33" i="2173" s="1"/>
  <c r="J19" i="2173"/>
  <c r="I19" i="2173"/>
  <c r="AB33" i="2173" s="1"/>
  <c r="H19" i="2173"/>
  <c r="G19" i="2173"/>
  <c r="F19" i="2173"/>
  <c r="E19" i="2173"/>
  <c r="D19" i="2173"/>
  <c r="AE16" i="2173"/>
  <c r="AD16" i="2173"/>
  <c r="AC16" i="2173"/>
  <c r="AB16" i="2173"/>
  <c r="AA16" i="2173"/>
  <c r="Z16" i="2173"/>
  <c r="X16" i="2173"/>
  <c r="W16" i="2173"/>
  <c r="V16" i="2173"/>
  <c r="U16" i="2173"/>
  <c r="T16" i="2173"/>
  <c r="S16" i="2173"/>
  <c r="R16" i="2173"/>
  <c r="Q16" i="2173"/>
  <c r="P16" i="2173"/>
  <c r="O16" i="2173"/>
  <c r="N16" i="2173"/>
  <c r="M16" i="2173"/>
  <c r="L16" i="2173"/>
  <c r="K16" i="2173"/>
  <c r="J16" i="2173"/>
  <c r="I16" i="2173"/>
  <c r="H16" i="2173"/>
  <c r="G16" i="2173"/>
  <c r="F16" i="2173"/>
  <c r="E16" i="2173"/>
  <c r="D16" i="2173"/>
  <c r="AE10" i="2173"/>
  <c r="AD10" i="2173"/>
  <c r="AC10" i="2173"/>
  <c r="AB10" i="2173"/>
  <c r="AA10" i="2173"/>
  <c r="Z10" i="2173"/>
  <c r="Y10" i="2173"/>
  <c r="X10" i="2173"/>
  <c r="W10" i="2173"/>
  <c r="V10" i="2173"/>
  <c r="U10" i="2173"/>
  <c r="T10" i="2173"/>
  <c r="S10" i="2173"/>
  <c r="R10" i="2173"/>
  <c r="Q10" i="2173"/>
  <c r="P10" i="2173"/>
  <c r="O10" i="2173"/>
  <c r="N10" i="2173"/>
  <c r="M10" i="2173"/>
  <c r="E33" i="2173" s="1"/>
  <c r="L10" i="2173"/>
  <c r="K10" i="2173"/>
  <c r="J10" i="2173"/>
  <c r="Q33" i="2173" s="1"/>
  <c r="I10" i="2173"/>
  <c r="H10" i="2173"/>
  <c r="G10" i="2173"/>
  <c r="F10" i="2173"/>
  <c r="J33" i="2173" s="1"/>
  <c r="E10" i="2173"/>
  <c r="D10" i="2173"/>
  <c r="AE7" i="2173"/>
  <c r="AD7" i="2173"/>
  <c r="AC7" i="2173"/>
  <c r="AB7" i="2173"/>
  <c r="AA7" i="2173"/>
  <c r="Z7" i="2173"/>
  <c r="Y7" i="2173"/>
  <c r="X7" i="2173"/>
  <c r="W7" i="2173"/>
  <c r="V7" i="2173"/>
  <c r="U7" i="2173"/>
  <c r="T7" i="2173"/>
  <c r="S7" i="2173"/>
  <c r="R7" i="2173"/>
  <c r="Q7" i="2173"/>
  <c r="P7" i="2173"/>
  <c r="O7" i="2173"/>
  <c r="N7" i="2173"/>
  <c r="M7" i="2173"/>
  <c r="L7" i="2173"/>
  <c r="K7" i="2173"/>
  <c r="J7" i="2173"/>
  <c r="I7" i="2173"/>
  <c r="H7" i="2173"/>
  <c r="G7" i="2173"/>
  <c r="F7" i="2173"/>
  <c r="E7" i="2173"/>
  <c r="D7" i="2173"/>
  <c r="W33" i="2173" l="1"/>
  <c r="N33" i="2173"/>
  <c r="AC33" i="2173"/>
  <c r="D33" i="2173"/>
  <c r="Z33" i="2173"/>
  <c r="Y33" i="2173"/>
  <c r="K33" i="2173"/>
  <c r="M33" i="2173"/>
  <c r="V33" i="2173"/>
  <c r="AA33" i="2172"/>
  <c r="X33" i="2172"/>
  <c r="U33" i="2172"/>
  <c r="R33" i="2172"/>
  <c r="F33" i="2172"/>
  <c r="E33" i="2172"/>
  <c r="Y28" i="2172"/>
  <c r="X28" i="2172"/>
  <c r="S33" i="2172" s="1"/>
  <c r="W28" i="2172"/>
  <c r="V28" i="2172"/>
  <c r="U28" i="2172"/>
  <c r="T28" i="2172"/>
  <c r="S28" i="2172"/>
  <c r="R28" i="2172"/>
  <c r="Q28" i="2172"/>
  <c r="P28" i="2172"/>
  <c r="O28" i="2172"/>
  <c r="N28" i="2172"/>
  <c r="M28" i="2172"/>
  <c r="L28" i="2172"/>
  <c r="K28" i="2172"/>
  <c r="J28" i="2172"/>
  <c r="I28" i="2172"/>
  <c r="H28" i="2172"/>
  <c r="G28" i="2172"/>
  <c r="F28" i="2172"/>
  <c r="E28" i="2172"/>
  <c r="D28" i="2172"/>
  <c r="Y25" i="2172"/>
  <c r="X25" i="2172"/>
  <c r="W25" i="2172"/>
  <c r="V25" i="2172"/>
  <c r="U25" i="2172"/>
  <c r="T25" i="2172"/>
  <c r="S25" i="2172"/>
  <c r="R25" i="2172"/>
  <c r="Q25" i="2172"/>
  <c r="P25" i="2172"/>
  <c r="O25" i="2172"/>
  <c r="N25" i="2172"/>
  <c r="M25" i="2172"/>
  <c r="L25" i="2172"/>
  <c r="K25" i="2172"/>
  <c r="J25" i="2172"/>
  <c r="I25" i="2172"/>
  <c r="H25" i="2172"/>
  <c r="G25" i="2172"/>
  <c r="F25" i="2172"/>
  <c r="E25" i="2172"/>
  <c r="D25" i="2172"/>
  <c r="AE19" i="2172"/>
  <c r="AD19" i="2172"/>
  <c r="AC19" i="2172"/>
  <c r="AB19" i="2172"/>
  <c r="AA19" i="2172"/>
  <c r="Z19" i="2172"/>
  <c r="Y19" i="2172"/>
  <c r="X19" i="2172"/>
  <c r="T33" i="2172" s="1"/>
  <c r="W19" i="2172"/>
  <c r="V19" i="2172"/>
  <c r="U19" i="2172"/>
  <c r="T19" i="2172"/>
  <c r="S19" i="2172"/>
  <c r="R19" i="2172"/>
  <c r="Q19" i="2172"/>
  <c r="P19" i="2172"/>
  <c r="O19" i="2172"/>
  <c r="N19" i="2172"/>
  <c r="G33" i="2172" s="1"/>
  <c r="M19" i="2172"/>
  <c r="H33" i="2172" s="1"/>
  <c r="L19" i="2172"/>
  <c r="P33" i="2172" s="1"/>
  <c r="K19" i="2172"/>
  <c r="L33" i="2172" s="1"/>
  <c r="J19" i="2172"/>
  <c r="I19" i="2172"/>
  <c r="AB33" i="2172" s="1"/>
  <c r="H19" i="2172"/>
  <c r="G19" i="2172"/>
  <c r="O33" i="2172" s="1"/>
  <c r="F19" i="2172"/>
  <c r="E19" i="2172"/>
  <c r="D19" i="2172"/>
  <c r="AE16" i="2172"/>
  <c r="AD16" i="2172"/>
  <c r="AC16" i="2172"/>
  <c r="AB16" i="2172"/>
  <c r="AA16" i="2172"/>
  <c r="Z16" i="2172"/>
  <c r="X16" i="2172"/>
  <c r="W16" i="2172"/>
  <c r="V16" i="2172"/>
  <c r="U16" i="2172"/>
  <c r="T16" i="2172"/>
  <c r="S16" i="2172"/>
  <c r="R16" i="2172"/>
  <c r="Q16" i="2172"/>
  <c r="P16" i="2172"/>
  <c r="O16" i="2172"/>
  <c r="N16" i="2172"/>
  <c r="M16" i="2172"/>
  <c r="L16" i="2172"/>
  <c r="K16" i="2172"/>
  <c r="J16" i="2172"/>
  <c r="I16" i="2172"/>
  <c r="H16" i="2172"/>
  <c r="G16" i="2172"/>
  <c r="F16" i="2172"/>
  <c r="E16" i="2172"/>
  <c r="D16" i="2172"/>
  <c r="AE10" i="2172"/>
  <c r="AD10" i="2172"/>
  <c r="AC10" i="2172"/>
  <c r="AB10" i="2172"/>
  <c r="AA10" i="2172"/>
  <c r="Z10" i="2172"/>
  <c r="Y10" i="2172"/>
  <c r="X10" i="2172"/>
  <c r="W10" i="2172"/>
  <c r="V10" i="2172"/>
  <c r="U10" i="2172"/>
  <c r="T10" i="2172"/>
  <c r="S10" i="2172"/>
  <c r="R10" i="2172"/>
  <c r="Q10" i="2172"/>
  <c r="P10" i="2172"/>
  <c r="O10" i="2172"/>
  <c r="N10" i="2172"/>
  <c r="M10" i="2172"/>
  <c r="L10" i="2172"/>
  <c r="K10" i="2172"/>
  <c r="J10" i="2172"/>
  <c r="I10" i="2172"/>
  <c r="H10" i="2172"/>
  <c r="G10" i="2172"/>
  <c r="F10" i="2172"/>
  <c r="J33" i="2172" s="1"/>
  <c r="E10" i="2172"/>
  <c r="D10" i="2172"/>
  <c r="AE7" i="2172"/>
  <c r="AD7" i="2172"/>
  <c r="AC7" i="2172"/>
  <c r="AB7" i="2172"/>
  <c r="AA7" i="2172"/>
  <c r="Z7" i="2172"/>
  <c r="Y7" i="2172"/>
  <c r="X7" i="2172"/>
  <c r="W7" i="2172"/>
  <c r="V7" i="2172"/>
  <c r="U7" i="2172"/>
  <c r="T7" i="2172"/>
  <c r="S7" i="2172"/>
  <c r="R7" i="2172"/>
  <c r="Q7" i="2172"/>
  <c r="P7" i="2172"/>
  <c r="O7" i="2172"/>
  <c r="N7" i="2172"/>
  <c r="M7" i="2172"/>
  <c r="L7" i="2172"/>
  <c r="K7" i="2172"/>
  <c r="J7" i="2172"/>
  <c r="I7" i="2172"/>
  <c r="H7" i="2172"/>
  <c r="G7" i="2172"/>
  <c r="F7" i="2172"/>
  <c r="E7" i="2172"/>
  <c r="D7" i="2172"/>
  <c r="W33" i="2172" l="1"/>
  <c r="N33" i="2172"/>
  <c r="AC33" i="2172"/>
  <c r="Z33" i="2172"/>
  <c r="D33" i="2172"/>
  <c r="Y33" i="2172"/>
  <c r="Q33" i="2172"/>
  <c r="K33" i="2172"/>
  <c r="M33" i="2172"/>
  <c r="V33" i="2172"/>
  <c r="AA33" i="2171"/>
  <c r="X33" i="2171"/>
  <c r="U33" i="2171"/>
  <c r="R33" i="2171"/>
  <c r="O33" i="2171"/>
  <c r="F33" i="2171"/>
  <c r="E33" i="2171"/>
  <c r="Y28" i="2171"/>
  <c r="X28" i="2171"/>
  <c r="S33" i="2171" s="1"/>
  <c r="W28" i="2171"/>
  <c r="V28" i="2171"/>
  <c r="U28" i="2171"/>
  <c r="T28" i="2171"/>
  <c r="S28" i="2171"/>
  <c r="R28" i="2171"/>
  <c r="Q28" i="2171"/>
  <c r="P28" i="2171"/>
  <c r="O28" i="2171"/>
  <c r="N28" i="2171"/>
  <c r="M28" i="2171"/>
  <c r="L28" i="2171"/>
  <c r="K28" i="2171"/>
  <c r="J28" i="2171"/>
  <c r="I28" i="2171"/>
  <c r="H28" i="2171"/>
  <c r="G28" i="2171"/>
  <c r="F28" i="2171"/>
  <c r="E28" i="2171"/>
  <c r="D28" i="2171"/>
  <c r="Y25" i="2171"/>
  <c r="X25" i="2171"/>
  <c r="W25" i="2171"/>
  <c r="V25" i="2171"/>
  <c r="U25" i="2171"/>
  <c r="T25" i="2171"/>
  <c r="S25" i="2171"/>
  <c r="R25" i="2171"/>
  <c r="Q25" i="2171"/>
  <c r="P25" i="2171"/>
  <c r="O25" i="2171"/>
  <c r="N25" i="2171"/>
  <c r="M25" i="2171"/>
  <c r="L25" i="2171"/>
  <c r="K25" i="2171"/>
  <c r="J25" i="2171"/>
  <c r="I25" i="2171"/>
  <c r="H25" i="2171"/>
  <c r="G25" i="2171"/>
  <c r="F25" i="2171"/>
  <c r="E25" i="2171"/>
  <c r="D25" i="2171"/>
  <c r="AE19" i="2171"/>
  <c r="AD19" i="2171"/>
  <c r="AC19" i="2171"/>
  <c r="AB19" i="2171"/>
  <c r="AA19" i="2171"/>
  <c r="Z19" i="2171"/>
  <c r="Y19" i="2171"/>
  <c r="X19" i="2171"/>
  <c r="T33" i="2171" s="1"/>
  <c r="W19" i="2171"/>
  <c r="V19" i="2171"/>
  <c r="U19" i="2171"/>
  <c r="T19" i="2171"/>
  <c r="S19" i="2171"/>
  <c r="R19" i="2171"/>
  <c r="Q19" i="2171"/>
  <c r="P19" i="2171"/>
  <c r="O19" i="2171"/>
  <c r="N19" i="2171"/>
  <c r="G33" i="2171" s="1"/>
  <c r="M19" i="2171"/>
  <c r="H33" i="2171" s="1"/>
  <c r="L19" i="2171"/>
  <c r="P33" i="2171" s="1"/>
  <c r="K19" i="2171"/>
  <c r="L33" i="2171" s="1"/>
  <c r="J19" i="2171"/>
  <c r="I19" i="2171"/>
  <c r="AB33" i="2171" s="1"/>
  <c r="H19" i="2171"/>
  <c r="G19" i="2171"/>
  <c r="F19" i="2171"/>
  <c r="E19" i="2171"/>
  <c r="D19" i="2171"/>
  <c r="AE16" i="2171"/>
  <c r="AD16" i="2171"/>
  <c r="AC16" i="2171"/>
  <c r="AB16" i="2171"/>
  <c r="AA16" i="2171"/>
  <c r="Z16" i="2171"/>
  <c r="X16" i="2171"/>
  <c r="W16" i="2171"/>
  <c r="V16" i="2171"/>
  <c r="U16" i="2171"/>
  <c r="T16" i="2171"/>
  <c r="S16" i="2171"/>
  <c r="R16" i="2171"/>
  <c r="Q16" i="2171"/>
  <c r="P16" i="2171"/>
  <c r="O16" i="2171"/>
  <c r="N16" i="2171"/>
  <c r="M16" i="2171"/>
  <c r="L16" i="2171"/>
  <c r="K16" i="2171"/>
  <c r="J16" i="2171"/>
  <c r="I16" i="2171"/>
  <c r="H16" i="2171"/>
  <c r="G16" i="2171"/>
  <c r="F16" i="2171"/>
  <c r="E16" i="2171"/>
  <c r="D16" i="2171"/>
  <c r="AE10" i="2171"/>
  <c r="AD10" i="2171"/>
  <c r="AC10" i="2171"/>
  <c r="AB10" i="2171"/>
  <c r="AA10" i="2171"/>
  <c r="Z10" i="2171"/>
  <c r="Y10" i="2171"/>
  <c r="X10" i="2171"/>
  <c r="W10" i="2171"/>
  <c r="V10" i="2171"/>
  <c r="U10" i="2171"/>
  <c r="T10" i="2171"/>
  <c r="S10" i="2171"/>
  <c r="R10" i="2171"/>
  <c r="Q10" i="2171"/>
  <c r="P10" i="2171"/>
  <c r="O10" i="2171"/>
  <c r="N10" i="2171"/>
  <c r="M10" i="2171"/>
  <c r="L10" i="2171"/>
  <c r="K10" i="2171"/>
  <c r="J10" i="2171"/>
  <c r="I10" i="2171"/>
  <c r="H10" i="2171"/>
  <c r="G10" i="2171"/>
  <c r="F10" i="2171"/>
  <c r="J33" i="2171" s="1"/>
  <c r="E10" i="2171"/>
  <c r="D10" i="2171"/>
  <c r="AE7" i="2171"/>
  <c r="AD7" i="2171"/>
  <c r="AC7" i="2171"/>
  <c r="AB7" i="2171"/>
  <c r="AA7" i="2171"/>
  <c r="Z7" i="2171"/>
  <c r="Y7" i="2171"/>
  <c r="X7" i="2171"/>
  <c r="W7" i="2171"/>
  <c r="V7" i="2171"/>
  <c r="U7" i="2171"/>
  <c r="T7" i="2171"/>
  <c r="S7" i="2171"/>
  <c r="R7" i="2171"/>
  <c r="Q7" i="2171"/>
  <c r="P7" i="2171"/>
  <c r="O7" i="2171"/>
  <c r="N7" i="2171"/>
  <c r="M7" i="2171"/>
  <c r="L7" i="2171"/>
  <c r="K7" i="2171"/>
  <c r="J7" i="2171"/>
  <c r="I7" i="2171"/>
  <c r="H7" i="2171"/>
  <c r="G7" i="2171"/>
  <c r="F7" i="2171"/>
  <c r="E7" i="2171"/>
  <c r="D7" i="2171"/>
  <c r="W33" i="2171" l="1"/>
  <c r="N33" i="2171"/>
  <c r="AC33" i="2171"/>
  <c r="Z33" i="2171"/>
  <c r="D33" i="2171"/>
  <c r="Y33" i="2171"/>
  <c r="Q33" i="2171"/>
  <c r="K33" i="2171"/>
  <c r="M33" i="2171"/>
  <c r="V33" i="2171"/>
  <c r="AA33" i="2170"/>
  <c r="X33" i="2170"/>
  <c r="U33" i="2170"/>
  <c r="R33" i="2170"/>
  <c r="F33" i="2170"/>
  <c r="E33" i="2170"/>
  <c r="Y28" i="2170"/>
  <c r="X28" i="2170"/>
  <c r="S33" i="2170" s="1"/>
  <c r="W28" i="2170"/>
  <c r="V28" i="2170"/>
  <c r="U28" i="2170"/>
  <c r="T28" i="2170"/>
  <c r="S28" i="2170"/>
  <c r="R28" i="2170"/>
  <c r="Q28" i="2170"/>
  <c r="P28" i="2170"/>
  <c r="O28" i="2170"/>
  <c r="N28" i="2170"/>
  <c r="M28" i="2170"/>
  <c r="L28" i="2170"/>
  <c r="K28" i="2170"/>
  <c r="J28" i="2170"/>
  <c r="I28" i="2170"/>
  <c r="H28" i="2170"/>
  <c r="G28" i="2170"/>
  <c r="F28" i="2170"/>
  <c r="E28" i="2170"/>
  <c r="D28" i="2170"/>
  <c r="Y25" i="2170"/>
  <c r="X25" i="2170"/>
  <c r="W25" i="2170"/>
  <c r="V25" i="2170"/>
  <c r="U25" i="2170"/>
  <c r="T25" i="2170"/>
  <c r="S25" i="2170"/>
  <c r="R25" i="2170"/>
  <c r="Q25" i="2170"/>
  <c r="P25" i="2170"/>
  <c r="O25" i="2170"/>
  <c r="N25" i="2170"/>
  <c r="M25" i="2170"/>
  <c r="L25" i="2170"/>
  <c r="K25" i="2170"/>
  <c r="J25" i="2170"/>
  <c r="I25" i="2170"/>
  <c r="H25" i="2170"/>
  <c r="G25" i="2170"/>
  <c r="F25" i="2170"/>
  <c r="E25" i="2170"/>
  <c r="D25" i="2170"/>
  <c r="AE19" i="2170"/>
  <c r="AD19" i="2170"/>
  <c r="AC19" i="2170"/>
  <c r="AB19" i="2170"/>
  <c r="AA19" i="2170"/>
  <c r="Z19" i="2170"/>
  <c r="Y19" i="2170"/>
  <c r="X19" i="2170"/>
  <c r="T33" i="2170" s="1"/>
  <c r="W19" i="2170"/>
  <c r="V19" i="2170"/>
  <c r="U19" i="2170"/>
  <c r="T19" i="2170"/>
  <c r="S19" i="2170"/>
  <c r="R19" i="2170"/>
  <c r="Q19" i="2170"/>
  <c r="P19" i="2170"/>
  <c r="O19" i="2170"/>
  <c r="N19" i="2170"/>
  <c r="G33" i="2170" s="1"/>
  <c r="M19" i="2170"/>
  <c r="H33" i="2170" s="1"/>
  <c r="L19" i="2170"/>
  <c r="P33" i="2170" s="1"/>
  <c r="K19" i="2170"/>
  <c r="L33" i="2170" s="1"/>
  <c r="J19" i="2170"/>
  <c r="I19" i="2170"/>
  <c r="AB33" i="2170" s="1"/>
  <c r="H19" i="2170"/>
  <c r="G19" i="2170"/>
  <c r="O33" i="2170" s="1"/>
  <c r="F19" i="2170"/>
  <c r="E19" i="2170"/>
  <c r="D19" i="2170"/>
  <c r="AE16" i="2170"/>
  <c r="AD16" i="2170"/>
  <c r="AC16" i="2170"/>
  <c r="AB16" i="2170"/>
  <c r="AA16" i="2170"/>
  <c r="Z16" i="2170"/>
  <c r="X16" i="2170"/>
  <c r="W16" i="2170"/>
  <c r="V16" i="2170"/>
  <c r="U16" i="2170"/>
  <c r="T16" i="2170"/>
  <c r="S16" i="2170"/>
  <c r="R16" i="2170"/>
  <c r="Q16" i="2170"/>
  <c r="P16" i="2170"/>
  <c r="O16" i="2170"/>
  <c r="N16" i="2170"/>
  <c r="M16" i="2170"/>
  <c r="L16" i="2170"/>
  <c r="K16" i="2170"/>
  <c r="J16" i="2170"/>
  <c r="I16" i="2170"/>
  <c r="H16" i="2170"/>
  <c r="G16" i="2170"/>
  <c r="F16" i="2170"/>
  <c r="E16" i="2170"/>
  <c r="D16" i="2170"/>
  <c r="AE10" i="2170"/>
  <c r="AD10" i="2170"/>
  <c r="AC10" i="2170"/>
  <c r="AB10" i="2170"/>
  <c r="AA10" i="2170"/>
  <c r="Z10" i="2170"/>
  <c r="Y10" i="2170"/>
  <c r="X10" i="2170"/>
  <c r="W10" i="2170"/>
  <c r="V10" i="2170"/>
  <c r="U10" i="2170"/>
  <c r="T10" i="2170"/>
  <c r="S10" i="2170"/>
  <c r="R10" i="2170"/>
  <c r="Q10" i="2170"/>
  <c r="P10" i="2170"/>
  <c r="O10" i="2170"/>
  <c r="N10" i="2170"/>
  <c r="M10" i="2170"/>
  <c r="L10" i="2170"/>
  <c r="K10" i="2170"/>
  <c r="J10" i="2170"/>
  <c r="Q33" i="2170" s="1"/>
  <c r="I10" i="2170"/>
  <c r="H10" i="2170"/>
  <c r="G10" i="2170"/>
  <c r="F10" i="2170"/>
  <c r="J33" i="2170" s="1"/>
  <c r="E10" i="2170"/>
  <c r="D10" i="2170"/>
  <c r="AE7" i="2170"/>
  <c r="AD7" i="2170"/>
  <c r="AC7" i="2170"/>
  <c r="AB7" i="2170"/>
  <c r="AA7" i="2170"/>
  <c r="Z7" i="2170"/>
  <c r="Y7" i="2170"/>
  <c r="X7" i="2170"/>
  <c r="W7" i="2170"/>
  <c r="V7" i="2170"/>
  <c r="U7" i="2170"/>
  <c r="T7" i="2170"/>
  <c r="S7" i="2170"/>
  <c r="R7" i="2170"/>
  <c r="Q7" i="2170"/>
  <c r="P7" i="2170"/>
  <c r="O7" i="2170"/>
  <c r="N7" i="2170"/>
  <c r="M7" i="2170"/>
  <c r="L7" i="2170"/>
  <c r="K7" i="2170"/>
  <c r="J7" i="2170"/>
  <c r="I7" i="2170"/>
  <c r="H7" i="2170"/>
  <c r="G7" i="2170"/>
  <c r="F7" i="2170"/>
  <c r="E7" i="2170"/>
  <c r="D7" i="2170"/>
  <c r="W33" i="2170" l="1"/>
  <c r="N33" i="2170"/>
  <c r="AC33" i="2170"/>
  <c r="D33" i="2170"/>
  <c r="Z33" i="2170"/>
  <c r="Y33" i="2170"/>
  <c r="K33" i="2170"/>
  <c r="M33" i="2170"/>
  <c r="V33" i="2170"/>
  <c r="AA33" i="2169"/>
  <c r="X33" i="2169"/>
  <c r="U33" i="2169"/>
  <c r="R33" i="2169"/>
  <c r="F33" i="2169"/>
  <c r="Y28" i="2169"/>
  <c r="X28" i="2169"/>
  <c r="S33" i="2169" s="1"/>
  <c r="W28" i="2169"/>
  <c r="V28" i="2169"/>
  <c r="U28" i="2169"/>
  <c r="T28" i="2169"/>
  <c r="S28" i="2169"/>
  <c r="R28" i="2169"/>
  <c r="Q28" i="2169"/>
  <c r="P28" i="2169"/>
  <c r="O28" i="2169"/>
  <c r="N28" i="2169"/>
  <c r="M28" i="2169"/>
  <c r="L28" i="2169"/>
  <c r="K28" i="2169"/>
  <c r="J28" i="2169"/>
  <c r="I28" i="2169"/>
  <c r="H28" i="2169"/>
  <c r="G28" i="2169"/>
  <c r="F28" i="2169"/>
  <c r="E28" i="2169"/>
  <c r="D28" i="2169"/>
  <c r="Y25" i="2169"/>
  <c r="X25" i="2169"/>
  <c r="W25" i="2169"/>
  <c r="V25" i="2169"/>
  <c r="U25" i="2169"/>
  <c r="T25" i="2169"/>
  <c r="S25" i="2169"/>
  <c r="R25" i="2169"/>
  <c r="Q25" i="2169"/>
  <c r="P25" i="2169"/>
  <c r="O25" i="2169"/>
  <c r="N25" i="2169"/>
  <c r="M25" i="2169"/>
  <c r="L25" i="2169"/>
  <c r="K25" i="2169"/>
  <c r="J25" i="2169"/>
  <c r="I25" i="2169"/>
  <c r="H25" i="2169"/>
  <c r="G25" i="2169"/>
  <c r="F25" i="2169"/>
  <c r="E25" i="2169"/>
  <c r="D25" i="2169"/>
  <c r="AE19" i="2169"/>
  <c r="AD19" i="2169"/>
  <c r="AC19" i="2169"/>
  <c r="AB19" i="2169"/>
  <c r="AA19" i="2169"/>
  <c r="Z19" i="2169"/>
  <c r="Y19" i="2169"/>
  <c r="X19" i="2169"/>
  <c r="T33" i="2169" s="1"/>
  <c r="W19" i="2169"/>
  <c r="V19" i="2169"/>
  <c r="U19" i="2169"/>
  <c r="T19" i="2169"/>
  <c r="S19" i="2169"/>
  <c r="R19" i="2169"/>
  <c r="Q19" i="2169"/>
  <c r="P19" i="2169"/>
  <c r="O19" i="2169"/>
  <c r="N19" i="2169"/>
  <c r="G33" i="2169" s="1"/>
  <c r="M19" i="2169"/>
  <c r="H33" i="2169" s="1"/>
  <c r="L19" i="2169"/>
  <c r="P33" i="2169" s="1"/>
  <c r="K19" i="2169"/>
  <c r="L33" i="2169" s="1"/>
  <c r="J19" i="2169"/>
  <c r="I19" i="2169"/>
  <c r="AB33" i="2169" s="1"/>
  <c r="H19" i="2169"/>
  <c r="G19" i="2169"/>
  <c r="O33" i="2169" s="1"/>
  <c r="F19" i="2169"/>
  <c r="E19" i="2169"/>
  <c r="D19" i="2169"/>
  <c r="AE16" i="2169"/>
  <c r="AD16" i="2169"/>
  <c r="AC16" i="2169"/>
  <c r="AB16" i="2169"/>
  <c r="AA16" i="2169"/>
  <c r="Z16" i="2169"/>
  <c r="X16" i="2169"/>
  <c r="W16" i="2169"/>
  <c r="V16" i="2169"/>
  <c r="U16" i="2169"/>
  <c r="T16" i="2169"/>
  <c r="S16" i="2169"/>
  <c r="R16" i="2169"/>
  <c r="Q16" i="2169"/>
  <c r="P16" i="2169"/>
  <c r="O16" i="2169"/>
  <c r="N16" i="2169"/>
  <c r="M16" i="2169"/>
  <c r="L16" i="2169"/>
  <c r="K16" i="2169"/>
  <c r="J16" i="2169"/>
  <c r="I16" i="2169"/>
  <c r="H16" i="2169"/>
  <c r="G16" i="2169"/>
  <c r="F16" i="2169"/>
  <c r="E16" i="2169"/>
  <c r="D16" i="2169"/>
  <c r="AE10" i="2169"/>
  <c r="AD10" i="2169"/>
  <c r="AC10" i="2169"/>
  <c r="AB10" i="2169"/>
  <c r="AA10" i="2169"/>
  <c r="Z10" i="2169"/>
  <c r="Y10" i="2169"/>
  <c r="X10" i="2169"/>
  <c r="W10" i="2169"/>
  <c r="V10" i="2169"/>
  <c r="U10" i="2169"/>
  <c r="T10" i="2169"/>
  <c r="S10" i="2169"/>
  <c r="R10" i="2169"/>
  <c r="Q10" i="2169"/>
  <c r="P10" i="2169"/>
  <c r="O10" i="2169"/>
  <c r="N10" i="2169"/>
  <c r="M10" i="2169"/>
  <c r="E33" i="2169" s="1"/>
  <c r="L10" i="2169"/>
  <c r="K10" i="2169"/>
  <c r="J10" i="2169"/>
  <c r="Q33" i="2169" s="1"/>
  <c r="I10" i="2169"/>
  <c r="H10" i="2169"/>
  <c r="G10" i="2169"/>
  <c r="F10" i="2169"/>
  <c r="E10" i="2169"/>
  <c r="D10" i="2169"/>
  <c r="AE7" i="2169"/>
  <c r="AD7" i="2169"/>
  <c r="AC7" i="2169"/>
  <c r="AB7" i="2169"/>
  <c r="AA7" i="2169"/>
  <c r="Z7" i="2169"/>
  <c r="Y7" i="2169"/>
  <c r="X7" i="2169"/>
  <c r="W7" i="2169"/>
  <c r="V7" i="2169"/>
  <c r="U7" i="2169"/>
  <c r="T7" i="2169"/>
  <c r="S7" i="2169"/>
  <c r="R7" i="2169"/>
  <c r="Q7" i="2169"/>
  <c r="P7" i="2169"/>
  <c r="O7" i="2169"/>
  <c r="N7" i="2169"/>
  <c r="M7" i="2169"/>
  <c r="L7" i="2169"/>
  <c r="K7" i="2169"/>
  <c r="J7" i="2169"/>
  <c r="I7" i="2169"/>
  <c r="H7" i="2169"/>
  <c r="G7" i="2169"/>
  <c r="F7" i="2169"/>
  <c r="E7" i="2169"/>
  <c r="D7" i="2169"/>
  <c r="J33" i="2169" l="1"/>
  <c r="W33" i="2169"/>
  <c r="N33" i="2169"/>
  <c r="AC33" i="2169"/>
  <c r="D33" i="2169"/>
  <c r="Z33" i="2169"/>
  <c r="Y33" i="2169"/>
  <c r="K33" i="2169"/>
  <c r="M33" i="2169"/>
  <c r="V33" i="2169"/>
  <c r="AA33" i="2168"/>
  <c r="X33" i="2168"/>
  <c r="U33" i="2168"/>
  <c r="S33" i="2168"/>
  <c r="R33" i="2168"/>
  <c r="P33" i="2168"/>
  <c r="F33" i="2168"/>
  <c r="Y28" i="2168"/>
  <c r="X28" i="2168"/>
  <c r="W28" i="2168"/>
  <c r="V28" i="2168"/>
  <c r="U28" i="2168"/>
  <c r="T28" i="2168"/>
  <c r="S28" i="2168"/>
  <c r="R28" i="2168"/>
  <c r="Q28" i="2168"/>
  <c r="P28" i="2168"/>
  <c r="O28" i="2168"/>
  <c r="N28" i="2168"/>
  <c r="M28" i="2168"/>
  <c r="L28" i="2168"/>
  <c r="K28" i="2168"/>
  <c r="J28" i="2168"/>
  <c r="I28" i="2168"/>
  <c r="H28" i="2168"/>
  <c r="G28" i="2168"/>
  <c r="F28" i="2168"/>
  <c r="E28" i="2168"/>
  <c r="D28" i="2168"/>
  <c r="Y25" i="2168"/>
  <c r="X25" i="2168"/>
  <c r="W25" i="2168"/>
  <c r="V25" i="2168"/>
  <c r="U25" i="2168"/>
  <c r="T25" i="2168"/>
  <c r="S25" i="2168"/>
  <c r="R25" i="2168"/>
  <c r="Q25" i="2168"/>
  <c r="P25" i="2168"/>
  <c r="O25" i="2168"/>
  <c r="N25" i="2168"/>
  <c r="M25" i="2168"/>
  <c r="L25" i="2168"/>
  <c r="K25" i="2168"/>
  <c r="J25" i="2168"/>
  <c r="I25" i="2168"/>
  <c r="H25" i="2168"/>
  <c r="G25" i="2168"/>
  <c r="F25" i="2168"/>
  <c r="E25" i="2168"/>
  <c r="D25" i="2168"/>
  <c r="AE19" i="2168"/>
  <c r="AD19" i="2168"/>
  <c r="AC19" i="2168"/>
  <c r="AB19" i="2168"/>
  <c r="AA19" i="2168"/>
  <c r="Z19" i="2168"/>
  <c r="Y19" i="2168"/>
  <c r="X19" i="2168"/>
  <c r="T33" i="2168" s="1"/>
  <c r="W19" i="2168"/>
  <c r="V19" i="2168"/>
  <c r="U19" i="2168"/>
  <c r="T19" i="2168"/>
  <c r="S19" i="2168"/>
  <c r="R19" i="2168"/>
  <c r="Q19" i="2168"/>
  <c r="P19" i="2168"/>
  <c r="O19" i="2168"/>
  <c r="N19" i="2168"/>
  <c r="G33" i="2168" s="1"/>
  <c r="M19" i="2168"/>
  <c r="H33" i="2168" s="1"/>
  <c r="L19" i="2168"/>
  <c r="K19" i="2168"/>
  <c r="L33" i="2168" s="1"/>
  <c r="J19" i="2168"/>
  <c r="I19" i="2168"/>
  <c r="AB33" i="2168" s="1"/>
  <c r="H19" i="2168"/>
  <c r="G19" i="2168"/>
  <c r="O33" i="2168" s="1"/>
  <c r="F19" i="2168"/>
  <c r="E19" i="2168"/>
  <c r="D19" i="2168"/>
  <c r="AE16" i="2168"/>
  <c r="AD16" i="2168"/>
  <c r="AC16" i="2168"/>
  <c r="AB16" i="2168"/>
  <c r="AA16" i="2168"/>
  <c r="Z16" i="2168"/>
  <c r="X16" i="2168"/>
  <c r="W16" i="2168"/>
  <c r="V16" i="2168"/>
  <c r="U16" i="2168"/>
  <c r="T16" i="2168"/>
  <c r="S16" i="2168"/>
  <c r="R16" i="2168"/>
  <c r="Q16" i="2168"/>
  <c r="P16" i="2168"/>
  <c r="O16" i="2168"/>
  <c r="N16" i="2168"/>
  <c r="M16" i="2168"/>
  <c r="L16" i="2168"/>
  <c r="K16" i="2168"/>
  <c r="J16" i="2168"/>
  <c r="I16" i="2168"/>
  <c r="H16" i="2168"/>
  <c r="G16" i="2168"/>
  <c r="F16" i="2168"/>
  <c r="E16" i="2168"/>
  <c r="D16" i="2168"/>
  <c r="AE10" i="2168"/>
  <c r="AD10" i="2168"/>
  <c r="AC10" i="2168"/>
  <c r="AB10" i="2168"/>
  <c r="AA10" i="2168"/>
  <c r="D33" i="2168" s="1"/>
  <c r="Z10" i="2168"/>
  <c r="Y10" i="2168"/>
  <c r="X10" i="2168"/>
  <c r="W10" i="2168"/>
  <c r="V10" i="2168"/>
  <c r="U10" i="2168"/>
  <c r="T10" i="2168"/>
  <c r="S10" i="2168"/>
  <c r="R10" i="2168"/>
  <c r="Q10" i="2168"/>
  <c r="P10" i="2168"/>
  <c r="O10" i="2168"/>
  <c r="N10" i="2168"/>
  <c r="M10" i="2168"/>
  <c r="E33" i="2168" s="1"/>
  <c r="L10" i="2168"/>
  <c r="K10" i="2168"/>
  <c r="J10" i="2168"/>
  <c r="Q33" i="2168" s="1"/>
  <c r="I10" i="2168"/>
  <c r="H10" i="2168"/>
  <c r="G10" i="2168"/>
  <c r="F10" i="2168"/>
  <c r="E10" i="2168"/>
  <c r="D10" i="2168"/>
  <c r="AE7" i="2168"/>
  <c r="AD7" i="2168"/>
  <c r="AC7" i="2168"/>
  <c r="AB7" i="2168"/>
  <c r="AA7" i="2168"/>
  <c r="Z7" i="2168"/>
  <c r="Y7" i="2168"/>
  <c r="X7" i="2168"/>
  <c r="W7" i="2168"/>
  <c r="V7" i="2168"/>
  <c r="U7" i="2168"/>
  <c r="T7" i="2168"/>
  <c r="S7" i="2168"/>
  <c r="R7" i="2168"/>
  <c r="Q7" i="2168"/>
  <c r="P7" i="2168"/>
  <c r="O7" i="2168"/>
  <c r="N7" i="2168"/>
  <c r="M7" i="2168"/>
  <c r="L7" i="2168"/>
  <c r="K7" i="2168"/>
  <c r="J7" i="2168"/>
  <c r="I7" i="2168"/>
  <c r="H7" i="2168"/>
  <c r="G7" i="2168"/>
  <c r="F7" i="2168"/>
  <c r="E7" i="2168"/>
  <c r="D7" i="2168"/>
  <c r="AC33" i="2167"/>
  <c r="AB33" i="2167"/>
  <c r="AA33" i="2167"/>
  <c r="Z33" i="2167"/>
  <c r="Y33" i="2167"/>
  <c r="X33" i="2167"/>
  <c r="W33" i="2167"/>
  <c r="U33" i="2167"/>
  <c r="T33" i="2167"/>
  <c r="S33" i="2167"/>
  <c r="R33" i="2167"/>
  <c r="Q33" i="2167"/>
  <c r="P33" i="2167"/>
  <c r="O33" i="2167"/>
  <c r="N33" i="2167"/>
  <c r="M33" i="2167"/>
  <c r="L33" i="2167"/>
  <c r="K33" i="2167"/>
  <c r="J33" i="2167"/>
  <c r="H33" i="2167"/>
  <c r="G33" i="2167"/>
  <c r="F33" i="2167"/>
  <c r="E33" i="2167"/>
  <c r="D33" i="2167"/>
  <c r="Y28" i="2167"/>
  <c r="X28" i="2167"/>
  <c r="W28" i="2167"/>
  <c r="V28" i="2167"/>
  <c r="U28" i="2167"/>
  <c r="T28" i="2167"/>
  <c r="S28" i="2167"/>
  <c r="R28" i="2167"/>
  <c r="Q28" i="2167"/>
  <c r="P28" i="2167"/>
  <c r="O28" i="2167"/>
  <c r="N28" i="2167"/>
  <c r="M28" i="2167"/>
  <c r="L28" i="2167"/>
  <c r="K28" i="2167"/>
  <c r="J28" i="2167"/>
  <c r="I28" i="2167"/>
  <c r="H28" i="2167"/>
  <c r="G28" i="2167"/>
  <c r="F28" i="2167"/>
  <c r="E28" i="2167"/>
  <c r="D28" i="2167"/>
  <c r="Y25" i="2167"/>
  <c r="X25" i="2167"/>
  <c r="W25" i="2167"/>
  <c r="V25" i="2167"/>
  <c r="U25" i="2167"/>
  <c r="T25" i="2167"/>
  <c r="S25" i="2167"/>
  <c r="R25" i="2167"/>
  <c r="Q25" i="2167"/>
  <c r="P25" i="2167"/>
  <c r="O25" i="2167"/>
  <c r="N25" i="2167"/>
  <c r="M25" i="2167"/>
  <c r="L25" i="2167"/>
  <c r="K25" i="2167"/>
  <c r="J25" i="2167"/>
  <c r="I25" i="2167"/>
  <c r="H25" i="2167"/>
  <c r="G25" i="2167"/>
  <c r="F25" i="2167"/>
  <c r="E25" i="2167"/>
  <c r="D25" i="2167"/>
  <c r="AE19" i="2167"/>
  <c r="AD19" i="2167"/>
  <c r="AC19" i="2167"/>
  <c r="AB19" i="2167"/>
  <c r="AA19" i="2167"/>
  <c r="Z19" i="2167"/>
  <c r="Y19" i="2167"/>
  <c r="X19" i="2167"/>
  <c r="W19" i="2167"/>
  <c r="V19" i="2167"/>
  <c r="U19" i="2167"/>
  <c r="T19" i="2167"/>
  <c r="S19" i="2167"/>
  <c r="R19" i="2167"/>
  <c r="Q19" i="2167"/>
  <c r="P19" i="2167"/>
  <c r="V33" i="2167" s="1"/>
  <c r="O19" i="2167"/>
  <c r="N19" i="2167"/>
  <c r="M19" i="2167"/>
  <c r="L19" i="2167"/>
  <c r="K19" i="2167"/>
  <c r="J19" i="2167"/>
  <c r="I19" i="2167"/>
  <c r="H19" i="2167"/>
  <c r="G19" i="2167"/>
  <c r="F19" i="2167"/>
  <c r="E19" i="2167"/>
  <c r="D19" i="2167"/>
  <c r="AE16" i="2167"/>
  <c r="AD16" i="2167"/>
  <c r="AC16" i="2167"/>
  <c r="AB16" i="2167"/>
  <c r="AA16" i="2167"/>
  <c r="Z16" i="2167"/>
  <c r="X16" i="2167"/>
  <c r="W16" i="2167"/>
  <c r="V16" i="2167"/>
  <c r="U16" i="2167"/>
  <c r="T16" i="2167"/>
  <c r="S16" i="2167"/>
  <c r="R16" i="2167"/>
  <c r="Q16" i="2167"/>
  <c r="P16" i="2167"/>
  <c r="O16" i="2167"/>
  <c r="N16" i="2167"/>
  <c r="M16" i="2167"/>
  <c r="L16" i="2167"/>
  <c r="K16" i="2167"/>
  <c r="J16" i="2167"/>
  <c r="I16" i="2167"/>
  <c r="H16" i="2167"/>
  <c r="G16" i="2167"/>
  <c r="F16" i="2167"/>
  <c r="E16" i="2167"/>
  <c r="D16" i="2167"/>
  <c r="AE10" i="2167"/>
  <c r="AD10" i="2167"/>
  <c r="AC10" i="2167"/>
  <c r="AB10" i="2167"/>
  <c r="AA10" i="2167"/>
  <c r="Z10" i="2167"/>
  <c r="Y10" i="2167"/>
  <c r="X10" i="2167"/>
  <c r="W10" i="2167"/>
  <c r="V10" i="2167"/>
  <c r="U10" i="2167"/>
  <c r="T10" i="2167"/>
  <c r="S10" i="2167"/>
  <c r="R10" i="2167"/>
  <c r="Q10" i="2167"/>
  <c r="P10" i="2167"/>
  <c r="O10" i="2167"/>
  <c r="N10" i="2167"/>
  <c r="M10" i="2167"/>
  <c r="L10" i="2167"/>
  <c r="K10" i="2167"/>
  <c r="J10" i="2167"/>
  <c r="I10" i="2167"/>
  <c r="H10" i="2167"/>
  <c r="G10" i="2167"/>
  <c r="F10" i="2167"/>
  <c r="E10" i="2167"/>
  <c r="D10" i="2167"/>
  <c r="AE7" i="2167"/>
  <c r="AD7" i="2167"/>
  <c r="AC7" i="2167"/>
  <c r="AB7" i="2167"/>
  <c r="AA7" i="2167"/>
  <c r="Z7" i="2167"/>
  <c r="Y7" i="2167"/>
  <c r="X7" i="2167"/>
  <c r="W7" i="2167"/>
  <c r="V7" i="2167"/>
  <c r="U7" i="2167"/>
  <c r="T7" i="2167"/>
  <c r="S7" i="2167"/>
  <c r="R7" i="2167"/>
  <c r="Q7" i="2167"/>
  <c r="P7" i="2167"/>
  <c r="O7" i="2167"/>
  <c r="N7" i="2167"/>
  <c r="M7" i="2167"/>
  <c r="L7" i="2167"/>
  <c r="K7" i="2167"/>
  <c r="J7" i="2167"/>
  <c r="I7" i="2167"/>
  <c r="H7" i="2167"/>
  <c r="G7" i="2167"/>
  <c r="F7" i="2167"/>
  <c r="E7" i="2167"/>
  <c r="D7" i="2167"/>
  <c r="AC33" i="2166"/>
  <c r="AB33" i="2166"/>
  <c r="AA33" i="2166"/>
  <c r="Z33" i="2166"/>
  <c r="Y33" i="2166"/>
  <c r="X33" i="2166"/>
  <c r="W33" i="2166"/>
  <c r="U33" i="2166"/>
  <c r="T33" i="2166"/>
  <c r="S33" i="2166"/>
  <c r="R33" i="2166"/>
  <c r="Q33" i="2166"/>
  <c r="P33" i="2166"/>
  <c r="O33" i="2166"/>
  <c r="N33" i="2166"/>
  <c r="M33" i="2166"/>
  <c r="L33" i="2166"/>
  <c r="K33" i="2166"/>
  <c r="J33" i="2166"/>
  <c r="H33" i="2166"/>
  <c r="G33" i="2166"/>
  <c r="F33" i="2166"/>
  <c r="E33" i="2166"/>
  <c r="D33" i="2166"/>
  <c r="Y28" i="2166"/>
  <c r="X28" i="2166"/>
  <c r="W28" i="2166"/>
  <c r="V28" i="2166"/>
  <c r="U28" i="2166"/>
  <c r="T28" i="2166"/>
  <c r="S28" i="2166"/>
  <c r="R28" i="2166"/>
  <c r="Q28" i="2166"/>
  <c r="P28" i="2166"/>
  <c r="O28" i="2166"/>
  <c r="N28" i="2166"/>
  <c r="M28" i="2166"/>
  <c r="L28" i="2166"/>
  <c r="K28" i="2166"/>
  <c r="J28" i="2166"/>
  <c r="I28" i="2166"/>
  <c r="H28" i="2166"/>
  <c r="G28" i="2166"/>
  <c r="F28" i="2166"/>
  <c r="E28" i="2166"/>
  <c r="D28" i="2166"/>
  <c r="Y25" i="2166"/>
  <c r="X25" i="2166"/>
  <c r="W25" i="2166"/>
  <c r="V25" i="2166"/>
  <c r="U25" i="2166"/>
  <c r="T25" i="2166"/>
  <c r="S25" i="2166"/>
  <c r="R25" i="2166"/>
  <c r="Q25" i="2166"/>
  <c r="P25" i="2166"/>
  <c r="O25" i="2166"/>
  <c r="N25" i="2166"/>
  <c r="M25" i="2166"/>
  <c r="L25" i="2166"/>
  <c r="K25" i="2166"/>
  <c r="J25" i="2166"/>
  <c r="I25" i="2166"/>
  <c r="H25" i="2166"/>
  <c r="G25" i="2166"/>
  <c r="F25" i="2166"/>
  <c r="E25" i="2166"/>
  <c r="D25" i="2166"/>
  <c r="AE19" i="2166"/>
  <c r="AD19" i="2166"/>
  <c r="AC19" i="2166"/>
  <c r="AB19" i="2166"/>
  <c r="AA19" i="2166"/>
  <c r="Z19" i="2166"/>
  <c r="Y19" i="2166"/>
  <c r="X19" i="2166"/>
  <c r="W19" i="2166"/>
  <c r="V19" i="2166"/>
  <c r="U19" i="2166"/>
  <c r="T19" i="2166"/>
  <c r="S19" i="2166"/>
  <c r="R19" i="2166"/>
  <c r="Q19" i="2166"/>
  <c r="P19" i="2166"/>
  <c r="V33" i="2166" s="1"/>
  <c r="O19" i="2166"/>
  <c r="N19" i="2166"/>
  <c r="M19" i="2166"/>
  <c r="L19" i="2166"/>
  <c r="K19" i="2166"/>
  <c r="J19" i="2166"/>
  <c r="I19" i="2166"/>
  <c r="H19" i="2166"/>
  <c r="G19" i="2166"/>
  <c r="F19" i="2166"/>
  <c r="E19" i="2166"/>
  <c r="D19" i="2166"/>
  <c r="AE16" i="2166"/>
  <c r="AD16" i="2166"/>
  <c r="AC16" i="2166"/>
  <c r="AB16" i="2166"/>
  <c r="AA16" i="2166"/>
  <c r="Z16" i="2166"/>
  <c r="X16" i="2166"/>
  <c r="W16" i="2166"/>
  <c r="V16" i="2166"/>
  <c r="U16" i="2166"/>
  <c r="T16" i="2166"/>
  <c r="S16" i="2166"/>
  <c r="R16" i="2166"/>
  <c r="Q16" i="2166"/>
  <c r="P16" i="2166"/>
  <c r="O16" i="2166"/>
  <c r="N16" i="2166"/>
  <c r="M16" i="2166"/>
  <c r="L16" i="2166"/>
  <c r="K16" i="2166"/>
  <c r="J16" i="2166"/>
  <c r="I16" i="2166"/>
  <c r="H16" i="2166"/>
  <c r="G16" i="2166"/>
  <c r="F16" i="2166"/>
  <c r="E16" i="2166"/>
  <c r="D16" i="2166"/>
  <c r="AE10" i="2166"/>
  <c r="AD10" i="2166"/>
  <c r="AC10" i="2166"/>
  <c r="AB10" i="2166"/>
  <c r="AA10" i="2166"/>
  <c r="Z10" i="2166"/>
  <c r="Y10" i="2166"/>
  <c r="X10" i="2166"/>
  <c r="W10" i="2166"/>
  <c r="V10" i="2166"/>
  <c r="U10" i="2166"/>
  <c r="T10" i="2166"/>
  <c r="S10" i="2166"/>
  <c r="R10" i="2166"/>
  <c r="Q10" i="2166"/>
  <c r="P10" i="2166"/>
  <c r="O10" i="2166"/>
  <c r="N10" i="2166"/>
  <c r="M10" i="2166"/>
  <c r="L10" i="2166"/>
  <c r="K10" i="2166"/>
  <c r="J10" i="2166"/>
  <c r="I10" i="2166"/>
  <c r="H10" i="2166"/>
  <c r="G10" i="2166"/>
  <c r="F10" i="2166"/>
  <c r="E10" i="2166"/>
  <c r="D10" i="2166"/>
  <c r="AE7" i="2166"/>
  <c r="AD7" i="2166"/>
  <c r="AC7" i="2166"/>
  <c r="AB7" i="2166"/>
  <c r="AA7" i="2166"/>
  <c r="Z7" i="2166"/>
  <c r="Y7" i="2166"/>
  <c r="X7" i="2166"/>
  <c r="W7" i="2166"/>
  <c r="V7" i="2166"/>
  <c r="U7" i="2166"/>
  <c r="T7" i="2166"/>
  <c r="S7" i="2166"/>
  <c r="R7" i="2166"/>
  <c r="Q7" i="2166"/>
  <c r="P7" i="2166"/>
  <c r="O7" i="2166"/>
  <c r="N7" i="2166"/>
  <c r="M7" i="2166"/>
  <c r="L7" i="2166"/>
  <c r="K7" i="2166"/>
  <c r="J7" i="2166"/>
  <c r="I7" i="2166"/>
  <c r="H7" i="2166"/>
  <c r="G7" i="2166"/>
  <c r="F7" i="2166"/>
  <c r="E7" i="2166"/>
  <c r="D7" i="2166"/>
  <c r="AC33" i="2165"/>
  <c r="AB33" i="2165"/>
  <c r="AA33" i="2165"/>
  <c r="Z33" i="2165"/>
  <c r="Y33" i="2165"/>
  <c r="X33" i="2165"/>
  <c r="W33" i="2165"/>
  <c r="U33" i="2165"/>
  <c r="T33" i="2165"/>
  <c r="S33" i="2165"/>
  <c r="R33" i="2165"/>
  <c r="Q33" i="2165"/>
  <c r="P33" i="2165"/>
  <c r="O33" i="2165"/>
  <c r="N33" i="2165"/>
  <c r="M33" i="2165"/>
  <c r="L33" i="2165"/>
  <c r="K33" i="2165"/>
  <c r="J33" i="2165"/>
  <c r="H33" i="2165"/>
  <c r="G33" i="2165"/>
  <c r="F33" i="2165"/>
  <c r="E33" i="2165"/>
  <c r="D33" i="2165"/>
  <c r="Y28" i="2165"/>
  <c r="X28" i="2165"/>
  <c r="W28" i="2165"/>
  <c r="V28" i="2165"/>
  <c r="U28" i="2165"/>
  <c r="T28" i="2165"/>
  <c r="S28" i="2165"/>
  <c r="R28" i="2165"/>
  <c r="Q28" i="2165"/>
  <c r="P28" i="2165"/>
  <c r="O28" i="2165"/>
  <c r="N28" i="2165"/>
  <c r="M28" i="2165"/>
  <c r="L28" i="2165"/>
  <c r="K28" i="2165"/>
  <c r="J28" i="2165"/>
  <c r="I28" i="2165"/>
  <c r="H28" i="2165"/>
  <c r="G28" i="2165"/>
  <c r="F28" i="2165"/>
  <c r="E28" i="2165"/>
  <c r="D28" i="2165"/>
  <c r="Y25" i="2165"/>
  <c r="X25" i="2165"/>
  <c r="W25" i="2165"/>
  <c r="V25" i="2165"/>
  <c r="U25" i="2165"/>
  <c r="T25" i="2165"/>
  <c r="S25" i="2165"/>
  <c r="R25" i="2165"/>
  <c r="Q25" i="2165"/>
  <c r="P25" i="2165"/>
  <c r="O25" i="2165"/>
  <c r="N25" i="2165"/>
  <c r="M25" i="2165"/>
  <c r="L25" i="2165"/>
  <c r="K25" i="2165"/>
  <c r="J25" i="2165"/>
  <c r="I25" i="2165"/>
  <c r="H25" i="2165"/>
  <c r="G25" i="2165"/>
  <c r="F25" i="2165"/>
  <c r="E25" i="2165"/>
  <c r="D25" i="2165"/>
  <c r="AE19" i="2165"/>
  <c r="AD19" i="2165"/>
  <c r="AC19" i="2165"/>
  <c r="AB19" i="2165"/>
  <c r="AA19" i="2165"/>
  <c r="Z19" i="2165"/>
  <c r="Y19" i="2165"/>
  <c r="X19" i="2165"/>
  <c r="W19" i="2165"/>
  <c r="V19" i="2165"/>
  <c r="U19" i="2165"/>
  <c r="T19" i="2165"/>
  <c r="S19" i="2165"/>
  <c r="R19" i="2165"/>
  <c r="Q19" i="2165"/>
  <c r="P19" i="2165"/>
  <c r="V33" i="2165" s="1"/>
  <c r="O19" i="2165"/>
  <c r="N19" i="2165"/>
  <c r="M19" i="2165"/>
  <c r="L19" i="2165"/>
  <c r="K19" i="2165"/>
  <c r="J19" i="2165"/>
  <c r="I19" i="2165"/>
  <c r="H19" i="2165"/>
  <c r="G19" i="2165"/>
  <c r="F19" i="2165"/>
  <c r="E19" i="2165"/>
  <c r="D19" i="2165"/>
  <c r="AE16" i="2165"/>
  <c r="AD16" i="2165"/>
  <c r="AC16" i="2165"/>
  <c r="AB16" i="2165"/>
  <c r="AA16" i="2165"/>
  <c r="Z16" i="2165"/>
  <c r="X16" i="2165"/>
  <c r="W16" i="2165"/>
  <c r="V16" i="2165"/>
  <c r="U16" i="2165"/>
  <c r="T16" i="2165"/>
  <c r="S16" i="2165"/>
  <c r="R16" i="2165"/>
  <c r="Q16" i="2165"/>
  <c r="P16" i="2165"/>
  <c r="O16" i="2165"/>
  <c r="N16" i="2165"/>
  <c r="M16" i="2165"/>
  <c r="L16" i="2165"/>
  <c r="K16" i="2165"/>
  <c r="J16" i="2165"/>
  <c r="I16" i="2165"/>
  <c r="H16" i="2165"/>
  <c r="G16" i="2165"/>
  <c r="F16" i="2165"/>
  <c r="E16" i="2165"/>
  <c r="D16" i="2165"/>
  <c r="AE10" i="2165"/>
  <c r="AD10" i="2165"/>
  <c r="AC10" i="2165"/>
  <c r="AB10" i="2165"/>
  <c r="AA10" i="2165"/>
  <c r="Z10" i="2165"/>
  <c r="Y10" i="2165"/>
  <c r="X10" i="2165"/>
  <c r="W10" i="2165"/>
  <c r="V10" i="2165"/>
  <c r="U10" i="2165"/>
  <c r="T10" i="2165"/>
  <c r="S10" i="2165"/>
  <c r="R10" i="2165"/>
  <c r="Q10" i="2165"/>
  <c r="P10" i="2165"/>
  <c r="O10" i="2165"/>
  <c r="N10" i="2165"/>
  <c r="M10" i="2165"/>
  <c r="L10" i="2165"/>
  <c r="K10" i="2165"/>
  <c r="J10" i="2165"/>
  <c r="I10" i="2165"/>
  <c r="H10" i="2165"/>
  <c r="G10" i="2165"/>
  <c r="F10" i="2165"/>
  <c r="E10" i="2165"/>
  <c r="D10" i="2165"/>
  <c r="AE7" i="2165"/>
  <c r="AD7" i="2165"/>
  <c r="AC7" i="2165"/>
  <c r="AB7" i="2165"/>
  <c r="AA7" i="2165"/>
  <c r="Z7" i="2165"/>
  <c r="Y7" i="2165"/>
  <c r="X7" i="2165"/>
  <c r="W7" i="2165"/>
  <c r="V7" i="2165"/>
  <c r="U7" i="2165"/>
  <c r="T7" i="2165"/>
  <c r="S7" i="2165"/>
  <c r="R7" i="2165"/>
  <c r="Q7" i="2165"/>
  <c r="P7" i="2165"/>
  <c r="O7" i="2165"/>
  <c r="N7" i="2165"/>
  <c r="M7" i="2165"/>
  <c r="L7" i="2165"/>
  <c r="K7" i="2165"/>
  <c r="J7" i="2165"/>
  <c r="I7" i="2165"/>
  <c r="H7" i="2165"/>
  <c r="G7" i="2165"/>
  <c r="F7" i="2165"/>
  <c r="E7" i="2165"/>
  <c r="D7" i="2165"/>
  <c r="AC33" i="2164"/>
  <c r="AB33" i="2164"/>
  <c r="AA33" i="2164"/>
  <c r="Z33" i="2164"/>
  <c r="Y33" i="2164"/>
  <c r="X33" i="2164"/>
  <c r="W33" i="2164"/>
  <c r="U33" i="2164"/>
  <c r="T33" i="2164"/>
  <c r="S33" i="2164"/>
  <c r="R33" i="2164"/>
  <c r="Q33" i="2164"/>
  <c r="P33" i="2164"/>
  <c r="O33" i="2164"/>
  <c r="N33" i="2164"/>
  <c r="M33" i="2164"/>
  <c r="L33" i="2164"/>
  <c r="K33" i="2164"/>
  <c r="J33" i="2164"/>
  <c r="H33" i="2164"/>
  <c r="G33" i="2164"/>
  <c r="F33" i="2164"/>
  <c r="E33" i="2164"/>
  <c r="D33" i="2164"/>
  <c r="Y28" i="2164"/>
  <c r="X28" i="2164"/>
  <c r="W28" i="2164"/>
  <c r="V28" i="2164"/>
  <c r="U28" i="2164"/>
  <c r="T28" i="2164"/>
  <c r="S28" i="2164"/>
  <c r="R28" i="2164"/>
  <c r="Q28" i="2164"/>
  <c r="P28" i="2164"/>
  <c r="O28" i="2164"/>
  <c r="N28" i="2164"/>
  <c r="M28" i="2164"/>
  <c r="L28" i="2164"/>
  <c r="K28" i="2164"/>
  <c r="J28" i="2164"/>
  <c r="I28" i="2164"/>
  <c r="H28" i="2164"/>
  <c r="G28" i="2164"/>
  <c r="F28" i="2164"/>
  <c r="E28" i="2164"/>
  <c r="D28" i="2164"/>
  <c r="Y25" i="2164"/>
  <c r="X25" i="2164"/>
  <c r="W25" i="2164"/>
  <c r="V25" i="2164"/>
  <c r="U25" i="2164"/>
  <c r="T25" i="2164"/>
  <c r="S25" i="2164"/>
  <c r="R25" i="2164"/>
  <c r="Q25" i="2164"/>
  <c r="P25" i="2164"/>
  <c r="O25" i="2164"/>
  <c r="N25" i="2164"/>
  <c r="M25" i="2164"/>
  <c r="L25" i="2164"/>
  <c r="K25" i="2164"/>
  <c r="J25" i="2164"/>
  <c r="I25" i="2164"/>
  <c r="H25" i="2164"/>
  <c r="G25" i="2164"/>
  <c r="F25" i="2164"/>
  <c r="E25" i="2164"/>
  <c r="D25" i="2164"/>
  <c r="AE19" i="2164"/>
  <c r="AD19" i="2164"/>
  <c r="AC19" i="2164"/>
  <c r="AB19" i="2164"/>
  <c r="AA19" i="2164"/>
  <c r="Z19" i="2164"/>
  <c r="Y19" i="2164"/>
  <c r="X19" i="2164"/>
  <c r="W19" i="2164"/>
  <c r="V19" i="2164"/>
  <c r="U19" i="2164"/>
  <c r="T19" i="2164"/>
  <c r="S19" i="2164"/>
  <c r="R19" i="2164"/>
  <c r="Q19" i="2164"/>
  <c r="P19" i="2164"/>
  <c r="V33" i="2164" s="1"/>
  <c r="O19" i="2164"/>
  <c r="N19" i="2164"/>
  <c r="M19" i="2164"/>
  <c r="L19" i="2164"/>
  <c r="K19" i="2164"/>
  <c r="J19" i="2164"/>
  <c r="I19" i="2164"/>
  <c r="H19" i="2164"/>
  <c r="G19" i="2164"/>
  <c r="F19" i="2164"/>
  <c r="E19" i="2164"/>
  <c r="D19" i="2164"/>
  <c r="AE16" i="2164"/>
  <c r="AD16" i="2164"/>
  <c r="AC16" i="2164"/>
  <c r="AB16" i="2164"/>
  <c r="AA16" i="2164"/>
  <c r="Z16" i="2164"/>
  <c r="X16" i="2164"/>
  <c r="W16" i="2164"/>
  <c r="V16" i="2164"/>
  <c r="U16" i="2164"/>
  <c r="T16" i="2164"/>
  <c r="S16" i="2164"/>
  <c r="R16" i="2164"/>
  <c r="Q16" i="2164"/>
  <c r="P16" i="2164"/>
  <c r="O16" i="2164"/>
  <c r="N16" i="2164"/>
  <c r="M16" i="2164"/>
  <c r="L16" i="2164"/>
  <c r="K16" i="2164"/>
  <c r="J16" i="2164"/>
  <c r="I16" i="2164"/>
  <c r="H16" i="2164"/>
  <c r="G16" i="2164"/>
  <c r="F16" i="2164"/>
  <c r="E16" i="2164"/>
  <c r="D16" i="2164"/>
  <c r="AE10" i="2164"/>
  <c r="AD10" i="2164"/>
  <c r="AC10" i="2164"/>
  <c r="AB10" i="2164"/>
  <c r="AA10" i="2164"/>
  <c r="Z10" i="2164"/>
  <c r="Y10" i="2164"/>
  <c r="X10" i="2164"/>
  <c r="W10" i="2164"/>
  <c r="V10" i="2164"/>
  <c r="U10" i="2164"/>
  <c r="T10" i="2164"/>
  <c r="S10" i="2164"/>
  <c r="R10" i="2164"/>
  <c r="Q10" i="2164"/>
  <c r="P10" i="2164"/>
  <c r="O10" i="2164"/>
  <c r="N10" i="2164"/>
  <c r="M10" i="2164"/>
  <c r="L10" i="2164"/>
  <c r="K10" i="2164"/>
  <c r="J10" i="2164"/>
  <c r="I10" i="2164"/>
  <c r="H10" i="2164"/>
  <c r="G10" i="2164"/>
  <c r="F10" i="2164"/>
  <c r="E10" i="2164"/>
  <c r="D10" i="2164"/>
  <c r="AE7" i="2164"/>
  <c r="AD7" i="2164"/>
  <c r="AC7" i="2164"/>
  <c r="AB7" i="2164"/>
  <c r="AA7" i="2164"/>
  <c r="Z7" i="2164"/>
  <c r="Y7" i="2164"/>
  <c r="X7" i="2164"/>
  <c r="W7" i="2164"/>
  <c r="V7" i="2164"/>
  <c r="U7" i="2164"/>
  <c r="T7" i="2164"/>
  <c r="S7" i="2164"/>
  <c r="R7" i="2164"/>
  <c r="Q7" i="2164"/>
  <c r="P7" i="2164"/>
  <c r="O7" i="2164"/>
  <c r="N7" i="2164"/>
  <c r="M7" i="2164"/>
  <c r="L7" i="2164"/>
  <c r="K7" i="2164"/>
  <c r="J7" i="2164"/>
  <c r="I7" i="2164"/>
  <c r="H7" i="2164"/>
  <c r="G7" i="2164"/>
  <c r="F7" i="2164"/>
  <c r="E7" i="2164"/>
  <c r="D7" i="2164"/>
  <c r="AC33" i="2163"/>
  <c r="AB33" i="2163"/>
  <c r="AA33" i="2163"/>
  <c r="Z33" i="2163"/>
  <c r="Y33" i="2163"/>
  <c r="X33" i="2163"/>
  <c r="W33" i="2163"/>
  <c r="U33" i="2163"/>
  <c r="T33" i="2163"/>
  <c r="S33" i="2163"/>
  <c r="R33" i="2163"/>
  <c r="Q33" i="2163"/>
  <c r="P33" i="2163"/>
  <c r="O33" i="2163"/>
  <c r="N33" i="2163"/>
  <c r="M33" i="2163"/>
  <c r="L33" i="2163"/>
  <c r="K33" i="2163"/>
  <c r="J33" i="2163"/>
  <c r="H33" i="2163"/>
  <c r="G33" i="2163"/>
  <c r="F33" i="2163"/>
  <c r="E33" i="2163"/>
  <c r="D33" i="2163"/>
  <c r="Y28" i="2163"/>
  <c r="X28" i="2163"/>
  <c r="W28" i="2163"/>
  <c r="V28" i="2163"/>
  <c r="U28" i="2163"/>
  <c r="T28" i="2163"/>
  <c r="S28" i="2163"/>
  <c r="R28" i="2163"/>
  <c r="Q28" i="2163"/>
  <c r="P28" i="2163"/>
  <c r="O28" i="2163"/>
  <c r="N28" i="2163"/>
  <c r="M28" i="2163"/>
  <c r="L28" i="2163"/>
  <c r="K28" i="2163"/>
  <c r="J28" i="2163"/>
  <c r="I28" i="2163"/>
  <c r="H28" i="2163"/>
  <c r="G28" i="2163"/>
  <c r="F28" i="2163"/>
  <c r="E28" i="2163"/>
  <c r="D28" i="2163"/>
  <c r="Y25" i="2163"/>
  <c r="X25" i="2163"/>
  <c r="W25" i="2163"/>
  <c r="V25" i="2163"/>
  <c r="U25" i="2163"/>
  <c r="T25" i="2163"/>
  <c r="S25" i="2163"/>
  <c r="R25" i="2163"/>
  <c r="Q25" i="2163"/>
  <c r="P25" i="2163"/>
  <c r="O25" i="2163"/>
  <c r="N25" i="2163"/>
  <c r="M25" i="2163"/>
  <c r="L25" i="2163"/>
  <c r="K25" i="2163"/>
  <c r="J25" i="2163"/>
  <c r="I25" i="2163"/>
  <c r="H25" i="2163"/>
  <c r="G25" i="2163"/>
  <c r="F25" i="2163"/>
  <c r="E25" i="2163"/>
  <c r="D25" i="2163"/>
  <c r="AE19" i="2163"/>
  <c r="AD19" i="2163"/>
  <c r="AC19" i="2163"/>
  <c r="AB19" i="2163"/>
  <c r="AA19" i="2163"/>
  <c r="Z19" i="2163"/>
  <c r="Y19" i="2163"/>
  <c r="X19" i="2163"/>
  <c r="W19" i="2163"/>
  <c r="V19" i="2163"/>
  <c r="U19" i="2163"/>
  <c r="T19" i="2163"/>
  <c r="S19" i="2163"/>
  <c r="R19" i="2163"/>
  <c r="Q19" i="2163"/>
  <c r="P19" i="2163"/>
  <c r="V33" i="2163" s="1"/>
  <c r="O19" i="2163"/>
  <c r="N19" i="2163"/>
  <c r="M19" i="2163"/>
  <c r="L19" i="2163"/>
  <c r="K19" i="2163"/>
  <c r="J19" i="2163"/>
  <c r="I19" i="2163"/>
  <c r="H19" i="2163"/>
  <c r="G19" i="2163"/>
  <c r="F19" i="2163"/>
  <c r="E19" i="2163"/>
  <c r="D19" i="2163"/>
  <c r="AE16" i="2163"/>
  <c r="AD16" i="2163"/>
  <c r="AC16" i="2163"/>
  <c r="AB16" i="2163"/>
  <c r="AA16" i="2163"/>
  <c r="Z16" i="2163"/>
  <c r="X16" i="2163"/>
  <c r="W16" i="2163"/>
  <c r="V16" i="2163"/>
  <c r="U16" i="2163"/>
  <c r="T16" i="2163"/>
  <c r="S16" i="2163"/>
  <c r="R16" i="2163"/>
  <c r="Q16" i="2163"/>
  <c r="P16" i="2163"/>
  <c r="O16" i="2163"/>
  <c r="N16" i="2163"/>
  <c r="M16" i="2163"/>
  <c r="L16" i="2163"/>
  <c r="K16" i="2163"/>
  <c r="J16" i="2163"/>
  <c r="I16" i="2163"/>
  <c r="H16" i="2163"/>
  <c r="G16" i="2163"/>
  <c r="F16" i="2163"/>
  <c r="E16" i="2163"/>
  <c r="D16" i="2163"/>
  <c r="AE10" i="2163"/>
  <c r="AD10" i="2163"/>
  <c r="AC10" i="2163"/>
  <c r="AB10" i="2163"/>
  <c r="AA10" i="2163"/>
  <c r="Z10" i="2163"/>
  <c r="Y10" i="2163"/>
  <c r="X10" i="2163"/>
  <c r="W10" i="2163"/>
  <c r="V10" i="2163"/>
  <c r="U10" i="2163"/>
  <c r="T10" i="2163"/>
  <c r="S10" i="2163"/>
  <c r="R10" i="2163"/>
  <c r="Q10" i="2163"/>
  <c r="P10" i="2163"/>
  <c r="O10" i="2163"/>
  <c r="N10" i="2163"/>
  <c r="M10" i="2163"/>
  <c r="L10" i="2163"/>
  <c r="K10" i="2163"/>
  <c r="J10" i="2163"/>
  <c r="I10" i="2163"/>
  <c r="H10" i="2163"/>
  <c r="G10" i="2163"/>
  <c r="F10" i="2163"/>
  <c r="E10" i="2163"/>
  <c r="D10" i="2163"/>
  <c r="AE7" i="2163"/>
  <c r="AD7" i="2163"/>
  <c r="AC7" i="2163"/>
  <c r="AB7" i="2163"/>
  <c r="AA7" i="2163"/>
  <c r="Z7" i="2163"/>
  <c r="Y7" i="2163"/>
  <c r="X7" i="2163"/>
  <c r="W7" i="2163"/>
  <c r="V7" i="2163"/>
  <c r="U7" i="2163"/>
  <c r="T7" i="2163"/>
  <c r="S7" i="2163"/>
  <c r="R7" i="2163"/>
  <c r="Q7" i="2163"/>
  <c r="P7" i="2163"/>
  <c r="O7" i="2163"/>
  <c r="N7" i="2163"/>
  <c r="M7" i="2163"/>
  <c r="L7" i="2163"/>
  <c r="K7" i="2163"/>
  <c r="J7" i="2163"/>
  <c r="I7" i="2163"/>
  <c r="H7" i="2163"/>
  <c r="G7" i="2163"/>
  <c r="F7" i="2163"/>
  <c r="E7" i="2163"/>
  <c r="D7" i="2163"/>
  <c r="AC33" i="2162"/>
  <c r="AB33" i="2162"/>
  <c r="AA33" i="2162"/>
  <c r="Z33" i="2162"/>
  <c r="Y33" i="2162"/>
  <c r="X33" i="2162"/>
  <c r="W33" i="2162"/>
  <c r="U33" i="2162"/>
  <c r="T33" i="2162"/>
  <c r="S33" i="2162"/>
  <c r="R33" i="2162"/>
  <c r="Q33" i="2162"/>
  <c r="P33" i="2162"/>
  <c r="O33" i="2162"/>
  <c r="N33" i="2162"/>
  <c r="M33" i="2162"/>
  <c r="L33" i="2162"/>
  <c r="K33" i="2162"/>
  <c r="J33" i="2162"/>
  <c r="H33" i="2162"/>
  <c r="G33" i="2162"/>
  <c r="F33" i="2162"/>
  <c r="E33" i="2162"/>
  <c r="D33" i="2162"/>
  <c r="Y28" i="2162"/>
  <c r="X28" i="2162"/>
  <c r="W28" i="2162"/>
  <c r="V28" i="2162"/>
  <c r="U28" i="2162"/>
  <c r="T28" i="2162"/>
  <c r="S28" i="2162"/>
  <c r="R28" i="2162"/>
  <c r="Q28" i="2162"/>
  <c r="P28" i="2162"/>
  <c r="O28" i="2162"/>
  <c r="N28" i="2162"/>
  <c r="M28" i="2162"/>
  <c r="L28" i="2162"/>
  <c r="K28" i="2162"/>
  <c r="J28" i="2162"/>
  <c r="I28" i="2162"/>
  <c r="H28" i="2162"/>
  <c r="G28" i="2162"/>
  <c r="F28" i="2162"/>
  <c r="E28" i="2162"/>
  <c r="D28" i="2162"/>
  <c r="Y25" i="2162"/>
  <c r="X25" i="2162"/>
  <c r="W25" i="2162"/>
  <c r="V25" i="2162"/>
  <c r="U25" i="2162"/>
  <c r="T25" i="2162"/>
  <c r="S25" i="2162"/>
  <c r="R25" i="2162"/>
  <c r="Q25" i="2162"/>
  <c r="P25" i="2162"/>
  <c r="O25" i="2162"/>
  <c r="N25" i="2162"/>
  <c r="M25" i="2162"/>
  <c r="L25" i="2162"/>
  <c r="K25" i="2162"/>
  <c r="J25" i="2162"/>
  <c r="I25" i="2162"/>
  <c r="H25" i="2162"/>
  <c r="G25" i="2162"/>
  <c r="F25" i="2162"/>
  <c r="E25" i="2162"/>
  <c r="D25" i="2162"/>
  <c r="AE19" i="2162"/>
  <c r="AD19" i="2162"/>
  <c r="AC19" i="2162"/>
  <c r="AB19" i="2162"/>
  <c r="AA19" i="2162"/>
  <c r="Z19" i="2162"/>
  <c r="Y19" i="2162"/>
  <c r="X19" i="2162"/>
  <c r="W19" i="2162"/>
  <c r="V19" i="2162"/>
  <c r="U19" i="2162"/>
  <c r="T19" i="2162"/>
  <c r="S19" i="2162"/>
  <c r="R19" i="2162"/>
  <c r="Q19" i="2162"/>
  <c r="P19" i="2162"/>
  <c r="V33" i="2162" s="1"/>
  <c r="O19" i="2162"/>
  <c r="N19" i="2162"/>
  <c r="M19" i="2162"/>
  <c r="L19" i="2162"/>
  <c r="K19" i="2162"/>
  <c r="J19" i="2162"/>
  <c r="I19" i="2162"/>
  <c r="H19" i="2162"/>
  <c r="G19" i="2162"/>
  <c r="F19" i="2162"/>
  <c r="E19" i="2162"/>
  <c r="D19" i="2162"/>
  <c r="AE16" i="2162"/>
  <c r="AD16" i="2162"/>
  <c r="AC16" i="2162"/>
  <c r="AB16" i="2162"/>
  <c r="AA16" i="2162"/>
  <c r="Z16" i="2162"/>
  <c r="X16" i="2162"/>
  <c r="W16" i="2162"/>
  <c r="V16" i="2162"/>
  <c r="U16" i="2162"/>
  <c r="T16" i="2162"/>
  <c r="S16" i="2162"/>
  <c r="R16" i="2162"/>
  <c r="Q16" i="2162"/>
  <c r="P16" i="2162"/>
  <c r="O16" i="2162"/>
  <c r="N16" i="2162"/>
  <c r="M16" i="2162"/>
  <c r="L16" i="2162"/>
  <c r="K16" i="2162"/>
  <c r="J16" i="2162"/>
  <c r="I16" i="2162"/>
  <c r="H16" i="2162"/>
  <c r="G16" i="2162"/>
  <c r="F16" i="2162"/>
  <c r="E16" i="2162"/>
  <c r="D16" i="2162"/>
  <c r="AE10" i="2162"/>
  <c r="AD10" i="2162"/>
  <c r="AC10" i="2162"/>
  <c r="AB10" i="2162"/>
  <c r="AA10" i="2162"/>
  <c r="Z10" i="2162"/>
  <c r="Y10" i="2162"/>
  <c r="X10" i="2162"/>
  <c r="W10" i="2162"/>
  <c r="V10" i="2162"/>
  <c r="U10" i="2162"/>
  <c r="T10" i="2162"/>
  <c r="S10" i="2162"/>
  <c r="R10" i="2162"/>
  <c r="Q10" i="2162"/>
  <c r="P10" i="2162"/>
  <c r="O10" i="2162"/>
  <c r="N10" i="2162"/>
  <c r="M10" i="2162"/>
  <c r="L10" i="2162"/>
  <c r="K10" i="2162"/>
  <c r="J10" i="2162"/>
  <c r="I10" i="2162"/>
  <c r="H10" i="2162"/>
  <c r="G10" i="2162"/>
  <c r="F10" i="2162"/>
  <c r="E10" i="2162"/>
  <c r="D10" i="2162"/>
  <c r="AE7" i="2162"/>
  <c r="AD7" i="2162"/>
  <c r="AC7" i="2162"/>
  <c r="AB7" i="2162"/>
  <c r="AA7" i="2162"/>
  <c r="Z7" i="2162"/>
  <c r="Y7" i="2162"/>
  <c r="X7" i="2162"/>
  <c r="W7" i="2162"/>
  <c r="V7" i="2162"/>
  <c r="U7" i="2162"/>
  <c r="T7" i="2162"/>
  <c r="S7" i="2162"/>
  <c r="R7" i="2162"/>
  <c r="Q7" i="2162"/>
  <c r="P7" i="2162"/>
  <c r="O7" i="2162"/>
  <c r="N7" i="2162"/>
  <c r="M7" i="2162"/>
  <c r="L7" i="2162"/>
  <c r="K7" i="2162"/>
  <c r="J7" i="2162"/>
  <c r="I7" i="2162"/>
  <c r="H7" i="2162"/>
  <c r="G7" i="2162"/>
  <c r="F7" i="2162"/>
  <c r="E7" i="2162"/>
  <c r="D7" i="2162"/>
  <c r="AC33" i="2161"/>
  <c r="AB33" i="2161"/>
  <c r="AA33" i="2161"/>
  <c r="Z33" i="2161"/>
  <c r="Y33" i="2161"/>
  <c r="X33" i="2161"/>
  <c r="W33" i="2161"/>
  <c r="U33" i="2161"/>
  <c r="T33" i="2161"/>
  <c r="S33" i="2161"/>
  <c r="R33" i="2161"/>
  <c r="Q33" i="2161"/>
  <c r="P33" i="2161"/>
  <c r="O33" i="2161"/>
  <c r="N33" i="2161"/>
  <c r="M33" i="2161"/>
  <c r="L33" i="2161"/>
  <c r="K33" i="2161"/>
  <c r="J33" i="2161"/>
  <c r="H33" i="2161"/>
  <c r="G33" i="2161"/>
  <c r="F33" i="2161"/>
  <c r="E33" i="2161"/>
  <c r="D33" i="2161"/>
  <c r="Y28" i="2161"/>
  <c r="X28" i="2161"/>
  <c r="W28" i="2161"/>
  <c r="V28" i="2161"/>
  <c r="U28" i="2161"/>
  <c r="T28" i="2161"/>
  <c r="S28" i="2161"/>
  <c r="R28" i="2161"/>
  <c r="Q28" i="2161"/>
  <c r="P28" i="2161"/>
  <c r="O28" i="2161"/>
  <c r="N28" i="2161"/>
  <c r="M28" i="2161"/>
  <c r="L28" i="2161"/>
  <c r="K28" i="2161"/>
  <c r="J28" i="2161"/>
  <c r="I28" i="2161"/>
  <c r="H28" i="2161"/>
  <c r="G28" i="2161"/>
  <c r="F28" i="2161"/>
  <c r="E28" i="2161"/>
  <c r="D28" i="2161"/>
  <c r="Y25" i="2161"/>
  <c r="X25" i="2161"/>
  <c r="W25" i="2161"/>
  <c r="V25" i="2161"/>
  <c r="U25" i="2161"/>
  <c r="T25" i="2161"/>
  <c r="S25" i="2161"/>
  <c r="R25" i="2161"/>
  <c r="Q25" i="2161"/>
  <c r="P25" i="2161"/>
  <c r="O25" i="2161"/>
  <c r="N25" i="2161"/>
  <c r="M25" i="2161"/>
  <c r="L25" i="2161"/>
  <c r="K25" i="2161"/>
  <c r="J25" i="2161"/>
  <c r="I25" i="2161"/>
  <c r="H25" i="2161"/>
  <c r="G25" i="2161"/>
  <c r="F25" i="2161"/>
  <c r="E25" i="2161"/>
  <c r="D25" i="2161"/>
  <c r="AE19" i="2161"/>
  <c r="AD19" i="2161"/>
  <c r="AC19" i="2161"/>
  <c r="AB19" i="2161"/>
  <c r="AA19" i="2161"/>
  <c r="Z19" i="2161"/>
  <c r="Y19" i="2161"/>
  <c r="X19" i="2161"/>
  <c r="W19" i="2161"/>
  <c r="V19" i="2161"/>
  <c r="U19" i="2161"/>
  <c r="T19" i="2161"/>
  <c r="S19" i="2161"/>
  <c r="R19" i="2161"/>
  <c r="Q19" i="2161"/>
  <c r="P19" i="2161"/>
  <c r="V33" i="2161" s="1"/>
  <c r="O19" i="2161"/>
  <c r="N19" i="2161"/>
  <c r="M19" i="2161"/>
  <c r="L19" i="2161"/>
  <c r="K19" i="2161"/>
  <c r="J19" i="2161"/>
  <c r="I19" i="2161"/>
  <c r="H19" i="2161"/>
  <c r="G19" i="2161"/>
  <c r="F19" i="2161"/>
  <c r="E19" i="2161"/>
  <c r="D19" i="2161"/>
  <c r="AE16" i="2161"/>
  <c r="AD16" i="2161"/>
  <c r="AC16" i="2161"/>
  <c r="AB16" i="2161"/>
  <c r="AA16" i="2161"/>
  <c r="Z16" i="2161"/>
  <c r="X16" i="2161"/>
  <c r="W16" i="2161"/>
  <c r="V16" i="2161"/>
  <c r="U16" i="2161"/>
  <c r="T16" i="2161"/>
  <c r="S16" i="2161"/>
  <c r="R16" i="2161"/>
  <c r="Q16" i="2161"/>
  <c r="P16" i="2161"/>
  <c r="O16" i="2161"/>
  <c r="N16" i="2161"/>
  <c r="M16" i="2161"/>
  <c r="L16" i="2161"/>
  <c r="K16" i="2161"/>
  <c r="J16" i="2161"/>
  <c r="I16" i="2161"/>
  <c r="H16" i="2161"/>
  <c r="G16" i="2161"/>
  <c r="F16" i="2161"/>
  <c r="E16" i="2161"/>
  <c r="D16" i="2161"/>
  <c r="AE10" i="2161"/>
  <c r="AD10" i="2161"/>
  <c r="AC10" i="2161"/>
  <c r="AB10" i="2161"/>
  <c r="AA10" i="2161"/>
  <c r="Z10" i="2161"/>
  <c r="Y10" i="2161"/>
  <c r="X10" i="2161"/>
  <c r="W10" i="2161"/>
  <c r="V10" i="2161"/>
  <c r="U10" i="2161"/>
  <c r="T10" i="2161"/>
  <c r="S10" i="2161"/>
  <c r="R10" i="2161"/>
  <c r="Q10" i="2161"/>
  <c r="P10" i="2161"/>
  <c r="O10" i="2161"/>
  <c r="N10" i="2161"/>
  <c r="M10" i="2161"/>
  <c r="L10" i="2161"/>
  <c r="K10" i="2161"/>
  <c r="J10" i="2161"/>
  <c r="I10" i="2161"/>
  <c r="H10" i="2161"/>
  <c r="G10" i="2161"/>
  <c r="F10" i="2161"/>
  <c r="E10" i="2161"/>
  <c r="D10" i="2161"/>
  <c r="AE7" i="2161"/>
  <c r="AD7" i="2161"/>
  <c r="AC7" i="2161"/>
  <c r="AB7" i="2161"/>
  <c r="AA7" i="2161"/>
  <c r="Z7" i="2161"/>
  <c r="Y7" i="2161"/>
  <c r="X7" i="2161"/>
  <c r="W7" i="2161"/>
  <c r="V7" i="2161"/>
  <c r="U7" i="2161"/>
  <c r="T7" i="2161"/>
  <c r="S7" i="2161"/>
  <c r="R7" i="2161"/>
  <c r="Q7" i="2161"/>
  <c r="P7" i="2161"/>
  <c r="O7" i="2161"/>
  <c r="N7" i="2161"/>
  <c r="M7" i="2161"/>
  <c r="L7" i="2161"/>
  <c r="K7" i="2161"/>
  <c r="J7" i="2161"/>
  <c r="I7" i="2161"/>
  <c r="H7" i="2161"/>
  <c r="G7" i="2161"/>
  <c r="F7" i="2161"/>
  <c r="E7" i="2161"/>
  <c r="D7" i="2161"/>
  <c r="AC33" i="2160"/>
  <c r="AB33" i="2160"/>
  <c r="AA33" i="2160"/>
  <c r="Z33" i="2160"/>
  <c r="Y33" i="2160"/>
  <c r="X33" i="2160"/>
  <c r="W33" i="2160"/>
  <c r="U33" i="2160"/>
  <c r="T33" i="2160"/>
  <c r="S33" i="2160"/>
  <c r="R33" i="2160"/>
  <c r="Q33" i="2160"/>
  <c r="P33" i="2160"/>
  <c r="O33" i="2160"/>
  <c r="N33" i="2160"/>
  <c r="M33" i="2160"/>
  <c r="L33" i="2160"/>
  <c r="K33" i="2160"/>
  <c r="J33" i="2160"/>
  <c r="H33" i="2160"/>
  <c r="G33" i="2160"/>
  <c r="F33" i="2160"/>
  <c r="E33" i="2160"/>
  <c r="D33" i="2160"/>
  <c r="Y28" i="2160"/>
  <c r="X28" i="2160"/>
  <c r="W28" i="2160"/>
  <c r="V28" i="2160"/>
  <c r="U28" i="2160"/>
  <c r="T28" i="2160"/>
  <c r="S28" i="2160"/>
  <c r="R28" i="2160"/>
  <c r="Q28" i="2160"/>
  <c r="P28" i="2160"/>
  <c r="O28" i="2160"/>
  <c r="N28" i="2160"/>
  <c r="M28" i="2160"/>
  <c r="L28" i="2160"/>
  <c r="K28" i="2160"/>
  <c r="J28" i="2160"/>
  <c r="I28" i="2160"/>
  <c r="H28" i="2160"/>
  <c r="G28" i="2160"/>
  <c r="F28" i="2160"/>
  <c r="E28" i="2160"/>
  <c r="D28" i="2160"/>
  <c r="Y25" i="2160"/>
  <c r="X25" i="2160"/>
  <c r="W25" i="2160"/>
  <c r="V25" i="2160"/>
  <c r="U25" i="2160"/>
  <c r="T25" i="2160"/>
  <c r="S25" i="2160"/>
  <c r="R25" i="2160"/>
  <c r="Q25" i="2160"/>
  <c r="P25" i="2160"/>
  <c r="O25" i="2160"/>
  <c r="N25" i="2160"/>
  <c r="M25" i="2160"/>
  <c r="L25" i="2160"/>
  <c r="K25" i="2160"/>
  <c r="J25" i="2160"/>
  <c r="I25" i="2160"/>
  <c r="H25" i="2160"/>
  <c r="G25" i="2160"/>
  <c r="F25" i="2160"/>
  <c r="E25" i="2160"/>
  <c r="D25" i="2160"/>
  <c r="AE19" i="2160"/>
  <c r="AD19" i="2160"/>
  <c r="AC19" i="2160"/>
  <c r="AB19" i="2160"/>
  <c r="AA19" i="2160"/>
  <c r="Z19" i="2160"/>
  <c r="Y19" i="2160"/>
  <c r="X19" i="2160"/>
  <c r="W19" i="2160"/>
  <c r="V19" i="2160"/>
  <c r="U19" i="2160"/>
  <c r="T19" i="2160"/>
  <c r="S19" i="2160"/>
  <c r="R19" i="2160"/>
  <c r="Q19" i="2160"/>
  <c r="P19" i="2160"/>
  <c r="V33" i="2160" s="1"/>
  <c r="O19" i="2160"/>
  <c r="N19" i="2160"/>
  <c r="M19" i="2160"/>
  <c r="L19" i="2160"/>
  <c r="K19" i="2160"/>
  <c r="J19" i="2160"/>
  <c r="I19" i="2160"/>
  <c r="H19" i="2160"/>
  <c r="G19" i="2160"/>
  <c r="F19" i="2160"/>
  <c r="E19" i="2160"/>
  <c r="D19" i="2160"/>
  <c r="AE16" i="2160"/>
  <c r="AD16" i="2160"/>
  <c r="AC16" i="2160"/>
  <c r="AB16" i="2160"/>
  <c r="AA16" i="2160"/>
  <c r="Z16" i="2160"/>
  <c r="X16" i="2160"/>
  <c r="W16" i="2160"/>
  <c r="V16" i="2160"/>
  <c r="U16" i="2160"/>
  <c r="T16" i="2160"/>
  <c r="S16" i="2160"/>
  <c r="R16" i="2160"/>
  <c r="Q16" i="2160"/>
  <c r="P16" i="2160"/>
  <c r="O16" i="2160"/>
  <c r="N16" i="2160"/>
  <c r="M16" i="2160"/>
  <c r="L16" i="2160"/>
  <c r="K16" i="2160"/>
  <c r="J16" i="2160"/>
  <c r="I16" i="2160"/>
  <c r="H16" i="2160"/>
  <c r="G16" i="2160"/>
  <c r="F16" i="2160"/>
  <c r="E16" i="2160"/>
  <c r="D16" i="2160"/>
  <c r="AE10" i="2160"/>
  <c r="AD10" i="2160"/>
  <c r="AC10" i="2160"/>
  <c r="AB10" i="2160"/>
  <c r="AA10" i="2160"/>
  <c r="Z10" i="2160"/>
  <c r="Y10" i="2160"/>
  <c r="X10" i="2160"/>
  <c r="W10" i="2160"/>
  <c r="V10" i="2160"/>
  <c r="U10" i="2160"/>
  <c r="T10" i="2160"/>
  <c r="S10" i="2160"/>
  <c r="R10" i="2160"/>
  <c r="Q10" i="2160"/>
  <c r="P10" i="2160"/>
  <c r="O10" i="2160"/>
  <c r="N10" i="2160"/>
  <c r="M10" i="2160"/>
  <c r="L10" i="2160"/>
  <c r="K10" i="2160"/>
  <c r="J10" i="2160"/>
  <c r="I10" i="2160"/>
  <c r="H10" i="2160"/>
  <c r="G10" i="2160"/>
  <c r="F10" i="2160"/>
  <c r="E10" i="2160"/>
  <c r="D10" i="2160"/>
  <c r="AE7" i="2160"/>
  <c r="AD7" i="2160"/>
  <c r="AC7" i="2160"/>
  <c r="AB7" i="2160"/>
  <c r="AA7" i="2160"/>
  <c r="Z7" i="2160"/>
  <c r="Y7" i="2160"/>
  <c r="X7" i="2160"/>
  <c r="W7" i="2160"/>
  <c r="V7" i="2160"/>
  <c r="U7" i="2160"/>
  <c r="T7" i="2160"/>
  <c r="S7" i="2160"/>
  <c r="R7" i="2160"/>
  <c r="Q7" i="2160"/>
  <c r="P7" i="2160"/>
  <c r="O7" i="2160"/>
  <c r="N7" i="2160"/>
  <c r="M7" i="2160"/>
  <c r="L7" i="2160"/>
  <c r="K7" i="2160"/>
  <c r="J7" i="2160"/>
  <c r="I7" i="2160"/>
  <c r="H7" i="2160"/>
  <c r="G7" i="2160"/>
  <c r="F7" i="2160"/>
  <c r="E7" i="2160"/>
  <c r="D7" i="2160"/>
  <c r="AC33" i="2159"/>
  <c r="AB33" i="2159"/>
  <c r="AA33" i="2159"/>
  <c r="Z33" i="2159"/>
  <c r="Y33" i="2159"/>
  <c r="X33" i="2159"/>
  <c r="W33" i="2159"/>
  <c r="U33" i="2159"/>
  <c r="T33" i="2159"/>
  <c r="S33" i="2159"/>
  <c r="R33" i="2159"/>
  <c r="Q33" i="2159"/>
  <c r="P33" i="2159"/>
  <c r="O33" i="2159"/>
  <c r="N33" i="2159"/>
  <c r="M33" i="2159"/>
  <c r="L33" i="2159"/>
  <c r="K33" i="2159"/>
  <c r="J33" i="2159"/>
  <c r="H33" i="2159"/>
  <c r="G33" i="2159"/>
  <c r="F33" i="2159"/>
  <c r="E33" i="2159"/>
  <c r="D33" i="2159"/>
  <c r="Y28" i="2159"/>
  <c r="X28" i="2159"/>
  <c r="W28" i="2159"/>
  <c r="V28" i="2159"/>
  <c r="U28" i="2159"/>
  <c r="T28" i="2159"/>
  <c r="S28" i="2159"/>
  <c r="R28" i="2159"/>
  <c r="Q28" i="2159"/>
  <c r="P28" i="2159"/>
  <c r="O28" i="2159"/>
  <c r="N28" i="2159"/>
  <c r="M28" i="2159"/>
  <c r="L28" i="2159"/>
  <c r="K28" i="2159"/>
  <c r="J28" i="2159"/>
  <c r="I28" i="2159"/>
  <c r="H28" i="2159"/>
  <c r="G28" i="2159"/>
  <c r="F28" i="2159"/>
  <c r="E28" i="2159"/>
  <c r="D28" i="2159"/>
  <c r="Y25" i="2159"/>
  <c r="X25" i="2159"/>
  <c r="W25" i="2159"/>
  <c r="V25" i="2159"/>
  <c r="U25" i="2159"/>
  <c r="T25" i="2159"/>
  <c r="S25" i="2159"/>
  <c r="R25" i="2159"/>
  <c r="Q25" i="2159"/>
  <c r="P25" i="2159"/>
  <c r="O25" i="2159"/>
  <c r="N25" i="2159"/>
  <c r="M25" i="2159"/>
  <c r="L25" i="2159"/>
  <c r="K25" i="2159"/>
  <c r="J25" i="2159"/>
  <c r="I25" i="2159"/>
  <c r="H25" i="2159"/>
  <c r="G25" i="2159"/>
  <c r="F25" i="2159"/>
  <c r="E25" i="2159"/>
  <c r="D25" i="2159"/>
  <c r="AE19" i="2159"/>
  <c r="AD19" i="2159"/>
  <c r="AC19" i="2159"/>
  <c r="AB19" i="2159"/>
  <c r="AA19" i="2159"/>
  <c r="Z19" i="2159"/>
  <c r="Y19" i="2159"/>
  <c r="X19" i="2159"/>
  <c r="W19" i="2159"/>
  <c r="V19" i="2159"/>
  <c r="U19" i="2159"/>
  <c r="T19" i="2159"/>
  <c r="S19" i="2159"/>
  <c r="R19" i="2159"/>
  <c r="Q19" i="2159"/>
  <c r="P19" i="2159"/>
  <c r="V33" i="2159" s="1"/>
  <c r="O19" i="2159"/>
  <c r="N19" i="2159"/>
  <c r="M19" i="2159"/>
  <c r="L19" i="2159"/>
  <c r="K19" i="2159"/>
  <c r="J19" i="2159"/>
  <c r="I19" i="2159"/>
  <c r="H19" i="2159"/>
  <c r="G19" i="2159"/>
  <c r="F19" i="2159"/>
  <c r="E19" i="2159"/>
  <c r="D19" i="2159"/>
  <c r="AE16" i="2159"/>
  <c r="AD16" i="2159"/>
  <c r="AC16" i="2159"/>
  <c r="AB16" i="2159"/>
  <c r="AA16" i="2159"/>
  <c r="Z16" i="2159"/>
  <c r="X16" i="2159"/>
  <c r="W16" i="2159"/>
  <c r="V16" i="2159"/>
  <c r="U16" i="2159"/>
  <c r="T16" i="2159"/>
  <c r="S16" i="2159"/>
  <c r="R16" i="2159"/>
  <c r="Q16" i="2159"/>
  <c r="P16" i="2159"/>
  <c r="O16" i="2159"/>
  <c r="N16" i="2159"/>
  <c r="M16" i="2159"/>
  <c r="L16" i="2159"/>
  <c r="K16" i="2159"/>
  <c r="J16" i="2159"/>
  <c r="I16" i="2159"/>
  <c r="H16" i="2159"/>
  <c r="G16" i="2159"/>
  <c r="F16" i="2159"/>
  <c r="E16" i="2159"/>
  <c r="D16" i="2159"/>
  <c r="AE10" i="2159"/>
  <c r="AD10" i="2159"/>
  <c r="AC10" i="2159"/>
  <c r="AB10" i="2159"/>
  <c r="AA10" i="2159"/>
  <c r="Z10" i="2159"/>
  <c r="Y10" i="2159"/>
  <c r="X10" i="2159"/>
  <c r="W10" i="2159"/>
  <c r="V10" i="2159"/>
  <c r="U10" i="2159"/>
  <c r="T10" i="2159"/>
  <c r="S10" i="2159"/>
  <c r="R10" i="2159"/>
  <c r="Q10" i="2159"/>
  <c r="P10" i="2159"/>
  <c r="O10" i="2159"/>
  <c r="N10" i="2159"/>
  <c r="M10" i="2159"/>
  <c r="L10" i="2159"/>
  <c r="K10" i="2159"/>
  <c r="J10" i="2159"/>
  <c r="I10" i="2159"/>
  <c r="H10" i="2159"/>
  <c r="G10" i="2159"/>
  <c r="F10" i="2159"/>
  <c r="E10" i="2159"/>
  <c r="D10" i="2159"/>
  <c r="AE7" i="2159"/>
  <c r="AD7" i="2159"/>
  <c r="AC7" i="2159"/>
  <c r="AB7" i="2159"/>
  <c r="AA7" i="2159"/>
  <c r="Z7" i="2159"/>
  <c r="Y7" i="2159"/>
  <c r="X7" i="2159"/>
  <c r="W7" i="2159"/>
  <c r="V7" i="2159"/>
  <c r="U7" i="2159"/>
  <c r="T7" i="2159"/>
  <c r="S7" i="2159"/>
  <c r="R7" i="2159"/>
  <c r="Q7" i="2159"/>
  <c r="P7" i="2159"/>
  <c r="O7" i="2159"/>
  <c r="N7" i="2159"/>
  <c r="M7" i="2159"/>
  <c r="L7" i="2159"/>
  <c r="K7" i="2159"/>
  <c r="J7" i="2159"/>
  <c r="I7" i="2159"/>
  <c r="H7" i="2159"/>
  <c r="G7" i="2159"/>
  <c r="F7" i="2159"/>
  <c r="E7" i="2159"/>
  <c r="D7" i="2159"/>
  <c r="AC33" i="2158"/>
  <c r="AB33" i="2158"/>
  <c r="AA33" i="2158"/>
  <c r="Z33" i="2158"/>
  <c r="Y33" i="2158"/>
  <c r="X33" i="2158"/>
  <c r="W33" i="2158"/>
  <c r="U33" i="2158"/>
  <c r="T33" i="2158"/>
  <c r="S33" i="2158"/>
  <c r="R33" i="2158"/>
  <c r="Q33" i="2158"/>
  <c r="P33" i="2158"/>
  <c r="O33" i="2158"/>
  <c r="N33" i="2158"/>
  <c r="M33" i="2158"/>
  <c r="L33" i="2158"/>
  <c r="K33" i="2158"/>
  <c r="J33" i="2158"/>
  <c r="H33" i="2158"/>
  <c r="G33" i="2158"/>
  <c r="F33" i="2158"/>
  <c r="E33" i="2158"/>
  <c r="D33" i="2158"/>
  <c r="Y28" i="2158"/>
  <c r="X28" i="2158"/>
  <c r="W28" i="2158"/>
  <c r="V28" i="2158"/>
  <c r="U28" i="2158"/>
  <c r="T28" i="2158"/>
  <c r="S28" i="2158"/>
  <c r="R28" i="2158"/>
  <c r="Q28" i="2158"/>
  <c r="P28" i="2158"/>
  <c r="O28" i="2158"/>
  <c r="N28" i="2158"/>
  <c r="M28" i="2158"/>
  <c r="L28" i="2158"/>
  <c r="K28" i="2158"/>
  <c r="J28" i="2158"/>
  <c r="I28" i="2158"/>
  <c r="H28" i="2158"/>
  <c r="G28" i="2158"/>
  <c r="F28" i="2158"/>
  <c r="E28" i="2158"/>
  <c r="D28" i="2158"/>
  <c r="Y25" i="2158"/>
  <c r="X25" i="2158"/>
  <c r="W25" i="2158"/>
  <c r="V25" i="2158"/>
  <c r="U25" i="2158"/>
  <c r="T25" i="2158"/>
  <c r="S25" i="2158"/>
  <c r="R25" i="2158"/>
  <c r="Q25" i="2158"/>
  <c r="P25" i="2158"/>
  <c r="O25" i="2158"/>
  <c r="N25" i="2158"/>
  <c r="M25" i="2158"/>
  <c r="L25" i="2158"/>
  <c r="K25" i="2158"/>
  <c r="J25" i="2158"/>
  <c r="I25" i="2158"/>
  <c r="H25" i="2158"/>
  <c r="G25" i="2158"/>
  <c r="F25" i="2158"/>
  <c r="E25" i="2158"/>
  <c r="D25" i="2158"/>
  <c r="AE19" i="2158"/>
  <c r="AD19" i="2158"/>
  <c r="AC19" i="2158"/>
  <c r="AB19" i="2158"/>
  <c r="AA19" i="2158"/>
  <c r="Z19" i="2158"/>
  <c r="Y19" i="2158"/>
  <c r="X19" i="2158"/>
  <c r="W19" i="2158"/>
  <c r="V19" i="2158"/>
  <c r="U19" i="2158"/>
  <c r="T19" i="2158"/>
  <c r="S19" i="2158"/>
  <c r="R19" i="2158"/>
  <c r="Q19" i="2158"/>
  <c r="P19" i="2158"/>
  <c r="V33" i="2158" s="1"/>
  <c r="O19" i="2158"/>
  <c r="N19" i="2158"/>
  <c r="M19" i="2158"/>
  <c r="L19" i="2158"/>
  <c r="K19" i="2158"/>
  <c r="J19" i="2158"/>
  <c r="I19" i="2158"/>
  <c r="H19" i="2158"/>
  <c r="G19" i="2158"/>
  <c r="F19" i="2158"/>
  <c r="E19" i="2158"/>
  <c r="D19" i="2158"/>
  <c r="AE16" i="2158"/>
  <c r="AD16" i="2158"/>
  <c r="AC16" i="2158"/>
  <c r="AB16" i="2158"/>
  <c r="AA16" i="2158"/>
  <c r="Z16" i="2158"/>
  <c r="X16" i="2158"/>
  <c r="W16" i="2158"/>
  <c r="V16" i="2158"/>
  <c r="U16" i="2158"/>
  <c r="T16" i="2158"/>
  <c r="S16" i="2158"/>
  <c r="R16" i="2158"/>
  <c r="Q16" i="2158"/>
  <c r="P16" i="2158"/>
  <c r="O16" i="2158"/>
  <c r="N16" i="2158"/>
  <c r="M16" i="2158"/>
  <c r="L16" i="2158"/>
  <c r="K16" i="2158"/>
  <c r="J16" i="2158"/>
  <c r="I16" i="2158"/>
  <c r="H16" i="2158"/>
  <c r="G16" i="2158"/>
  <c r="F16" i="2158"/>
  <c r="E16" i="2158"/>
  <c r="D16" i="2158"/>
  <c r="AE10" i="2158"/>
  <c r="AD10" i="2158"/>
  <c r="AC10" i="2158"/>
  <c r="AB10" i="2158"/>
  <c r="AA10" i="2158"/>
  <c r="Z10" i="2158"/>
  <c r="Y10" i="2158"/>
  <c r="X10" i="2158"/>
  <c r="W10" i="2158"/>
  <c r="V10" i="2158"/>
  <c r="U10" i="2158"/>
  <c r="T10" i="2158"/>
  <c r="S10" i="2158"/>
  <c r="R10" i="2158"/>
  <c r="Q10" i="2158"/>
  <c r="P10" i="2158"/>
  <c r="O10" i="2158"/>
  <c r="N10" i="2158"/>
  <c r="M10" i="2158"/>
  <c r="L10" i="2158"/>
  <c r="K10" i="2158"/>
  <c r="J10" i="2158"/>
  <c r="I10" i="2158"/>
  <c r="H10" i="2158"/>
  <c r="G10" i="2158"/>
  <c r="F10" i="2158"/>
  <c r="E10" i="2158"/>
  <c r="D10" i="2158"/>
  <c r="AE7" i="2158"/>
  <c r="AD7" i="2158"/>
  <c r="AC7" i="2158"/>
  <c r="AB7" i="2158"/>
  <c r="AA7" i="2158"/>
  <c r="Z7" i="2158"/>
  <c r="Y7" i="2158"/>
  <c r="X7" i="2158"/>
  <c r="W7" i="2158"/>
  <c r="V7" i="2158"/>
  <c r="U7" i="2158"/>
  <c r="T7" i="2158"/>
  <c r="S7" i="2158"/>
  <c r="R7" i="2158"/>
  <c r="Q7" i="2158"/>
  <c r="P7" i="2158"/>
  <c r="O7" i="2158"/>
  <c r="N7" i="2158"/>
  <c r="M7" i="2158"/>
  <c r="L7" i="2158"/>
  <c r="K7" i="2158"/>
  <c r="J7" i="2158"/>
  <c r="I7" i="2158"/>
  <c r="H7" i="2158"/>
  <c r="G7" i="2158"/>
  <c r="F7" i="2158"/>
  <c r="E7" i="2158"/>
  <c r="D7" i="2158"/>
  <c r="S51" i="13"/>
  <c r="S50" i="13"/>
  <c r="S49" i="13"/>
  <c r="S48" i="13"/>
  <c r="S47" i="13"/>
  <c r="S46" i="13"/>
  <c r="S45" i="13"/>
  <c r="S44" i="13"/>
  <c r="S43" i="13"/>
  <c r="S42" i="13"/>
  <c r="S41" i="13"/>
  <c r="S40" i="13"/>
  <c r="S39" i="13"/>
  <c r="S38" i="13"/>
  <c r="S37" i="13"/>
  <c r="S36" i="13"/>
  <c r="S35" i="13"/>
  <c r="M33" i="2168" l="1"/>
  <c r="J33" i="2168"/>
  <c r="W33" i="2168"/>
  <c r="N33" i="2168"/>
  <c r="AC33" i="2168"/>
  <c r="Z33" i="2168"/>
  <c r="Y33" i="2168"/>
  <c r="K33" i="2168"/>
  <c r="V33" i="2168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<sst xmlns="http://schemas.openxmlformats.org/spreadsheetml/2006/main" count="30626" uniqueCount="641">
  <si>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</si>
  <si>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</si>
  <si>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</si>
  <si>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</si>
  <si>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</si>
  <si>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</si>
  <si>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</si>
  <si>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</si>
  <si>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</si>
  <si>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</si>
  <si>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</si>
  <si>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</si>
  <si>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</si>
  <si>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</si>
  <si>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</si>
  <si>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</si>
  <si>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</si>
  <si>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</si>
  <si>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</si>
  <si>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</si>
  <si>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</si>
  <si>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</si>
  <si>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</si>
  <si>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</si>
  <si>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</si>
  <si>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</si>
  <si>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</si>
  <si>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</si>
  <si>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</si>
  <si>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</si>
  <si>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</si>
  <si>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</si>
  <si>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</si>
  <si>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</si>
  <si>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</si>
  <si>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</si>
  <si>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</si>
  <si>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</si>
  <si>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</si>
  <si>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</si>
  <si>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</si>
  <si>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</si>
  <si>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</si>
  <si>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</si>
  <si>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</si>
  <si>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</si>
  <si>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</si>
  <si>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</si>
  <si>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</si>
  <si>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</si>
  <si>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</si>
  <si>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</si>
  <si>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</si>
  <si>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</si>
  <si>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</si>
  <si>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</si>
  <si>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</si>
  <si>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</si>
  <si>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</si>
  <si>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</si>
  <si>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</si>
  <si>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</si>
  <si>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</si>
  <si>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</si>
  <si>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</si>
  <si>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</si>
  <si>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</si>
  <si>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</si>
  <si>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</si>
  <si>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</si>
  <si>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</si>
  <si>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</si>
  <si>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</si>
  <si>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</si>
  <si>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</si>
  <si>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</si>
  <si>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</si>
  <si>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</si>
  <si>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</si>
  <si>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</si>
  <si>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</si>
  <si>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</si>
  <si>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</si>
  <si>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</si>
  <si>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</si>
  <si>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</si>
  <si>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</si>
  <si>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</si>
  <si>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</si>
  <si>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</si>
  <si>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</si>
  <si>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</si>
  <si>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</si>
  <si>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</si>
  <si>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</si>
  <si>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</si>
  <si>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</si>
  <si>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</si>
  <si>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</si>
  <si>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</si>
  <si>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</si>
  <si>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</si>
  <si>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</si>
  <si>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</si>
  <si>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</si>
  <si>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</si>
  <si>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</si>
  <si>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</si>
  <si>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</si>
  <si>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</si>
  <si>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</si>
  <si>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</si>
  <si>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</si>
  <si>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</si>
  <si>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</si>
  <si>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</si>
  <si>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</si>
  <si>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</si>
  <si>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</si>
  <si>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</si>
  <si>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</si>
  <si>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</si>
  <si>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</si>
  <si>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</si>
  <si>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</si>
  <si>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</si>
  <si>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</si>
  <si>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</si>
  <si>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</si>
  <si>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</si>
  <si>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</si>
  <si>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</si>
  <si>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</si>
  <si>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</si>
  <si>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</si>
  <si>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</si>
  <si>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</si>
  <si>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</si>
  <si>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</si>
  <si>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</si>
  <si>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</si>
  <si>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</si>
  <si>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</si>
  <si>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</si>
  <si>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</si>
  <si>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</si>
  <si>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</si>
  <si>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</si>
  <si>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</si>
  <si>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</si>
  <si>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</si>
  <si>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</si>
  <si>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</si>
  <si>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</si>
  <si>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</si>
  <si>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</si>
  <si>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</si>
  <si>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</si>
  <si>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</si>
  <si>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</si>
  <si>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</si>
  <si>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</si>
  <si>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</si>
  <si>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</si>
  <si>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</si>
  <si>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</si>
  <si>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</si>
  <si>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</si>
  <si>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</si>
  <si>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</si>
  <si>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</si>
  <si>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</si>
  <si>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</si>
  <si>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</si>
  <si>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</si>
  <si>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</si>
  <si>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</si>
  <si>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</si>
  <si>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</si>
  <si>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</si>
  <si>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</si>
  <si>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</si>
  <si>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</si>
  <si>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</si>
  <si>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</si>
  <si>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</si>
  <si>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</si>
  <si>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</si>
  <si>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</si>
  <si>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</si>
  <si>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</si>
  <si>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</si>
  <si>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</si>
  <si>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</si>
  <si>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</si>
  <si>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</si>
  <si>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</si>
  <si>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</si>
  <si>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</si>
  <si>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</si>
  <si>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</si>
  <si>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</si>
  <si>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</si>
  <si>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</si>
  <si>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</si>
  <si>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</si>
  <si>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</si>
  <si>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</si>
  <si>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</si>
  <si>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</si>
  <si>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</si>
  <si>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</si>
  <si>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</si>
  <si>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</si>
  <si>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</si>
  <si>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</si>
  <si>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</si>
  <si>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</si>
  <si>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</si>
  <si>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</si>
  <si>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</si>
  <si>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</si>
  <si>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</si>
  <si>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</si>
  <si>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</si>
  <si>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</si>
  <si>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</si>
  <si>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</si>
  <si>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</si>
  <si>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</si>
  <si>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</si>
  <si>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</si>
  <si>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</si>
  <si>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</si>
  <si>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</si>
  <si>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</si>
  <si>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</si>
  <si>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</si>
  <si>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</si>
  <si>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</si>
  <si>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</si>
  <si>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</si>
  <si>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</si>
  <si>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</si>
  <si>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</si>
  <si>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</si>
  <si>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</si>
  <si>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</si>
  <si>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</si>
  <si>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</si>
  <si>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</si>
  <si>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</si>
  <si>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</si>
  <si>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</si>
  <si>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</si>
  <si>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</si>
  <si>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</si>
  <si>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</si>
  <si>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</si>
  <si>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</si>
  <si>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</si>
  <si>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</si>
  <si>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</si>
  <si>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</si>
  <si>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</si>
  <si>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</si>
  <si>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</si>
  <si>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</si>
  <si>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</si>
  <si>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</si>
  <si>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</si>
  <si>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</si>
  <si>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</si>
  <si>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</si>
  <si>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</si>
  <si>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</si>
  <si>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</si>
  <si>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</si>
  <si>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</si>
  <si>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</si>
  <si>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</si>
  <si>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</si>
  <si>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</si>
  <si>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</si>
  <si>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</si>
  <si>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</si>
  <si>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</si>
  <si>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</si>
  <si>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</si>
  <si>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</si>
  <si>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</si>
  <si>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</si>
  <si>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</si>
  <si>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</si>
  <si>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</si>
  <si>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</si>
  <si>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</si>
  <si>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</si>
  <si>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</si>
  <si>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</si>
  <si>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</si>
  <si>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</si>
  <si>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</si>
  <si>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</si>
  <si>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</si>
  <si>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</si>
  <si>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</si>
  <si>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</si>
  <si>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</si>
  <si>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</si>
  <si>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</si>
  <si>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</si>
  <si>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</si>
  <si>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</si>
  <si>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</si>
  <si>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</si>
  <si>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</si>
  <si>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</si>
  <si>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</si>
  <si>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</si>
  <si>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</si>
  <si>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</si>
  <si>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</si>
  <si>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</si>
  <si>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</si>
  <si>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</si>
  <si>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</si>
  <si>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</si>
  <si>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</si>
  <si>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</si>
  <si>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</si>
  <si>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</si>
  <si>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</si>
  <si>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</si>
  <si>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</si>
  <si>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</si>
  <si>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</si>
  <si>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</si>
  <si>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</si>
  <si>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</si>
  <si>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</si>
  <si>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</si>
  <si>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</si>
  <si>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</si>
  <si>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</si>
  <si>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</si>
  <si>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</si>
  <si>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</si>
  <si>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</si>
  <si>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</si>
  <si>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</si>
  <si>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</si>
  <si>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</si>
  <si>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</si>
  <si>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</si>
  <si>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</si>
  <si>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</si>
  <si>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</si>
  <si>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</si>
  <si>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</si>
  <si>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</si>
  <si>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</si>
  <si>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</si>
  <si>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</si>
  <si>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</si>
  <si>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</si>
  <si>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</si>
  <si>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</si>
  <si>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</si>
  <si>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</si>
  <si>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</si>
  <si>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</si>
  <si>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</si>
  <si>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</si>
  <si>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</si>
  <si>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</si>
  <si>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</si>
  <si>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</si>
  <si>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</si>
  <si>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</si>
  <si>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</si>
  <si>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</si>
  <si>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</si>
  <si>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</si>
  <si>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</si>
  <si>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</si>
  <si>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</si>
  <si>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</si>
  <si>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</si>
  <si>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</si>
  <si>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</si>
  <si>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</si>
  <si>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</si>
  <si>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</si>
  <si>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</si>
  <si>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</si>
  <si>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</si>
  <si>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</si>
  <si>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</si>
  <si>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</si>
  <si>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</si>
  <si>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</si>
  <si>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</si>
  <si>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</si>
  <si>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</si>
  <si>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</si>
  <si>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</si>
  <si>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</si>
  <si>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</si>
  <si>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</si>
  <si>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</si>
  <si>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</si>
  <si>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</si>
  <si>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</si>
  <si>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</si>
  <si>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</si>
  <si>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</si>
  <si>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</si>
  <si>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</si>
  <si>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</si>
  <si>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</si>
  <si>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</si>
  <si>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</si>
  <si>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</si>
  <si>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</si>
  <si>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</si>
  <si>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</si>
  <si>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</si>
  <si>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</si>
  <si>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</si>
  <si>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</si>
  <si>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</si>
  <si>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</si>
  <si>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</si>
  <si>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</si>
  <si>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</si>
  <si>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</si>
  <si>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</si>
  <si>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</si>
  <si>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</si>
  <si>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</si>
  <si>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</si>
  <si>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</si>
  <si>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</si>
  <si>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</si>
  <si>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</si>
  <si>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</si>
  <si>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</si>
  <si>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</si>
  <si>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</si>
  <si>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</si>
  <si>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</si>
  <si>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</si>
  <si>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</si>
  <si>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</si>
  <si>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</si>
  <si>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</si>
  <si>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</si>
  <si>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</si>
  <si>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</si>
  <si>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</si>
  <si>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</si>
  <si>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</si>
  <si>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</si>
  <si>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</si>
  <si>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</si>
  <si>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</si>
  <si>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</si>
  <si>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</si>
  <si>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</si>
  <si>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</si>
  <si>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</si>
  <si>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</si>
  <si>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</si>
  <si>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</si>
  <si>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</si>
  <si>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</si>
  <si>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</si>
  <si>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</si>
  <si>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</si>
  <si>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</si>
  <si>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</si>
  <si>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</si>
  <si>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</si>
  <si>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</si>
  <si>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</si>
  <si>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</si>
  <si>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</si>
  <si>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</si>
  <si>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</si>
  <si>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</si>
  <si>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</si>
  <si>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</si>
  <si>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</si>
  <si>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</si>
  <si>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</si>
  <si>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</si>
  <si>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</si>
  <si>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</si>
  <si>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</si>
  <si>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</si>
  <si>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</si>
  <si>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</si>
  <si>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</si>
  <si>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</si>
  <si>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</si>
  <si>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</si>
  <si>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</si>
  <si>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</si>
  <si>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</si>
  <si>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</si>
  <si>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</si>
  <si>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</si>
  <si>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</si>
  <si>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</si>
  <si>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</si>
  <si>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</si>
  <si>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</si>
  <si>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</si>
  <si>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</si>
  <si>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</si>
  <si>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</si>
  <si>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</si>
  <si>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</si>
  <si>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</si>
  <si>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</si>
  <si>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</si>
  <si>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</si>
  <si>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</si>
  <si>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</si>
  <si>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</si>
  <si>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</si>
  <si>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</si>
  <si>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</si>
  <si>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</si>
  <si>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</si>
  <si>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</si>
  <si>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</si>
  <si>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</si>
  <si>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</si>
  <si>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</si>
  <si>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</si>
  <si>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</si>
  <si>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</si>
  <si>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</si>
  <si>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</si>
  <si>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</si>
  <si>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</si>
  <si>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</si>
  <si>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</si>
  <si>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</si>
  <si>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</si>
  <si>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</si>
  <si>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</si>
  <si>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</si>
  <si>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</si>
  <si>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</si>
  <si>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</si>
  <si>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</si>
  <si>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</si>
  <si>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</si>
  <si>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</si>
  <si>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</si>
  <si>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</si>
  <si>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</si>
  <si>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</si>
  <si>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</si>
  <si>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</si>
  <si>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</si>
  <si>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</si>
  <si>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</si>
  <si>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</si>
  <si>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</si>
  <si>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</si>
  <si>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</si>
  <si>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</si>
  <si>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</si>
  <si>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</si>
  <si>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</si>
  <si>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</si>
  <si>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</si>
  <si>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</si>
  <si>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</si>
  <si>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</si>
  <si>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</si>
  <si>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</si>
  <si>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</si>
  <si>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</si>
  <si>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</si>
  <si>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</si>
  <si>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</si>
  <si>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</si>
  <si>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</si>
  <si>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</si>
  <si>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</si>
  <si>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</si>
  <si>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</si>
  <si>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</si>
  <si>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</si>
  <si>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</si>
  <si>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</si>
  <si>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</si>
  <si>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</si>
  <si>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</si>
  <si>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</si>
  <si>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PMUPS</t>
    <phoneticPr fontId="3" type="noConversion"/>
  </si>
  <si>
    <t>待處理廢水</t>
    <phoneticPr fontId="2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</si>
  <si>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</si>
  <si>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</si>
  <si>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</si>
  <si>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</si>
  <si>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</si>
  <si>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</si>
  <si>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</si>
  <si>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</si>
  <si>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</si>
  <si>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</si>
  <si>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</si>
  <si>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</si>
  <si>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</si>
  <si>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</si>
  <si>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</si>
  <si>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</si>
  <si>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</si>
  <si>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</si>
  <si>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</si>
  <si>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</si>
  <si>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</si>
  <si>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</si>
  <si>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</t>
    <phoneticPr fontId="2" type="noConversion"/>
  </si>
  <si>
    <t>EBR-P1</t>
    <phoneticPr fontId="2" type="noConversion"/>
  </si>
  <si>
    <t>C50110-INV-01(01)</t>
    <phoneticPr fontId="3" type="noConversion"/>
  </si>
  <si>
    <t>DPM-1</t>
    <phoneticPr fontId="3" type="noConversion"/>
  </si>
  <si>
    <t>CPNE3</t>
    <phoneticPr fontId="2" type="noConversion"/>
  </si>
  <si>
    <t xml:space="preserve"> 液位</t>
  </si>
  <si>
    <t>待處理廢水</t>
    <phoneticPr fontId="3" type="noConversion"/>
  </si>
  <si>
    <r>
      <t>EBR</t>
    </r>
    <r>
      <rPr>
        <sz val="7"/>
        <color rgb="FFC00000"/>
        <rFont val="微軟正黑體"/>
        <family val="2"/>
        <charset val="136"/>
      </rPr>
      <t>廢溶劑</t>
    </r>
    <phoneticPr fontId="3" type="noConversion"/>
  </si>
  <si>
    <t>江承河</t>
    <phoneticPr fontId="2" type="noConversion"/>
  </si>
  <si>
    <t>EBR95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</si>
  <si>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21
蒸氣壓力 ______ (最低氣溫低於16度開啟)</t>
    <phoneticPr fontId="3" type="noConversion"/>
  </si>
  <si>
    <t>林東和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</si>
</sst>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6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b/>
      <sz val="22"/>
      <name val="微軟正黑體"/>
      <family val="2"/>
      <charset val="136"/>
    </font>
    <font>
      <sz val="8"/>
      <color rgb="FFC00000"/>
      <name val="微軟正黑體"/>
      <family val="2"/>
      <charset val="136"/>
    </font>
    <font>
      <sz val="7"/>
      <color rgb="FFC00000"/>
      <name val="微軟正黑體"/>
      <family val="2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</cellStyleXfs>
  <cellXfs count="245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9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8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8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8" fontId="20" fillId="2" borderId="11" xfId="1" applyNumberFormat="1" applyFont="1" applyFill="1" applyBorder="1" applyAlignment="1">
      <alignment horizontal="center" vertical="center" wrapText="1"/>
    </xf>
    <xf numFmtId="179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9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2" borderId="3" xfId="1" applyFont="1" applyFill="1" applyBorder="1" applyAlignment="1">
      <alignment horizontal="center" vertical="top"/>
    </xf>
    <xf numFmtId="0" fontId="13" fillId="0" borderId="0" xfId="1" applyFont="1" applyAlignment="1">
      <alignment horizontal="right" vertical="center"/>
    </xf>
    <xf numFmtId="0" fontId="32" fillId="0" borderId="0" xfId="1" applyFont="1"/>
    <xf numFmtId="0" fontId="22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/>
    </xf>
    <xf numFmtId="0" fontId="33" fillId="2" borderId="3" xfId="1" applyFont="1" applyFill="1" applyBorder="1" applyAlignment="1">
      <alignment horizontal="center" vertical="top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178" fontId="14" fillId="2" borderId="0" xfId="1" applyNumberFormat="1" applyFont="1" applyFill="1" applyAlignment="1">
      <alignment horizontal="center" vertical="center"/>
    </xf>
    <xf numFmtId="179" fontId="20" fillId="2" borderId="2" xfId="1" applyNumberFormat="1" applyFont="1" applyFill="1" applyBorder="1" applyAlignment="1">
      <alignment horizontal="center" vertical="center"/>
    </xf>
    <xf numFmtId="179" fontId="20" fillId="2" borderId="4" xfId="1" applyNumberFormat="1" applyFont="1" applyFill="1" applyBorder="1" applyAlignment="1">
      <alignment horizontal="center" vertical="center"/>
    </xf>
    <xf numFmtId="179" fontId="20" fillId="2" borderId="13" xfId="1" applyNumberFormat="1" applyFont="1" applyFill="1" applyBorder="1" applyAlignment="1">
      <alignment horizontal="center" vertical="center"/>
    </xf>
    <xf numFmtId="179" fontId="20" fillId="2" borderId="15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/>
    </xf>
    <xf numFmtId="179" fontId="20" fillId="2" borderId="16" xfId="1" applyNumberFormat="1" applyFont="1" applyFill="1" applyBorder="1" applyAlignment="1">
      <alignment horizontal="center" vertical="center"/>
    </xf>
    <xf numFmtId="178" fontId="20" fillId="2" borderId="2" xfId="1" applyNumberFormat="1" applyFont="1" applyFill="1" applyBorder="1" applyAlignment="1">
      <alignment horizontal="center" vertical="center"/>
    </xf>
    <xf numFmtId="178" fontId="20" fillId="2" borderId="4" xfId="1" applyNumberFormat="1" applyFont="1" applyFill="1" applyBorder="1" applyAlignment="1">
      <alignment horizontal="center" vertical="center"/>
    </xf>
    <xf numFmtId="179" fontId="20" fillId="2" borderId="37" xfId="1" applyNumberFormat="1" applyFont="1" applyFill="1" applyBorder="1" applyAlignment="1">
      <alignment horizontal="center" vertical="center"/>
    </xf>
    <xf numFmtId="179" fontId="20" fillId="2" borderId="61" xfId="1" applyNumberFormat="1" applyFont="1" applyFill="1" applyBorder="1" applyAlignment="1">
      <alignment horizontal="center" vertical="center"/>
    </xf>
    <xf numFmtId="179" fontId="20" fillId="2" borderId="40" xfId="1" applyNumberFormat="1" applyFont="1" applyFill="1" applyBorder="1" applyAlignment="1">
      <alignment horizontal="center" vertical="center"/>
    </xf>
    <xf numFmtId="179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9" fontId="20" fillId="2" borderId="2" xfId="1" applyNumberFormat="1" applyFont="1" applyFill="1" applyBorder="1" applyAlignment="1">
      <alignment horizontal="center" vertical="center" wrapText="1"/>
    </xf>
    <xf numFmtId="179" fontId="20" fillId="2" borderId="4" xfId="1" applyNumberFormat="1" applyFont="1" applyFill="1" applyBorder="1" applyAlignment="1">
      <alignment horizontal="center" vertical="center" wrapText="1"/>
    </xf>
    <xf numFmtId="178" fontId="20" fillId="2" borderId="2" xfId="1" applyNumberFormat="1" applyFont="1" applyFill="1" applyBorder="1" applyAlignment="1">
      <alignment horizontal="center" vertical="center" wrapText="1"/>
    </xf>
    <xf numFmtId="178" fontId="20" fillId="2" borderId="4" xfId="1" applyNumberFormat="1" applyFont="1" applyFill="1" applyBorder="1" applyAlignment="1">
      <alignment horizontal="center" vertical="center" wrapText="1"/>
    </xf>
    <xf numFmtId="179" fontId="20" fillId="2" borderId="13" xfId="1" applyNumberFormat="1" applyFont="1" applyFill="1" applyBorder="1" applyAlignment="1">
      <alignment horizontal="center" vertical="center" wrapText="1"/>
    </xf>
    <xf numFmtId="179" fontId="20" fillId="2" borderId="15" xfId="1" applyNumberFormat="1" applyFont="1" applyFill="1" applyBorder="1" applyAlignment="1">
      <alignment horizontal="center" vertical="center" wrapText="1"/>
    </xf>
    <xf numFmtId="178" fontId="20" fillId="2" borderId="14" xfId="1" applyNumberFormat="1" applyFont="1" applyFill="1" applyBorder="1" applyAlignment="1">
      <alignment horizontal="center" vertical="center"/>
    </xf>
    <xf numFmtId="178" fontId="20" fillId="2" borderId="16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 wrapText="1"/>
    </xf>
    <xf numFmtId="179" fontId="20" fillId="2" borderId="16" xfId="1" applyNumberFormat="1" applyFont="1" applyFill="1" applyBorder="1" applyAlignment="1">
      <alignment horizontal="center" vertical="center" wrapText="1"/>
    </xf>
    <xf numFmtId="179" fontId="20" fillId="2" borderId="13" xfId="4" applyNumberFormat="1" applyFont="1" applyFill="1" applyBorder="1" applyAlignment="1">
      <alignment horizontal="center" vertical="center" wrapText="1"/>
    </xf>
    <xf numFmtId="179" fontId="20" fillId="2" borderId="15" xfId="4" applyNumberFormat="1" applyFont="1" applyFill="1" applyBorder="1" applyAlignment="1">
      <alignment horizontal="center" vertical="center" wrapText="1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8" fontId="20" fillId="2" borderId="13" xfId="3" applyNumberFormat="1" applyFont="1" applyFill="1" applyBorder="1" applyAlignment="1">
      <alignment horizontal="center" vertical="center"/>
    </xf>
    <xf numFmtId="178" fontId="20" fillId="2" borderId="15" xfId="3" applyNumberFormat="1" applyFont="1" applyFill="1" applyBorder="1" applyAlignment="1">
      <alignment horizontal="center" vertical="center"/>
    </xf>
    <xf numFmtId="178" fontId="20" fillId="2" borderId="14" xfId="3" applyNumberFormat="1" applyFont="1" applyFill="1" applyBorder="1" applyAlignment="1">
      <alignment horizontal="center" vertical="center"/>
    </xf>
    <xf numFmtId="178" fontId="20" fillId="2" borderId="16" xfId="3" applyNumberFormat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28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15</xdr:row>
          <xdr:rowOff>198120</xdr:rowOff>
        </xdr:from>
        <xdr:to>
          <xdr:col>15</xdr:col>
          <xdr:colOff>495300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548640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38529" name="Button 1" hidden="1">
              <a:extLst>
                <a:ext uri="{63B3BB69-23CF-44E3-9099-C40C66FF867C}">
                  <a14:compatExt spid="_x0000_s2838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40577" name="Button 1" hidden="1">
              <a:extLst>
                <a:ext uri="{63B3BB69-23CF-44E3-9099-C40C66FF867C}">
                  <a14:compatExt spid="_x0000_s2840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42625" name="Button 1" hidden="1">
              <a:extLst>
                <a:ext uri="{63B3BB69-23CF-44E3-9099-C40C66FF867C}">
                  <a14:compatExt spid="_x0000_s284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43649" name="Button 1" hidden="1">
              <a:extLst>
                <a:ext uri="{63B3BB69-23CF-44E3-9099-C40C66FF867C}">
                  <a14:compatExt spid="_x0000_s2843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44673" name="Button 1" hidden="1">
              <a:extLst>
                <a:ext uri="{63B3BB69-23CF-44E3-9099-C40C66FF867C}">
                  <a14:compatExt spid="_x0000_s2844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45697" name="Button 1" hidden="1">
              <a:extLst>
                <a:ext uri="{63B3BB69-23CF-44E3-9099-C40C66FF867C}">
                  <a14:compatExt spid="_x0000_s2845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46721" name="Button 1" hidden="1">
              <a:extLst>
                <a:ext uri="{63B3BB69-23CF-44E3-9099-C40C66FF867C}">
                  <a14:compatExt spid="_x0000_s2846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47745" name="Button 1" hidden="1">
              <a:extLst>
                <a:ext uri="{63B3BB69-23CF-44E3-9099-C40C66FF867C}">
                  <a14:compatExt spid="_x0000_s2847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48769" name="Button 1" hidden="1">
              <a:extLst>
                <a:ext uri="{63B3BB69-23CF-44E3-9099-C40C66FF867C}">
                  <a14:compatExt spid="_x0000_s284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49793" name="Button 1" hidden="1">
              <a:extLst>
                <a:ext uri="{63B3BB69-23CF-44E3-9099-C40C66FF867C}">
                  <a14:compatExt spid="_x0000_s2849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51841" name="Button 1" hidden="1">
              <a:extLst>
                <a:ext uri="{63B3BB69-23CF-44E3-9099-C40C66FF867C}">
                  <a14:compatExt spid="_x0000_s285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53889" name="Button 1" hidden="1">
              <a:extLst>
                <a:ext uri="{63B3BB69-23CF-44E3-9099-C40C66FF867C}">
                  <a14:compatExt spid="_x0000_s2853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55937" name="Button 1" hidden="1">
              <a:extLst>
                <a:ext uri="{63B3BB69-23CF-44E3-9099-C40C66FF867C}">
                  <a14:compatExt spid="_x0000_s2855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56961" name="Button 1" hidden="1">
              <a:extLst>
                <a:ext uri="{63B3BB69-23CF-44E3-9099-C40C66FF867C}">
                  <a14:compatExt spid="_x0000_s285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57985" name="Button 1" hidden="1">
              <a:extLst>
                <a:ext uri="{63B3BB69-23CF-44E3-9099-C40C66FF867C}">
                  <a14:compatExt spid="_x0000_s2857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59009" name="Button 1" hidden="1">
              <a:extLst>
                <a:ext uri="{63B3BB69-23CF-44E3-9099-C40C66FF867C}">
                  <a14:compatExt spid="_x0000_s285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60033" name="Button 1" hidden="1">
              <a:extLst>
                <a:ext uri="{63B3BB69-23CF-44E3-9099-C40C66FF867C}">
                  <a14:compatExt spid="_x0000_s2860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61057" name="Button 1" hidden="1">
              <a:extLst>
                <a:ext uri="{63B3BB69-23CF-44E3-9099-C40C66FF867C}">
                  <a14:compatExt spid="_x0000_s286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62081" name="Button 1" hidden="1">
              <a:extLst>
                <a:ext uri="{63B3BB69-23CF-44E3-9099-C40C66FF867C}">
                  <a14:compatExt spid="_x0000_s286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63105" name="Button 1" hidden="1">
              <a:extLst>
                <a:ext uri="{63B3BB69-23CF-44E3-9099-C40C66FF867C}">
                  <a14:compatExt spid="_x0000_s286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64129" name="Button 1" hidden="1">
              <a:extLst>
                <a:ext uri="{63B3BB69-23CF-44E3-9099-C40C66FF867C}">
                  <a14:compatExt spid="_x0000_s286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66177" name="Button 1" hidden="1">
              <a:extLst>
                <a:ext uri="{63B3BB69-23CF-44E3-9099-C40C66FF867C}">
                  <a14:compatExt spid="_x0000_s286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2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2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ref="AG13:BH189" tableType="queryTable" totalsRowShown="0" headerRowDxfId="2759" dataDxfId="2758" headerRowCellStyle="一般 2" dataCellStyle="一般 2">
  <autoFilter ref="AG13:BH189"/>
  <tableColumns count="28">
    <tableColumn id="1" uniqueName="1" name="請直接以10進位，謝謝" queryTableFieldId="1" dataDxfId="2757" dataCellStyle="一般 2"/>
    <tableColumn id="2" uniqueName="2" name="F2" queryTableFieldId="2" dataDxfId="2756" dataCellStyle="一般 2"/>
    <tableColumn id="3" uniqueName="3" name="F3" queryTableFieldId="3" dataDxfId="2755" dataCellStyle="一般 2"/>
    <tableColumn id="4" uniqueName="4" name="F4" queryTableFieldId="4" dataDxfId="2754" dataCellStyle="一般 2"/>
    <tableColumn id="5" uniqueName="5" name="F5" queryTableFieldId="5" dataDxfId="2753" dataCellStyle="一般 2"/>
    <tableColumn id="6" uniqueName="6" name="F6" queryTableFieldId="6" dataDxfId="2752" dataCellStyle="一般 2"/>
    <tableColumn id="7" uniqueName="7" name="F7" queryTableFieldId="7" dataDxfId="2751" dataCellStyle="一般 2"/>
    <tableColumn id="8" uniqueName="8" name="F8" queryTableFieldId="8" dataDxfId="2750" dataCellStyle="一般 2"/>
    <tableColumn id="9" uniqueName="9" name="F9" queryTableFieldId="9" dataDxfId="2749" dataCellStyle="一般 2"/>
    <tableColumn id="10" uniqueName="10" name="F10" queryTableFieldId="10" dataDxfId="2748" dataCellStyle="一般 2"/>
    <tableColumn id="11" uniqueName="11" name="F11" queryTableFieldId="11" dataDxfId="2747" dataCellStyle="一般 2"/>
    <tableColumn id="12" uniqueName="12" name="F12" queryTableFieldId="12" dataDxfId="2746" dataCellStyle="一般 2"/>
    <tableColumn id="13" uniqueName="13" name="F13" queryTableFieldId="13" dataDxfId="2745" dataCellStyle="一般 2"/>
    <tableColumn id="14" uniqueName="14" name="F14" queryTableFieldId="14" dataDxfId="2744" dataCellStyle="一般 2"/>
    <tableColumn id="15" uniqueName="15" name="F15" queryTableFieldId="15" dataDxfId="2743" dataCellStyle="一般 2"/>
    <tableColumn id="16" uniqueName="16" name="F16" queryTableFieldId="16" dataDxfId="2742" dataCellStyle="一般 2"/>
    <tableColumn id="17" uniqueName="17" name="F17" queryTableFieldId="17" dataDxfId="2741" dataCellStyle="一般 2"/>
    <tableColumn id="18" uniqueName="18" name="F18" queryTableFieldId="18" dataDxfId="2740" dataCellStyle="一般 2"/>
    <tableColumn id="19" uniqueName="19" name="F19" queryTableFieldId="19" dataDxfId="2739" dataCellStyle="一般 2"/>
    <tableColumn id="20" uniqueName="20" name="F20" queryTableFieldId="20" dataDxfId="2738" dataCellStyle="一般 2"/>
    <tableColumn id="21" uniqueName="21" name="F21" queryTableFieldId="21" dataDxfId="2737" dataCellStyle="一般 2"/>
    <tableColumn id="22" uniqueName="22" name="2024/6/24 14:52" queryTableFieldId="22" dataDxfId="2736" dataCellStyle="一般 2"/>
    <tableColumn id="23" uniqueName="23" name="F23" queryTableFieldId="23" dataDxfId="2735" dataCellStyle="一般 2"/>
    <tableColumn id="24" uniqueName="24" name="F24" queryTableFieldId="24" dataDxfId="2734" dataCellStyle="一般 2"/>
    <tableColumn id="25" uniqueName="25" name="F25" queryTableFieldId="25" dataDxfId="2733" dataCellStyle="一般 2"/>
    <tableColumn id="26" uniqueName="26" name="F26" queryTableFieldId="26" dataDxfId="2732" dataCellStyle="一般 2"/>
    <tableColumn id="27" uniqueName="27" name="F27" queryTableFieldId="27" dataDxfId="2731" dataCellStyle="一般 2"/>
    <tableColumn id="28" uniqueName="28" name="F28" queryTableFieldId="28" dataDxfId="2730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2629" dataDxfId="2628" headerRowCellStyle="一般 2" dataCellStyle="一般 2">
  <autoFilter ref="AG13:BH189"/>
  <tableColumns count="28">
    <tableColumn id="1" uniqueName="1" name="請直接以10進位，謝謝" queryTableFieldId="1" dataDxfId="2627" dataCellStyle="一般 2"/>
    <tableColumn id="2" uniqueName="2" name="F2" queryTableFieldId="2" dataDxfId="2626" dataCellStyle="一般 2"/>
    <tableColumn id="3" uniqueName="3" name="F3" queryTableFieldId="3" dataDxfId="2625" dataCellStyle="一般 2"/>
    <tableColumn id="4" uniqueName="4" name="F4" queryTableFieldId="4" dataDxfId="2624" dataCellStyle="一般 2"/>
    <tableColumn id="5" uniqueName="5" name="F5" queryTableFieldId="5" dataDxfId="2623" dataCellStyle="一般 2"/>
    <tableColumn id="6" uniqueName="6" name="F6" queryTableFieldId="6" dataDxfId="2622" dataCellStyle="一般 2"/>
    <tableColumn id="7" uniqueName="7" name="F7" queryTableFieldId="7" dataDxfId="2621" dataCellStyle="一般 2"/>
    <tableColumn id="8" uniqueName="8" name="F8" queryTableFieldId="8" dataDxfId="2620" dataCellStyle="一般 2"/>
    <tableColumn id="9" uniqueName="9" name="F9" queryTableFieldId="9" dataDxfId="2619" dataCellStyle="一般 2"/>
    <tableColumn id="10" uniqueName="10" name="F10" queryTableFieldId="10" dataDxfId="2618" dataCellStyle="一般 2"/>
    <tableColumn id="11" uniqueName="11" name="F11" queryTableFieldId="11" dataDxfId="2617" dataCellStyle="一般 2"/>
    <tableColumn id="12" uniqueName="12" name="F12" queryTableFieldId="12" dataDxfId="2616" dataCellStyle="一般 2"/>
    <tableColumn id="13" uniqueName="13" name="F13" queryTableFieldId="13" dataDxfId="2615" dataCellStyle="一般 2"/>
    <tableColumn id="14" uniqueName="14" name="F14" queryTableFieldId="14" dataDxfId="2614" dataCellStyle="一般 2"/>
    <tableColumn id="15" uniqueName="15" name="F15" queryTableFieldId="15" dataDxfId="2613" dataCellStyle="一般 2"/>
    <tableColumn id="16" uniqueName="16" name="F16" queryTableFieldId="16" dataDxfId="2612" dataCellStyle="一般 2"/>
    <tableColumn id="17" uniqueName="17" name="F17" queryTableFieldId="17" dataDxfId="2611" dataCellStyle="一般 2"/>
    <tableColumn id="18" uniqueName="18" name="F18" queryTableFieldId="18" dataDxfId="2610" dataCellStyle="一般 2"/>
    <tableColumn id="19" uniqueName="19" name="F19" queryTableFieldId="19" dataDxfId="2609" dataCellStyle="一般 2"/>
    <tableColumn id="20" uniqueName="20" name="F20" queryTableFieldId="20" dataDxfId="2608" dataCellStyle="一般 2"/>
    <tableColumn id="21" uniqueName="21" name="F21" queryTableFieldId="21" dataDxfId="2607" dataCellStyle="一般 2"/>
    <tableColumn id="22" uniqueName="22" name="2024/6/24 14:52" queryTableFieldId="22" dataDxfId="2606" dataCellStyle="一般 2"/>
    <tableColumn id="23" uniqueName="23" name="F23" queryTableFieldId="23" dataDxfId="2605" dataCellStyle="一般 2"/>
    <tableColumn id="24" uniqueName="24" name="F24" queryTableFieldId="24" dataDxfId="2604" dataCellStyle="一般 2"/>
    <tableColumn id="25" uniqueName="25" name="F25" queryTableFieldId="25" dataDxfId="2603" dataCellStyle="一般 2"/>
    <tableColumn id="26" uniqueName="26" name="F26" queryTableFieldId="26" dataDxfId="2602" dataCellStyle="一般 2"/>
    <tableColumn id="27" uniqueName="27" name="F27" queryTableFieldId="27" dataDxfId="2601" dataCellStyle="一般 2"/>
    <tableColumn id="28" uniqueName="28" name="F28" queryTableFieldId="28" dataDxfId="2600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2499" dataDxfId="2498" headerRowCellStyle="一般 2" dataCellStyle="一般 2">
  <autoFilter ref="AG13:BH189"/>
  <tableColumns count="28">
    <tableColumn id="1" uniqueName="1" name="請直接以10進位，謝謝" queryTableFieldId="1" dataDxfId="2497" dataCellStyle="一般 2"/>
    <tableColumn id="2" uniqueName="2" name="F2" queryTableFieldId="2" dataDxfId="2496" dataCellStyle="一般 2"/>
    <tableColumn id="3" uniqueName="3" name="F3" queryTableFieldId="3" dataDxfId="2495" dataCellStyle="一般 2"/>
    <tableColumn id="4" uniqueName="4" name="F4" queryTableFieldId="4" dataDxfId="2494" dataCellStyle="一般 2"/>
    <tableColumn id="5" uniqueName="5" name="F5" queryTableFieldId="5" dataDxfId="2493" dataCellStyle="一般 2"/>
    <tableColumn id="6" uniqueName="6" name="F6" queryTableFieldId="6" dataDxfId="2492" dataCellStyle="一般 2"/>
    <tableColumn id="7" uniqueName="7" name="F7" queryTableFieldId="7" dataDxfId="2491" dataCellStyle="一般 2"/>
    <tableColumn id="8" uniqueName="8" name="F8" queryTableFieldId="8" dataDxfId="2490" dataCellStyle="一般 2"/>
    <tableColumn id="9" uniqueName="9" name="F9" queryTableFieldId="9" dataDxfId="2489" dataCellStyle="一般 2"/>
    <tableColumn id="10" uniqueName="10" name="F10" queryTableFieldId="10" dataDxfId="2488" dataCellStyle="一般 2"/>
    <tableColumn id="11" uniqueName="11" name="F11" queryTableFieldId="11" dataDxfId="2487" dataCellStyle="一般 2"/>
    <tableColumn id="12" uniqueName="12" name="F12" queryTableFieldId="12" dataDxfId="2486" dataCellStyle="一般 2"/>
    <tableColumn id="13" uniqueName="13" name="F13" queryTableFieldId="13" dataDxfId="2485" dataCellStyle="一般 2"/>
    <tableColumn id="14" uniqueName="14" name="F14" queryTableFieldId="14" dataDxfId="2484" dataCellStyle="一般 2"/>
    <tableColumn id="15" uniqueName="15" name="F15" queryTableFieldId="15" dataDxfId="2483" dataCellStyle="一般 2"/>
    <tableColumn id="16" uniqueName="16" name="F16" queryTableFieldId="16" dataDxfId="2482" dataCellStyle="一般 2"/>
    <tableColumn id="17" uniqueName="17" name="F17" queryTableFieldId="17" dataDxfId="2481" dataCellStyle="一般 2"/>
    <tableColumn id="18" uniqueName="18" name="F18" queryTableFieldId="18" dataDxfId="2480" dataCellStyle="一般 2"/>
    <tableColumn id="19" uniqueName="19" name="F19" queryTableFieldId="19" dataDxfId="2479" dataCellStyle="一般 2"/>
    <tableColumn id="20" uniqueName="20" name="F20" queryTableFieldId="20" dataDxfId="2478" dataCellStyle="一般 2"/>
    <tableColumn id="21" uniqueName="21" name="F21" queryTableFieldId="21" dataDxfId="2477" dataCellStyle="一般 2"/>
    <tableColumn id="22" uniqueName="22" name="2024/6/24 14:52" queryTableFieldId="22" dataDxfId="2476" dataCellStyle="一般 2"/>
    <tableColumn id="23" uniqueName="23" name="F23" queryTableFieldId="23" dataDxfId="2475" dataCellStyle="一般 2"/>
    <tableColumn id="24" uniqueName="24" name="F24" queryTableFieldId="24" dataDxfId="2474" dataCellStyle="一般 2"/>
    <tableColumn id="25" uniqueName="25" name="F25" queryTableFieldId="25" dataDxfId="2473" dataCellStyle="一般 2"/>
    <tableColumn id="26" uniqueName="26" name="F26" queryTableFieldId="26" dataDxfId="2472" dataCellStyle="一般 2"/>
    <tableColumn id="27" uniqueName="27" name="F27" queryTableFieldId="27" dataDxfId="2471" dataCellStyle="一般 2"/>
    <tableColumn id="28" uniqueName="28" name="F28" queryTableFieldId="28" dataDxfId="2470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ref="AG13:BH189" tableType="queryTable" totalsRowShown="0" headerRowDxfId="2369" dataDxfId="2368" headerRowCellStyle="一般 2" dataCellStyle="一般 2">
  <autoFilter ref="AG13:BH189"/>
  <tableColumns count="28">
    <tableColumn id="1" uniqueName="1" name="請直接以10進位，謝謝" queryTableFieldId="1" dataDxfId="2367" dataCellStyle="一般 2"/>
    <tableColumn id="2" uniqueName="2" name="F2" queryTableFieldId="2" dataDxfId="2366" dataCellStyle="一般 2"/>
    <tableColumn id="3" uniqueName="3" name="F3" queryTableFieldId="3" dataDxfId="2365" dataCellStyle="一般 2"/>
    <tableColumn id="4" uniqueName="4" name="F4" queryTableFieldId="4" dataDxfId="2364" dataCellStyle="一般 2"/>
    <tableColumn id="5" uniqueName="5" name="F5" queryTableFieldId="5" dataDxfId="2363" dataCellStyle="一般 2"/>
    <tableColumn id="6" uniqueName="6" name="F6" queryTableFieldId="6" dataDxfId="2362" dataCellStyle="一般 2"/>
    <tableColumn id="7" uniqueName="7" name="F7" queryTableFieldId="7" dataDxfId="2361" dataCellStyle="一般 2"/>
    <tableColumn id="8" uniqueName="8" name="F8" queryTableFieldId="8" dataDxfId="2360" dataCellStyle="一般 2"/>
    <tableColumn id="9" uniqueName="9" name="F9" queryTableFieldId="9" dataDxfId="2359" dataCellStyle="一般 2"/>
    <tableColumn id="10" uniqueName="10" name="F10" queryTableFieldId="10" dataDxfId="2358" dataCellStyle="一般 2"/>
    <tableColumn id="11" uniqueName="11" name="F11" queryTableFieldId="11" dataDxfId="2357" dataCellStyle="一般 2"/>
    <tableColumn id="12" uniqueName="12" name="F12" queryTableFieldId="12" dataDxfId="2356" dataCellStyle="一般 2"/>
    <tableColumn id="13" uniqueName="13" name="F13" queryTableFieldId="13" dataDxfId="2355" dataCellStyle="一般 2"/>
    <tableColumn id="14" uniqueName="14" name="F14" queryTableFieldId="14" dataDxfId="2354" dataCellStyle="一般 2"/>
    <tableColumn id="15" uniqueName="15" name="F15" queryTableFieldId="15" dataDxfId="2353" dataCellStyle="一般 2"/>
    <tableColumn id="16" uniqueName="16" name="F16" queryTableFieldId="16" dataDxfId="2352" dataCellStyle="一般 2"/>
    <tableColumn id="17" uniqueName="17" name="F17" queryTableFieldId="17" dataDxfId="2351" dataCellStyle="一般 2"/>
    <tableColumn id="18" uniqueName="18" name="F18" queryTableFieldId="18" dataDxfId="2350" dataCellStyle="一般 2"/>
    <tableColumn id="19" uniqueName="19" name="F19" queryTableFieldId="19" dataDxfId="2349" dataCellStyle="一般 2"/>
    <tableColumn id="20" uniqueName="20" name="F20" queryTableFieldId="20" dataDxfId="2348" dataCellStyle="一般 2"/>
    <tableColumn id="21" uniqueName="21" name="F21" queryTableFieldId="21" dataDxfId="2347" dataCellStyle="一般 2"/>
    <tableColumn id="22" uniqueName="22" name="2024/6/24 14:52" queryTableFieldId="22" dataDxfId="2346" dataCellStyle="一般 2"/>
    <tableColumn id="23" uniqueName="23" name="F23" queryTableFieldId="23" dataDxfId="2345" dataCellStyle="一般 2"/>
    <tableColumn id="24" uniqueName="24" name="F24" queryTableFieldId="24" dataDxfId="2344" dataCellStyle="一般 2"/>
    <tableColumn id="25" uniqueName="25" name="F25" queryTableFieldId="25" dataDxfId="2343" dataCellStyle="一般 2"/>
    <tableColumn id="26" uniqueName="26" name="F26" queryTableFieldId="26" dataDxfId="2342" dataCellStyle="一般 2"/>
    <tableColumn id="27" uniqueName="27" name="F27" queryTableFieldId="27" dataDxfId="2341" dataCellStyle="一般 2"/>
    <tableColumn id="28" uniqueName="28" name="F28" queryTableFieldId="28" dataDxfId="2340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ref="AG13:BH189" tableType="queryTable" totalsRowShown="0" headerRowDxfId="2239" dataDxfId="2238" headerRowCellStyle="一般 2" dataCellStyle="一般 2">
  <autoFilter ref="AG13:BH189"/>
  <tableColumns count="28">
    <tableColumn id="1" uniqueName="1" name="請直接以10進位，謝謝" queryTableFieldId="1" dataDxfId="2237" dataCellStyle="一般 2"/>
    <tableColumn id="2" uniqueName="2" name="F2" queryTableFieldId="2" dataDxfId="2236" dataCellStyle="一般 2"/>
    <tableColumn id="3" uniqueName="3" name="F3" queryTableFieldId="3" dataDxfId="2235" dataCellStyle="一般 2"/>
    <tableColumn id="4" uniqueName="4" name="F4" queryTableFieldId="4" dataDxfId="2234" dataCellStyle="一般 2"/>
    <tableColumn id="5" uniqueName="5" name="F5" queryTableFieldId="5" dataDxfId="2233" dataCellStyle="一般 2"/>
    <tableColumn id="6" uniqueName="6" name="F6" queryTableFieldId="6" dataDxfId="2232" dataCellStyle="一般 2"/>
    <tableColumn id="7" uniqueName="7" name="F7" queryTableFieldId="7" dataDxfId="2231" dataCellStyle="一般 2"/>
    <tableColumn id="8" uniqueName="8" name="F8" queryTableFieldId="8" dataDxfId="2230" dataCellStyle="一般 2"/>
    <tableColumn id="9" uniqueName="9" name="F9" queryTableFieldId="9" dataDxfId="2229" dataCellStyle="一般 2"/>
    <tableColumn id="10" uniqueName="10" name="F10" queryTableFieldId="10" dataDxfId="2228" dataCellStyle="一般 2"/>
    <tableColumn id="11" uniqueName="11" name="F11" queryTableFieldId="11" dataDxfId="2227" dataCellStyle="一般 2"/>
    <tableColumn id="12" uniqueName="12" name="F12" queryTableFieldId="12" dataDxfId="2226" dataCellStyle="一般 2"/>
    <tableColumn id="13" uniqueName="13" name="F13" queryTableFieldId="13" dataDxfId="2225" dataCellStyle="一般 2"/>
    <tableColumn id="14" uniqueName="14" name="F14" queryTableFieldId="14" dataDxfId="2224" dataCellStyle="一般 2"/>
    <tableColumn id="15" uniqueName="15" name="F15" queryTableFieldId="15" dataDxfId="2223" dataCellStyle="一般 2"/>
    <tableColumn id="16" uniqueName="16" name="F16" queryTableFieldId="16" dataDxfId="2222" dataCellStyle="一般 2"/>
    <tableColumn id="17" uniqueName="17" name="F17" queryTableFieldId="17" dataDxfId="2221" dataCellStyle="一般 2"/>
    <tableColumn id="18" uniqueName="18" name="F18" queryTableFieldId="18" dataDxfId="2220" dataCellStyle="一般 2"/>
    <tableColumn id="19" uniqueName="19" name="F19" queryTableFieldId="19" dataDxfId="2219" dataCellStyle="一般 2"/>
    <tableColumn id="20" uniqueName="20" name="F20" queryTableFieldId="20" dataDxfId="2218" dataCellStyle="一般 2"/>
    <tableColumn id="21" uniqueName="21" name="F21" queryTableFieldId="21" dataDxfId="2217" dataCellStyle="一般 2"/>
    <tableColumn id="22" uniqueName="22" name="2024/6/24 14:52" queryTableFieldId="22" dataDxfId="2216" dataCellStyle="一般 2"/>
    <tableColumn id="23" uniqueName="23" name="F23" queryTableFieldId="23" dataDxfId="2215" dataCellStyle="一般 2"/>
    <tableColumn id="24" uniqueName="24" name="F24" queryTableFieldId="24" dataDxfId="2214" dataCellStyle="一般 2"/>
    <tableColumn id="25" uniqueName="25" name="F25" queryTableFieldId="25" dataDxfId="2213" dataCellStyle="一般 2"/>
    <tableColumn id="26" uniqueName="26" name="F26" queryTableFieldId="26" dataDxfId="2212" dataCellStyle="一般 2"/>
    <tableColumn id="27" uniqueName="27" name="F27" queryTableFieldId="27" dataDxfId="2211" dataCellStyle="一般 2"/>
    <tableColumn id="28" uniqueName="28" name="F28" queryTableFieldId="28" dataDxfId="2210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ref="AG13:BH189" tableType="queryTable" totalsRowShown="0" headerRowDxfId="2109" dataDxfId="2108" headerRowCellStyle="一般 2" dataCellStyle="一般 2">
  <autoFilter ref="AG13:BH189"/>
  <tableColumns count="28">
    <tableColumn id="1" uniqueName="1" name="請直接以10進位，謝謝" queryTableFieldId="1" dataDxfId="2107" dataCellStyle="一般 2"/>
    <tableColumn id="2" uniqueName="2" name="F2" queryTableFieldId="2" dataDxfId="2106" dataCellStyle="一般 2"/>
    <tableColumn id="3" uniqueName="3" name="F3" queryTableFieldId="3" dataDxfId="2105" dataCellStyle="一般 2"/>
    <tableColumn id="4" uniqueName="4" name="F4" queryTableFieldId="4" dataDxfId="2104" dataCellStyle="一般 2"/>
    <tableColumn id="5" uniqueName="5" name="F5" queryTableFieldId="5" dataDxfId="2103" dataCellStyle="一般 2"/>
    <tableColumn id="6" uniqueName="6" name="F6" queryTableFieldId="6" dataDxfId="2102" dataCellStyle="一般 2"/>
    <tableColumn id="7" uniqueName="7" name="F7" queryTableFieldId="7" dataDxfId="2101" dataCellStyle="一般 2"/>
    <tableColumn id="8" uniqueName="8" name="F8" queryTableFieldId="8" dataDxfId="2100" dataCellStyle="一般 2"/>
    <tableColumn id="9" uniqueName="9" name="F9" queryTableFieldId="9" dataDxfId="2099" dataCellStyle="一般 2"/>
    <tableColumn id="10" uniqueName="10" name="F10" queryTableFieldId="10" dataDxfId="2098" dataCellStyle="一般 2"/>
    <tableColumn id="11" uniqueName="11" name="F11" queryTableFieldId="11" dataDxfId="2097" dataCellStyle="一般 2"/>
    <tableColumn id="12" uniqueName="12" name="F12" queryTableFieldId="12" dataDxfId="2096" dataCellStyle="一般 2"/>
    <tableColumn id="13" uniqueName="13" name="F13" queryTableFieldId="13" dataDxfId="2095" dataCellStyle="一般 2"/>
    <tableColumn id="14" uniqueName="14" name="F14" queryTableFieldId="14" dataDxfId="2094" dataCellStyle="一般 2"/>
    <tableColumn id="15" uniqueName="15" name="F15" queryTableFieldId="15" dataDxfId="2093" dataCellStyle="一般 2"/>
    <tableColumn id="16" uniqueName="16" name="F16" queryTableFieldId="16" dataDxfId="2092" dataCellStyle="一般 2"/>
    <tableColumn id="17" uniqueName="17" name="F17" queryTableFieldId="17" dataDxfId="2091" dataCellStyle="一般 2"/>
    <tableColumn id="18" uniqueName="18" name="F18" queryTableFieldId="18" dataDxfId="2090" dataCellStyle="一般 2"/>
    <tableColumn id="19" uniqueName="19" name="F19" queryTableFieldId="19" dataDxfId="2089" dataCellStyle="一般 2"/>
    <tableColumn id="20" uniqueName="20" name="F20" queryTableFieldId="20" dataDxfId="2088" dataCellStyle="一般 2"/>
    <tableColumn id="21" uniqueName="21" name="F21" queryTableFieldId="21" dataDxfId="2087" dataCellStyle="一般 2"/>
    <tableColumn id="22" uniqueName="22" name="2024/6/24 14:52" queryTableFieldId="22" dataDxfId="2086" dataCellStyle="一般 2"/>
    <tableColumn id="23" uniqueName="23" name="F23" queryTableFieldId="23" dataDxfId="2085" dataCellStyle="一般 2"/>
    <tableColumn id="24" uniqueName="24" name="F24" queryTableFieldId="24" dataDxfId="2084" dataCellStyle="一般 2"/>
    <tableColumn id="25" uniqueName="25" name="F25" queryTableFieldId="25" dataDxfId="2083" dataCellStyle="一般 2"/>
    <tableColumn id="26" uniqueName="26" name="F26" queryTableFieldId="26" dataDxfId="2082" dataCellStyle="一般 2"/>
    <tableColumn id="27" uniqueName="27" name="F27" queryTableFieldId="27" dataDxfId="2081" dataCellStyle="一般 2"/>
    <tableColumn id="28" uniqueName="28" name="F28" queryTableFieldId="28" dataDxfId="2080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ref="AG13:BH189" tableType="queryTable" totalsRowShown="0" headerRowDxfId="1979" dataDxfId="1978" headerRowCellStyle="一般 2" dataCellStyle="一般 2">
  <autoFilter ref="AG13:BH189"/>
  <tableColumns count="28">
    <tableColumn id="1" uniqueName="1" name="請直接以10進位，謝謝" queryTableFieldId="1" dataDxfId="1977" dataCellStyle="一般 2"/>
    <tableColumn id="2" uniqueName="2" name="F2" queryTableFieldId="2" dataDxfId="1976" dataCellStyle="一般 2"/>
    <tableColumn id="3" uniqueName="3" name="F3" queryTableFieldId="3" dataDxfId="1975" dataCellStyle="一般 2"/>
    <tableColumn id="4" uniqueName="4" name="F4" queryTableFieldId="4" dataDxfId="1974" dataCellStyle="一般 2"/>
    <tableColumn id="5" uniqueName="5" name="F5" queryTableFieldId="5" dataDxfId="1973" dataCellStyle="一般 2"/>
    <tableColumn id="6" uniqueName="6" name="F6" queryTableFieldId="6" dataDxfId="1972" dataCellStyle="一般 2"/>
    <tableColumn id="7" uniqueName="7" name="F7" queryTableFieldId="7" dataDxfId="1971" dataCellStyle="一般 2"/>
    <tableColumn id="8" uniqueName="8" name="F8" queryTableFieldId="8" dataDxfId="1970" dataCellStyle="一般 2"/>
    <tableColumn id="9" uniqueName="9" name="F9" queryTableFieldId="9" dataDxfId="1969" dataCellStyle="一般 2"/>
    <tableColumn id="10" uniqueName="10" name="F10" queryTableFieldId="10" dataDxfId="1968" dataCellStyle="一般 2"/>
    <tableColumn id="11" uniqueName="11" name="F11" queryTableFieldId="11" dataDxfId="1967" dataCellStyle="一般 2"/>
    <tableColumn id="12" uniqueName="12" name="F12" queryTableFieldId="12" dataDxfId="1966" dataCellStyle="一般 2"/>
    <tableColumn id="13" uniqueName="13" name="F13" queryTableFieldId="13" dataDxfId="1965" dataCellStyle="一般 2"/>
    <tableColumn id="14" uniqueName="14" name="F14" queryTableFieldId="14" dataDxfId="1964" dataCellStyle="一般 2"/>
    <tableColumn id="15" uniqueName="15" name="F15" queryTableFieldId="15" dataDxfId="1963" dataCellStyle="一般 2"/>
    <tableColumn id="16" uniqueName="16" name="F16" queryTableFieldId="16" dataDxfId="1962" dataCellStyle="一般 2"/>
    <tableColumn id="17" uniqueName="17" name="F17" queryTableFieldId="17" dataDxfId="1961" dataCellStyle="一般 2"/>
    <tableColumn id="18" uniqueName="18" name="F18" queryTableFieldId="18" dataDxfId="1960" dataCellStyle="一般 2"/>
    <tableColumn id="19" uniqueName="19" name="F19" queryTableFieldId="19" dataDxfId="1959" dataCellStyle="一般 2"/>
    <tableColumn id="20" uniqueName="20" name="F20" queryTableFieldId="20" dataDxfId="1958" dataCellStyle="一般 2"/>
    <tableColumn id="21" uniqueName="21" name="F21" queryTableFieldId="21" dataDxfId="1957" dataCellStyle="一般 2"/>
    <tableColumn id="22" uniqueName="22" name="2024/6/24 14:52" queryTableFieldId="22" dataDxfId="1956" dataCellStyle="一般 2"/>
    <tableColumn id="23" uniqueName="23" name="F23" queryTableFieldId="23" dataDxfId="1955" dataCellStyle="一般 2"/>
    <tableColumn id="24" uniqueName="24" name="F24" queryTableFieldId="24" dataDxfId="1954" dataCellStyle="一般 2"/>
    <tableColumn id="25" uniqueName="25" name="F25" queryTableFieldId="25" dataDxfId="1953" dataCellStyle="一般 2"/>
    <tableColumn id="26" uniqueName="26" name="F26" queryTableFieldId="26" dataDxfId="1952" dataCellStyle="一般 2"/>
    <tableColumn id="27" uniqueName="27" name="F27" queryTableFieldId="27" dataDxfId="1951" dataCellStyle="一般 2"/>
    <tableColumn id="28" uniqueName="28" name="F28" queryTableFieldId="28" dataDxfId="1950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ref="AG13:BH189" tableType="queryTable" totalsRowShown="0" headerRowDxfId="1849" dataDxfId="1848" headerRowCellStyle="一般 2" dataCellStyle="一般 2">
  <autoFilter ref="AG13:BH189"/>
  <tableColumns count="28">
    <tableColumn id="1" uniqueName="1" name="請直接以10進位，謝謝" queryTableFieldId="1" dataDxfId="1847" dataCellStyle="一般 2"/>
    <tableColumn id="2" uniqueName="2" name="F2" queryTableFieldId="2" dataDxfId="1846" dataCellStyle="一般 2"/>
    <tableColumn id="3" uniqueName="3" name="F3" queryTableFieldId="3" dataDxfId="1845" dataCellStyle="一般 2"/>
    <tableColumn id="4" uniqueName="4" name="F4" queryTableFieldId="4" dataDxfId="1844" dataCellStyle="一般 2"/>
    <tableColumn id="5" uniqueName="5" name="F5" queryTableFieldId="5" dataDxfId="1843" dataCellStyle="一般 2"/>
    <tableColumn id="6" uniqueName="6" name="F6" queryTableFieldId="6" dataDxfId="1842" dataCellStyle="一般 2"/>
    <tableColumn id="7" uniqueName="7" name="F7" queryTableFieldId="7" dataDxfId="1841" dataCellStyle="一般 2"/>
    <tableColumn id="8" uniqueName="8" name="F8" queryTableFieldId="8" dataDxfId="1840" dataCellStyle="一般 2"/>
    <tableColumn id="9" uniqueName="9" name="F9" queryTableFieldId="9" dataDxfId="1839" dataCellStyle="一般 2"/>
    <tableColumn id="10" uniqueName="10" name="F10" queryTableFieldId="10" dataDxfId="1838" dataCellStyle="一般 2"/>
    <tableColumn id="11" uniqueName="11" name="F11" queryTableFieldId="11" dataDxfId="1837" dataCellStyle="一般 2"/>
    <tableColumn id="12" uniqueName="12" name="F12" queryTableFieldId="12" dataDxfId="1836" dataCellStyle="一般 2"/>
    <tableColumn id="13" uniqueName="13" name="F13" queryTableFieldId="13" dataDxfId="1835" dataCellStyle="一般 2"/>
    <tableColumn id="14" uniqueName="14" name="F14" queryTableFieldId="14" dataDxfId="1834" dataCellStyle="一般 2"/>
    <tableColumn id="15" uniqueName="15" name="F15" queryTableFieldId="15" dataDxfId="1833" dataCellStyle="一般 2"/>
    <tableColumn id="16" uniqueName="16" name="F16" queryTableFieldId="16" dataDxfId="1832" dataCellStyle="一般 2"/>
    <tableColumn id="17" uniqueName="17" name="F17" queryTableFieldId="17" dataDxfId="1831" dataCellStyle="一般 2"/>
    <tableColumn id="18" uniqueName="18" name="F18" queryTableFieldId="18" dataDxfId="1830" dataCellStyle="一般 2"/>
    <tableColumn id="19" uniqueName="19" name="F19" queryTableFieldId="19" dataDxfId="1829" dataCellStyle="一般 2"/>
    <tableColumn id="20" uniqueName="20" name="F20" queryTableFieldId="20" dataDxfId="1828" dataCellStyle="一般 2"/>
    <tableColumn id="21" uniqueName="21" name="F21" queryTableFieldId="21" dataDxfId="1827" dataCellStyle="一般 2"/>
    <tableColumn id="22" uniqueName="22" name="2024/6/24 14:52" queryTableFieldId="22" dataDxfId="1826" dataCellStyle="一般 2"/>
    <tableColumn id="23" uniqueName="23" name="F23" queryTableFieldId="23" dataDxfId="1825" dataCellStyle="一般 2"/>
    <tableColumn id="24" uniqueName="24" name="F24" queryTableFieldId="24" dataDxfId="1824" dataCellStyle="一般 2"/>
    <tableColumn id="25" uniqueName="25" name="F25" queryTableFieldId="25" dataDxfId="1823" dataCellStyle="一般 2"/>
    <tableColumn id="26" uniqueName="26" name="F26" queryTableFieldId="26" dataDxfId="1822" dataCellStyle="一般 2"/>
    <tableColumn id="27" uniqueName="27" name="F27" queryTableFieldId="27" dataDxfId="1821" dataCellStyle="一般 2"/>
    <tableColumn id="28" uniqueName="28" name="F28" queryTableFieldId="28" dataDxfId="1820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719" dataDxfId="1718" headerRowCellStyle="一般 2" dataCellStyle="一般 2">
  <autoFilter ref="AG13:BH189"/>
  <tableColumns count="28">
    <tableColumn id="1" uniqueName="1" name="請直接以10進位，謝謝" queryTableFieldId="1" dataDxfId="1717" dataCellStyle="一般 2"/>
    <tableColumn id="2" uniqueName="2" name="F2" queryTableFieldId="2" dataDxfId="1716" dataCellStyle="一般 2"/>
    <tableColumn id="3" uniqueName="3" name="F3" queryTableFieldId="3" dataDxfId="1715" dataCellStyle="一般 2"/>
    <tableColumn id="4" uniqueName="4" name="F4" queryTableFieldId="4" dataDxfId="1714" dataCellStyle="一般 2"/>
    <tableColumn id="5" uniqueName="5" name="F5" queryTableFieldId="5" dataDxfId="1713" dataCellStyle="一般 2"/>
    <tableColumn id="6" uniqueName="6" name="F6" queryTableFieldId="6" dataDxfId="1712" dataCellStyle="一般 2"/>
    <tableColumn id="7" uniqueName="7" name="F7" queryTableFieldId="7" dataDxfId="1711" dataCellStyle="一般 2"/>
    <tableColumn id="8" uniqueName="8" name="F8" queryTableFieldId="8" dataDxfId="1710" dataCellStyle="一般 2"/>
    <tableColumn id="9" uniqueName="9" name="F9" queryTableFieldId="9" dataDxfId="1709" dataCellStyle="一般 2"/>
    <tableColumn id="10" uniqueName="10" name="F10" queryTableFieldId="10" dataDxfId="1708" dataCellStyle="一般 2"/>
    <tableColumn id="11" uniqueName="11" name="F11" queryTableFieldId="11" dataDxfId="1707" dataCellStyle="一般 2"/>
    <tableColumn id="12" uniqueName="12" name="F12" queryTableFieldId="12" dataDxfId="1706" dataCellStyle="一般 2"/>
    <tableColumn id="13" uniqueName="13" name="F13" queryTableFieldId="13" dataDxfId="1705" dataCellStyle="一般 2"/>
    <tableColumn id="14" uniqueName="14" name="F14" queryTableFieldId="14" dataDxfId="1704" dataCellStyle="一般 2"/>
    <tableColumn id="15" uniqueName="15" name="F15" queryTableFieldId="15" dataDxfId="1703" dataCellStyle="一般 2"/>
    <tableColumn id="16" uniqueName="16" name="F16" queryTableFieldId="16" dataDxfId="1702" dataCellStyle="一般 2"/>
    <tableColumn id="17" uniqueName="17" name="F17" queryTableFieldId="17" dataDxfId="1701" dataCellStyle="一般 2"/>
    <tableColumn id="18" uniqueName="18" name="F18" queryTableFieldId="18" dataDxfId="1700" dataCellStyle="一般 2"/>
    <tableColumn id="19" uniqueName="19" name="F19" queryTableFieldId="19" dataDxfId="1699" dataCellStyle="一般 2"/>
    <tableColumn id="20" uniqueName="20" name="F20" queryTableFieldId="20" dataDxfId="1698" dataCellStyle="一般 2"/>
    <tableColumn id="21" uniqueName="21" name="F21" queryTableFieldId="21" dataDxfId="1697" dataCellStyle="一般 2"/>
    <tableColumn id="22" uniqueName="22" name="2024/6/24 14:52" queryTableFieldId="22" dataDxfId="1696" dataCellStyle="一般 2"/>
    <tableColumn id="23" uniqueName="23" name="F23" queryTableFieldId="23" dataDxfId="1695" dataCellStyle="一般 2"/>
    <tableColumn id="24" uniqueName="24" name="F24" queryTableFieldId="24" dataDxfId="1694" dataCellStyle="一般 2"/>
    <tableColumn id="25" uniqueName="25" name="F25" queryTableFieldId="25" dataDxfId="1693" dataCellStyle="一般 2"/>
    <tableColumn id="26" uniqueName="26" name="F26" queryTableFieldId="26" dataDxfId="1692" dataCellStyle="一般 2"/>
    <tableColumn id="27" uniqueName="27" name="F27" queryTableFieldId="27" dataDxfId="1691" dataCellStyle="一般 2"/>
    <tableColumn id="28" uniqueName="28" name="F28" queryTableFieldId="28" dataDxfId="1690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1589" dataDxfId="1588" headerRowCellStyle="一般 2" dataCellStyle="一般 2">
  <autoFilter ref="AG13:BH189"/>
  <tableColumns count="28">
    <tableColumn id="1" uniqueName="1" name="請直接以10進位，謝謝" queryTableFieldId="1" dataDxfId="1587" dataCellStyle="一般 2"/>
    <tableColumn id="2" uniqueName="2" name="F2" queryTableFieldId="2" dataDxfId="1586" dataCellStyle="一般 2"/>
    <tableColumn id="3" uniqueName="3" name="F3" queryTableFieldId="3" dataDxfId="1585" dataCellStyle="一般 2"/>
    <tableColumn id="4" uniqueName="4" name="F4" queryTableFieldId="4" dataDxfId="1584" dataCellStyle="一般 2"/>
    <tableColumn id="5" uniqueName="5" name="F5" queryTableFieldId="5" dataDxfId="1583" dataCellStyle="一般 2"/>
    <tableColumn id="6" uniqueName="6" name="F6" queryTableFieldId="6" dataDxfId="1582" dataCellStyle="一般 2"/>
    <tableColumn id="7" uniqueName="7" name="F7" queryTableFieldId="7" dataDxfId="1581" dataCellStyle="一般 2"/>
    <tableColumn id="8" uniqueName="8" name="F8" queryTableFieldId="8" dataDxfId="1580" dataCellStyle="一般 2"/>
    <tableColumn id="9" uniqueName="9" name="F9" queryTableFieldId="9" dataDxfId="1579" dataCellStyle="一般 2"/>
    <tableColumn id="10" uniqueName="10" name="F10" queryTableFieldId="10" dataDxfId="1578" dataCellStyle="一般 2"/>
    <tableColumn id="11" uniqueName="11" name="F11" queryTableFieldId="11" dataDxfId="1577" dataCellStyle="一般 2"/>
    <tableColumn id="12" uniqueName="12" name="F12" queryTableFieldId="12" dataDxfId="1576" dataCellStyle="一般 2"/>
    <tableColumn id="13" uniqueName="13" name="F13" queryTableFieldId="13" dataDxfId="1575" dataCellStyle="一般 2"/>
    <tableColumn id="14" uniqueName="14" name="F14" queryTableFieldId="14" dataDxfId="1574" dataCellStyle="一般 2"/>
    <tableColumn id="15" uniqueName="15" name="F15" queryTableFieldId="15" dataDxfId="1573" dataCellStyle="一般 2"/>
    <tableColumn id="16" uniqueName="16" name="F16" queryTableFieldId="16" dataDxfId="1572" dataCellStyle="一般 2"/>
    <tableColumn id="17" uniqueName="17" name="F17" queryTableFieldId="17" dataDxfId="1571" dataCellStyle="一般 2"/>
    <tableColumn id="18" uniqueName="18" name="F18" queryTableFieldId="18" dataDxfId="1570" dataCellStyle="一般 2"/>
    <tableColumn id="19" uniqueName="19" name="F19" queryTableFieldId="19" dataDxfId="1569" dataCellStyle="一般 2"/>
    <tableColumn id="20" uniqueName="20" name="F20" queryTableFieldId="20" dataDxfId="1568" dataCellStyle="一般 2"/>
    <tableColumn id="21" uniqueName="21" name="F21" queryTableFieldId="21" dataDxfId="1567" dataCellStyle="一般 2"/>
    <tableColumn id="22" uniqueName="22" name="2024/6/24 14:52" queryTableFieldId="22" dataDxfId="1566" dataCellStyle="一般 2"/>
    <tableColumn id="23" uniqueName="23" name="F23" queryTableFieldId="23" dataDxfId="1565" dataCellStyle="一般 2"/>
    <tableColumn id="24" uniqueName="24" name="F24" queryTableFieldId="24" dataDxfId="1564" dataCellStyle="一般 2"/>
    <tableColumn id="25" uniqueName="25" name="F25" queryTableFieldId="25" dataDxfId="1563" dataCellStyle="一般 2"/>
    <tableColumn id="26" uniqueName="26" name="F26" queryTableFieldId="26" dataDxfId="1562" dataCellStyle="一般 2"/>
    <tableColumn id="27" uniqueName="27" name="F27" queryTableFieldId="27" dataDxfId="1561" dataCellStyle="一般 2"/>
    <tableColumn id="28" uniqueName="28" name="F28" queryTableFieldId="28" dataDxfId="1560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1459" dataDxfId="1458" headerRowCellStyle="一般 2" dataCellStyle="一般 2">
  <autoFilter ref="AG13:BH189"/>
  <tableColumns count="28">
    <tableColumn id="1" uniqueName="1" name="請直接以10進位，謝謝" queryTableFieldId="1" dataDxfId="1457" dataCellStyle="一般 2"/>
    <tableColumn id="2" uniqueName="2" name="F2" queryTableFieldId="2" dataDxfId="1456" dataCellStyle="一般 2"/>
    <tableColumn id="3" uniqueName="3" name="F3" queryTableFieldId="3" dataDxfId="1455" dataCellStyle="一般 2"/>
    <tableColumn id="4" uniqueName="4" name="F4" queryTableFieldId="4" dataDxfId="1454" dataCellStyle="一般 2"/>
    <tableColumn id="5" uniqueName="5" name="F5" queryTableFieldId="5" dataDxfId="1453" dataCellStyle="一般 2"/>
    <tableColumn id="6" uniqueName="6" name="F6" queryTableFieldId="6" dataDxfId="1452" dataCellStyle="一般 2"/>
    <tableColumn id="7" uniqueName="7" name="F7" queryTableFieldId="7" dataDxfId="1451" dataCellStyle="一般 2"/>
    <tableColumn id="8" uniqueName="8" name="F8" queryTableFieldId="8" dataDxfId="1450" dataCellStyle="一般 2"/>
    <tableColumn id="9" uniqueName="9" name="F9" queryTableFieldId="9" dataDxfId="1449" dataCellStyle="一般 2"/>
    <tableColumn id="10" uniqueName="10" name="F10" queryTableFieldId="10" dataDxfId="1448" dataCellStyle="一般 2"/>
    <tableColumn id="11" uniqueName="11" name="F11" queryTableFieldId="11" dataDxfId="1447" dataCellStyle="一般 2"/>
    <tableColumn id="12" uniqueName="12" name="F12" queryTableFieldId="12" dataDxfId="1446" dataCellStyle="一般 2"/>
    <tableColumn id="13" uniqueName="13" name="F13" queryTableFieldId="13" dataDxfId="1445" dataCellStyle="一般 2"/>
    <tableColumn id="14" uniqueName="14" name="F14" queryTableFieldId="14" dataDxfId="1444" dataCellStyle="一般 2"/>
    <tableColumn id="15" uniqueName="15" name="F15" queryTableFieldId="15" dataDxfId="1443" dataCellStyle="一般 2"/>
    <tableColumn id="16" uniqueName="16" name="F16" queryTableFieldId="16" dataDxfId="1442" dataCellStyle="一般 2"/>
    <tableColumn id="17" uniqueName="17" name="F17" queryTableFieldId="17" dataDxfId="1441" dataCellStyle="一般 2"/>
    <tableColumn id="18" uniqueName="18" name="F18" queryTableFieldId="18" dataDxfId="1440" dataCellStyle="一般 2"/>
    <tableColumn id="19" uniqueName="19" name="F19" queryTableFieldId="19" dataDxfId="1439" dataCellStyle="一般 2"/>
    <tableColumn id="20" uniqueName="20" name="F20" queryTableFieldId="20" dataDxfId="1438" dataCellStyle="一般 2"/>
    <tableColumn id="21" uniqueName="21" name="F21" queryTableFieldId="21" dataDxfId="1437" dataCellStyle="一般 2"/>
    <tableColumn id="22" uniqueName="22" name="2024/6/24 14:52" queryTableFieldId="22" dataDxfId="1436" dataCellStyle="一般 2"/>
    <tableColumn id="23" uniqueName="23" name="F23" queryTableFieldId="23" dataDxfId="1435" dataCellStyle="一般 2"/>
    <tableColumn id="24" uniqueName="24" name="F24" queryTableFieldId="24" dataDxfId="1434" dataCellStyle="一般 2"/>
    <tableColumn id="25" uniqueName="25" name="F25" queryTableFieldId="25" dataDxfId="1433" dataCellStyle="一般 2"/>
    <tableColumn id="26" uniqueName="26" name="F26" queryTableFieldId="26" dataDxfId="1432" dataCellStyle="一般 2"/>
    <tableColumn id="27" uniqueName="27" name="F27" queryTableFieldId="27" dataDxfId="1431" dataCellStyle="一般 2"/>
    <tableColumn id="28" uniqueName="28" name="F28" queryTableFieldId="28" dataDxfId="1430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1329" dataDxfId="1328" headerRowCellStyle="一般 2" dataCellStyle="一般 2">
  <autoFilter ref="AG13:BH189"/>
  <tableColumns count="28">
    <tableColumn id="1" uniqueName="1" name="請直接以10進位，謝謝" queryTableFieldId="1" dataDxfId="1327" dataCellStyle="一般 2"/>
    <tableColumn id="2" uniqueName="2" name="F2" queryTableFieldId="2" dataDxfId="1326" dataCellStyle="一般 2"/>
    <tableColumn id="3" uniqueName="3" name="F3" queryTableFieldId="3" dataDxfId="1325" dataCellStyle="一般 2"/>
    <tableColumn id="4" uniqueName="4" name="F4" queryTableFieldId="4" dataDxfId="1324" dataCellStyle="一般 2"/>
    <tableColumn id="5" uniqueName="5" name="F5" queryTableFieldId="5" dataDxfId="1323" dataCellStyle="一般 2"/>
    <tableColumn id="6" uniqueName="6" name="F6" queryTableFieldId="6" dataDxfId="1322" dataCellStyle="一般 2"/>
    <tableColumn id="7" uniqueName="7" name="F7" queryTableFieldId="7" dataDxfId="1321" dataCellStyle="一般 2"/>
    <tableColumn id="8" uniqueName="8" name="F8" queryTableFieldId="8" dataDxfId="1320" dataCellStyle="一般 2"/>
    <tableColumn id="9" uniqueName="9" name="F9" queryTableFieldId="9" dataDxfId="1319" dataCellStyle="一般 2"/>
    <tableColumn id="10" uniqueName="10" name="F10" queryTableFieldId="10" dataDxfId="1318" dataCellStyle="一般 2"/>
    <tableColumn id="11" uniqueName="11" name="F11" queryTableFieldId="11" dataDxfId="1317" dataCellStyle="一般 2"/>
    <tableColumn id="12" uniqueName="12" name="F12" queryTableFieldId="12" dataDxfId="1316" dataCellStyle="一般 2"/>
    <tableColumn id="13" uniqueName="13" name="F13" queryTableFieldId="13" dataDxfId="1315" dataCellStyle="一般 2"/>
    <tableColumn id="14" uniqueName="14" name="F14" queryTableFieldId="14" dataDxfId="1314" dataCellStyle="一般 2"/>
    <tableColumn id="15" uniqueName="15" name="F15" queryTableFieldId="15" dataDxfId="1313" dataCellStyle="一般 2"/>
    <tableColumn id="16" uniqueName="16" name="F16" queryTableFieldId="16" dataDxfId="1312" dataCellStyle="一般 2"/>
    <tableColumn id="17" uniqueName="17" name="F17" queryTableFieldId="17" dataDxfId="1311" dataCellStyle="一般 2"/>
    <tableColumn id="18" uniqueName="18" name="F18" queryTableFieldId="18" dataDxfId="1310" dataCellStyle="一般 2"/>
    <tableColumn id="19" uniqueName="19" name="F19" queryTableFieldId="19" dataDxfId="1309" dataCellStyle="一般 2"/>
    <tableColumn id="20" uniqueName="20" name="F20" queryTableFieldId="20" dataDxfId="1308" dataCellStyle="一般 2"/>
    <tableColumn id="21" uniqueName="21" name="F21" queryTableFieldId="21" dataDxfId="1307" dataCellStyle="一般 2"/>
    <tableColumn id="22" uniqueName="22" name="2024/6/24 14:52" queryTableFieldId="22" dataDxfId="1306" dataCellStyle="一般 2"/>
    <tableColumn id="23" uniqueName="23" name="F23" queryTableFieldId="23" dataDxfId="1305" dataCellStyle="一般 2"/>
    <tableColumn id="24" uniqueName="24" name="F24" queryTableFieldId="24" dataDxfId="1304" dataCellStyle="一般 2"/>
    <tableColumn id="25" uniqueName="25" name="F25" queryTableFieldId="25" dataDxfId="1303" dataCellStyle="一般 2"/>
    <tableColumn id="26" uniqueName="26" name="F26" queryTableFieldId="26" dataDxfId="1302" dataCellStyle="一般 2"/>
    <tableColumn id="27" uniqueName="27" name="F27" queryTableFieldId="27" dataDxfId="1301" dataCellStyle="一般 2"/>
    <tableColumn id="28" uniqueName="28" name="F28" queryTableFieldId="28" dataDxfId="1300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1199" dataDxfId="1198" headerRowCellStyle="一般 2" dataCellStyle="一般 2">
  <autoFilter ref="AG13:BH189"/>
  <tableColumns count="28">
    <tableColumn id="1" uniqueName="1" name="請直接以10進位，謝謝" queryTableFieldId="1" dataDxfId="1197" dataCellStyle="一般 2"/>
    <tableColumn id="2" uniqueName="2" name="F2" queryTableFieldId="2" dataDxfId="1196" dataCellStyle="一般 2"/>
    <tableColumn id="3" uniqueName="3" name="F3" queryTableFieldId="3" dataDxfId="1195" dataCellStyle="一般 2"/>
    <tableColumn id="4" uniqueName="4" name="F4" queryTableFieldId="4" dataDxfId="1194" dataCellStyle="一般 2"/>
    <tableColumn id="5" uniqueName="5" name="F5" queryTableFieldId="5" dataDxfId="1193" dataCellStyle="一般 2"/>
    <tableColumn id="6" uniqueName="6" name="F6" queryTableFieldId="6" dataDxfId="1192" dataCellStyle="一般 2"/>
    <tableColumn id="7" uniqueName="7" name="F7" queryTableFieldId="7" dataDxfId="1191" dataCellStyle="一般 2"/>
    <tableColumn id="8" uniqueName="8" name="F8" queryTableFieldId="8" dataDxfId="1190" dataCellStyle="一般 2"/>
    <tableColumn id="9" uniqueName="9" name="F9" queryTableFieldId="9" dataDxfId="1189" dataCellStyle="一般 2"/>
    <tableColumn id="10" uniqueName="10" name="F10" queryTableFieldId="10" dataDxfId="1188" dataCellStyle="一般 2"/>
    <tableColumn id="11" uniqueName="11" name="F11" queryTableFieldId="11" dataDxfId="1187" dataCellStyle="一般 2"/>
    <tableColumn id="12" uniqueName="12" name="F12" queryTableFieldId="12" dataDxfId="1186" dataCellStyle="一般 2"/>
    <tableColumn id="13" uniqueName="13" name="F13" queryTableFieldId="13" dataDxfId="1185" dataCellStyle="一般 2"/>
    <tableColumn id="14" uniqueName="14" name="F14" queryTableFieldId="14" dataDxfId="1184" dataCellStyle="一般 2"/>
    <tableColumn id="15" uniqueName="15" name="F15" queryTableFieldId="15" dataDxfId="1183" dataCellStyle="一般 2"/>
    <tableColumn id="16" uniqueName="16" name="F16" queryTableFieldId="16" dataDxfId="1182" dataCellStyle="一般 2"/>
    <tableColumn id="17" uniqueName="17" name="F17" queryTableFieldId="17" dataDxfId="1181" dataCellStyle="一般 2"/>
    <tableColumn id="18" uniqueName="18" name="F18" queryTableFieldId="18" dataDxfId="1180" dataCellStyle="一般 2"/>
    <tableColumn id="19" uniqueName="19" name="F19" queryTableFieldId="19" dataDxfId="1179" dataCellStyle="一般 2"/>
    <tableColumn id="20" uniqueName="20" name="F20" queryTableFieldId="20" dataDxfId="1178" dataCellStyle="一般 2"/>
    <tableColumn id="21" uniqueName="21" name="F21" queryTableFieldId="21" dataDxfId="1177" dataCellStyle="一般 2"/>
    <tableColumn id="22" uniqueName="22" name="2024/6/24 14:52" queryTableFieldId="22" dataDxfId="1176" dataCellStyle="一般 2"/>
    <tableColumn id="23" uniqueName="23" name="F23" queryTableFieldId="23" dataDxfId="1175" dataCellStyle="一般 2"/>
    <tableColumn id="24" uniqueName="24" name="F24" queryTableFieldId="24" dataDxfId="1174" dataCellStyle="一般 2"/>
    <tableColumn id="25" uniqueName="25" name="F25" queryTableFieldId="25" dataDxfId="1173" dataCellStyle="一般 2"/>
    <tableColumn id="26" uniqueName="26" name="F26" queryTableFieldId="26" dataDxfId="1172" dataCellStyle="一般 2"/>
    <tableColumn id="27" uniqueName="27" name="F27" queryTableFieldId="27" dataDxfId="1171" dataCellStyle="一般 2"/>
    <tableColumn id="28" uniqueName="28" name="F28" queryTableFieldId="28" dataDxfId="1170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1069" dataDxfId="1068" headerRowCellStyle="一般 2" dataCellStyle="一般 2">
  <autoFilter ref="AG13:BH189"/>
  <tableColumns count="28">
    <tableColumn id="1" uniqueName="1" name="請直接以10進位，謝謝" queryTableFieldId="1" dataDxfId="1067" dataCellStyle="一般 2"/>
    <tableColumn id="2" uniqueName="2" name="F2" queryTableFieldId="2" dataDxfId="1066" dataCellStyle="一般 2"/>
    <tableColumn id="3" uniqueName="3" name="F3" queryTableFieldId="3" dataDxfId="1065" dataCellStyle="一般 2"/>
    <tableColumn id="4" uniqueName="4" name="F4" queryTableFieldId="4" dataDxfId="1064" dataCellStyle="一般 2"/>
    <tableColumn id="5" uniqueName="5" name="F5" queryTableFieldId="5" dataDxfId="1063" dataCellStyle="一般 2"/>
    <tableColumn id="6" uniqueName="6" name="F6" queryTableFieldId="6" dataDxfId="1062" dataCellStyle="一般 2"/>
    <tableColumn id="7" uniqueName="7" name="F7" queryTableFieldId="7" dataDxfId="1061" dataCellStyle="一般 2"/>
    <tableColumn id="8" uniqueName="8" name="F8" queryTableFieldId="8" dataDxfId="1060" dataCellStyle="一般 2"/>
    <tableColumn id="9" uniqueName="9" name="F9" queryTableFieldId="9" dataDxfId="1059" dataCellStyle="一般 2"/>
    <tableColumn id="10" uniqueName="10" name="F10" queryTableFieldId="10" dataDxfId="1058" dataCellStyle="一般 2"/>
    <tableColumn id="11" uniqueName="11" name="F11" queryTableFieldId="11" dataDxfId="1057" dataCellStyle="一般 2"/>
    <tableColumn id="12" uniqueName="12" name="F12" queryTableFieldId="12" dataDxfId="1056" dataCellStyle="一般 2"/>
    <tableColumn id="13" uniqueName="13" name="F13" queryTableFieldId="13" dataDxfId="1055" dataCellStyle="一般 2"/>
    <tableColumn id="14" uniqueName="14" name="F14" queryTableFieldId="14" dataDxfId="1054" dataCellStyle="一般 2"/>
    <tableColumn id="15" uniqueName="15" name="F15" queryTableFieldId="15" dataDxfId="1053" dataCellStyle="一般 2"/>
    <tableColumn id="16" uniqueName="16" name="F16" queryTableFieldId="16" dataDxfId="1052" dataCellStyle="一般 2"/>
    <tableColumn id="17" uniqueName="17" name="F17" queryTableFieldId="17" dataDxfId="1051" dataCellStyle="一般 2"/>
    <tableColumn id="18" uniqueName="18" name="F18" queryTableFieldId="18" dataDxfId="1050" dataCellStyle="一般 2"/>
    <tableColumn id="19" uniqueName="19" name="F19" queryTableFieldId="19" dataDxfId="1049" dataCellStyle="一般 2"/>
    <tableColumn id="20" uniqueName="20" name="F20" queryTableFieldId="20" dataDxfId="1048" dataCellStyle="一般 2"/>
    <tableColumn id="21" uniqueName="21" name="F21" queryTableFieldId="21" dataDxfId="1047" dataCellStyle="一般 2"/>
    <tableColumn id="22" uniqueName="22" name="2024/6/24 14:52" queryTableFieldId="22" dataDxfId="1046" dataCellStyle="一般 2"/>
    <tableColumn id="23" uniqueName="23" name="F23" queryTableFieldId="23" dataDxfId="1045" dataCellStyle="一般 2"/>
    <tableColumn id="24" uniqueName="24" name="F24" queryTableFieldId="24" dataDxfId="1044" dataCellStyle="一般 2"/>
    <tableColumn id="25" uniqueName="25" name="F25" queryTableFieldId="25" dataDxfId="1043" dataCellStyle="一般 2"/>
    <tableColumn id="26" uniqueName="26" name="F26" queryTableFieldId="26" dataDxfId="1042" dataCellStyle="一般 2"/>
    <tableColumn id="27" uniqueName="27" name="F27" queryTableFieldId="27" dataDxfId="1041" dataCellStyle="一般 2"/>
    <tableColumn id="28" uniqueName="28" name="F28" queryTableFieldId="28" dataDxfId="1040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939" dataDxfId="938" headerRowCellStyle="一般 2" dataCellStyle="一般 2">
  <autoFilter ref="AG13:BH189"/>
  <tableColumns count="28">
    <tableColumn id="1" uniqueName="1" name="請直接以10進位，謝謝" queryTableFieldId="1" dataDxfId="937" dataCellStyle="一般 2"/>
    <tableColumn id="2" uniqueName="2" name="F2" queryTableFieldId="2" dataDxfId="936" dataCellStyle="一般 2"/>
    <tableColumn id="3" uniqueName="3" name="F3" queryTableFieldId="3" dataDxfId="935" dataCellStyle="一般 2"/>
    <tableColumn id="4" uniqueName="4" name="F4" queryTableFieldId="4" dataDxfId="934" dataCellStyle="一般 2"/>
    <tableColumn id="5" uniqueName="5" name="F5" queryTableFieldId="5" dataDxfId="933" dataCellStyle="一般 2"/>
    <tableColumn id="6" uniqueName="6" name="F6" queryTableFieldId="6" dataDxfId="932" dataCellStyle="一般 2"/>
    <tableColumn id="7" uniqueName="7" name="F7" queryTableFieldId="7" dataDxfId="931" dataCellStyle="一般 2"/>
    <tableColumn id="8" uniqueName="8" name="F8" queryTableFieldId="8" dataDxfId="930" dataCellStyle="一般 2"/>
    <tableColumn id="9" uniqueName="9" name="F9" queryTableFieldId="9" dataDxfId="929" dataCellStyle="一般 2"/>
    <tableColumn id="10" uniqueName="10" name="F10" queryTableFieldId="10" dataDxfId="928" dataCellStyle="一般 2"/>
    <tableColumn id="11" uniqueName="11" name="F11" queryTableFieldId="11" dataDxfId="927" dataCellStyle="一般 2"/>
    <tableColumn id="12" uniqueName="12" name="F12" queryTableFieldId="12" dataDxfId="926" dataCellStyle="一般 2"/>
    <tableColumn id="13" uniqueName="13" name="F13" queryTableFieldId="13" dataDxfId="925" dataCellStyle="一般 2"/>
    <tableColumn id="14" uniqueName="14" name="F14" queryTableFieldId="14" dataDxfId="924" dataCellStyle="一般 2"/>
    <tableColumn id="15" uniqueName="15" name="F15" queryTableFieldId="15" dataDxfId="923" dataCellStyle="一般 2"/>
    <tableColumn id="16" uniqueName="16" name="F16" queryTableFieldId="16" dataDxfId="922" dataCellStyle="一般 2"/>
    <tableColumn id="17" uniqueName="17" name="F17" queryTableFieldId="17" dataDxfId="921" dataCellStyle="一般 2"/>
    <tableColumn id="18" uniqueName="18" name="F18" queryTableFieldId="18" dataDxfId="920" dataCellStyle="一般 2"/>
    <tableColumn id="19" uniqueName="19" name="F19" queryTableFieldId="19" dataDxfId="919" dataCellStyle="一般 2"/>
    <tableColumn id="20" uniqueName="20" name="F20" queryTableFieldId="20" dataDxfId="918" dataCellStyle="一般 2"/>
    <tableColumn id="21" uniqueName="21" name="F21" queryTableFieldId="21" dataDxfId="917" dataCellStyle="一般 2"/>
    <tableColumn id="22" uniqueName="22" name="2024/6/24 14:52" queryTableFieldId="22" dataDxfId="916" dataCellStyle="一般 2"/>
    <tableColumn id="23" uniqueName="23" name="F23" queryTableFieldId="23" dataDxfId="915" dataCellStyle="一般 2"/>
    <tableColumn id="24" uniqueName="24" name="F24" queryTableFieldId="24" dataDxfId="914" dataCellStyle="一般 2"/>
    <tableColumn id="25" uniqueName="25" name="F25" queryTableFieldId="25" dataDxfId="913" dataCellStyle="一般 2"/>
    <tableColumn id="26" uniqueName="26" name="F26" queryTableFieldId="26" dataDxfId="912" dataCellStyle="一般 2"/>
    <tableColumn id="27" uniqueName="27" name="F27" queryTableFieldId="27" dataDxfId="911" dataCellStyle="一般 2"/>
    <tableColumn id="28" uniqueName="28" name="F28" queryTableFieldId="28" dataDxfId="910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809" dataDxfId="808" headerRowCellStyle="一般 2" dataCellStyle="一般 2">
  <autoFilter ref="AG13:BH189"/>
  <tableColumns count="28">
    <tableColumn id="1" uniqueName="1" name="請直接以10進位，謝謝" queryTableFieldId="1" dataDxfId="807" dataCellStyle="一般 2"/>
    <tableColumn id="2" uniqueName="2" name="F2" queryTableFieldId="2" dataDxfId="806" dataCellStyle="一般 2"/>
    <tableColumn id="3" uniqueName="3" name="F3" queryTableFieldId="3" dataDxfId="805" dataCellStyle="一般 2"/>
    <tableColumn id="4" uniqueName="4" name="F4" queryTableFieldId="4" dataDxfId="804" dataCellStyle="一般 2"/>
    <tableColumn id="5" uniqueName="5" name="F5" queryTableFieldId="5" dataDxfId="803" dataCellStyle="一般 2"/>
    <tableColumn id="6" uniqueName="6" name="F6" queryTableFieldId="6" dataDxfId="802" dataCellStyle="一般 2"/>
    <tableColumn id="7" uniqueName="7" name="F7" queryTableFieldId="7" dataDxfId="801" dataCellStyle="一般 2"/>
    <tableColumn id="8" uniqueName="8" name="F8" queryTableFieldId="8" dataDxfId="800" dataCellStyle="一般 2"/>
    <tableColumn id="9" uniqueName="9" name="F9" queryTableFieldId="9" dataDxfId="799" dataCellStyle="一般 2"/>
    <tableColumn id="10" uniqueName="10" name="F10" queryTableFieldId="10" dataDxfId="798" dataCellStyle="一般 2"/>
    <tableColumn id="11" uniqueName="11" name="F11" queryTableFieldId="11" dataDxfId="797" dataCellStyle="一般 2"/>
    <tableColumn id="12" uniqueName="12" name="F12" queryTableFieldId="12" dataDxfId="796" dataCellStyle="一般 2"/>
    <tableColumn id="13" uniqueName="13" name="F13" queryTableFieldId="13" dataDxfId="795" dataCellStyle="一般 2"/>
    <tableColumn id="14" uniqueName="14" name="F14" queryTableFieldId="14" dataDxfId="794" dataCellStyle="一般 2"/>
    <tableColumn id="15" uniqueName="15" name="F15" queryTableFieldId="15" dataDxfId="793" dataCellStyle="一般 2"/>
    <tableColumn id="16" uniqueName="16" name="F16" queryTableFieldId="16" dataDxfId="792" dataCellStyle="一般 2"/>
    <tableColumn id="17" uniqueName="17" name="F17" queryTableFieldId="17" dataDxfId="791" dataCellStyle="一般 2"/>
    <tableColumn id="18" uniqueName="18" name="F18" queryTableFieldId="18" dataDxfId="790" dataCellStyle="一般 2"/>
    <tableColumn id="19" uniqueName="19" name="F19" queryTableFieldId="19" dataDxfId="789" dataCellStyle="一般 2"/>
    <tableColumn id="20" uniqueName="20" name="F20" queryTableFieldId="20" dataDxfId="788" dataCellStyle="一般 2"/>
    <tableColumn id="21" uniqueName="21" name="F21" queryTableFieldId="21" dataDxfId="787" dataCellStyle="一般 2"/>
    <tableColumn id="22" uniqueName="22" name="2024/6/24 14:52" queryTableFieldId="22" dataDxfId="786" dataCellStyle="一般 2"/>
    <tableColumn id="23" uniqueName="23" name="F23" queryTableFieldId="23" dataDxfId="785" dataCellStyle="一般 2"/>
    <tableColumn id="24" uniqueName="24" name="F24" queryTableFieldId="24" dataDxfId="784" dataCellStyle="一般 2"/>
    <tableColumn id="25" uniqueName="25" name="F25" queryTableFieldId="25" dataDxfId="783" dataCellStyle="一般 2"/>
    <tableColumn id="26" uniqueName="26" name="F26" queryTableFieldId="26" dataDxfId="782" dataCellStyle="一般 2"/>
    <tableColumn id="27" uniqueName="27" name="F27" queryTableFieldId="27" dataDxfId="781" dataCellStyle="一般 2"/>
    <tableColumn id="28" uniqueName="28" name="F28" queryTableFieldId="28" dataDxfId="780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679" dataDxfId="678" headerRowCellStyle="一般 2" dataCellStyle="一般 2">
  <autoFilter ref="AG13:BH189"/>
  <tableColumns count="28">
    <tableColumn id="1" uniqueName="1" name="請直接以10進位，謝謝" queryTableFieldId="1" dataDxfId="677" dataCellStyle="一般 2"/>
    <tableColumn id="2" uniqueName="2" name="F2" queryTableFieldId="2" dataDxfId="676" dataCellStyle="一般 2"/>
    <tableColumn id="3" uniqueName="3" name="F3" queryTableFieldId="3" dataDxfId="675" dataCellStyle="一般 2"/>
    <tableColumn id="4" uniqueName="4" name="F4" queryTableFieldId="4" dataDxfId="674" dataCellStyle="一般 2"/>
    <tableColumn id="5" uniqueName="5" name="F5" queryTableFieldId="5" dataDxfId="673" dataCellStyle="一般 2"/>
    <tableColumn id="6" uniqueName="6" name="F6" queryTableFieldId="6" dataDxfId="672" dataCellStyle="一般 2"/>
    <tableColumn id="7" uniqueName="7" name="F7" queryTableFieldId="7" dataDxfId="671" dataCellStyle="一般 2"/>
    <tableColumn id="8" uniqueName="8" name="F8" queryTableFieldId="8" dataDxfId="670" dataCellStyle="一般 2"/>
    <tableColumn id="9" uniqueName="9" name="F9" queryTableFieldId="9" dataDxfId="669" dataCellStyle="一般 2"/>
    <tableColumn id="10" uniqueName="10" name="F10" queryTableFieldId="10" dataDxfId="668" dataCellStyle="一般 2"/>
    <tableColumn id="11" uniqueName="11" name="F11" queryTableFieldId="11" dataDxfId="667" dataCellStyle="一般 2"/>
    <tableColumn id="12" uniqueName="12" name="F12" queryTableFieldId="12" dataDxfId="666" dataCellStyle="一般 2"/>
    <tableColumn id="13" uniqueName="13" name="F13" queryTableFieldId="13" dataDxfId="665" dataCellStyle="一般 2"/>
    <tableColumn id="14" uniqueName="14" name="F14" queryTableFieldId="14" dataDxfId="664" dataCellStyle="一般 2"/>
    <tableColumn id="15" uniqueName="15" name="F15" queryTableFieldId="15" dataDxfId="663" dataCellStyle="一般 2"/>
    <tableColumn id="16" uniqueName="16" name="F16" queryTableFieldId="16" dataDxfId="662" dataCellStyle="一般 2"/>
    <tableColumn id="17" uniqueName="17" name="F17" queryTableFieldId="17" dataDxfId="661" dataCellStyle="一般 2"/>
    <tableColumn id="18" uniqueName="18" name="F18" queryTableFieldId="18" dataDxfId="660" dataCellStyle="一般 2"/>
    <tableColumn id="19" uniqueName="19" name="F19" queryTableFieldId="19" dataDxfId="659" dataCellStyle="一般 2"/>
    <tableColumn id="20" uniqueName="20" name="F20" queryTableFieldId="20" dataDxfId="658" dataCellStyle="一般 2"/>
    <tableColumn id="21" uniqueName="21" name="F21" queryTableFieldId="21" dataDxfId="657" dataCellStyle="一般 2"/>
    <tableColumn id="22" uniqueName="22" name="2024/6/24 14:52" queryTableFieldId="22" dataDxfId="656" dataCellStyle="一般 2"/>
    <tableColumn id="23" uniqueName="23" name="F23" queryTableFieldId="23" dataDxfId="655" dataCellStyle="一般 2"/>
    <tableColumn id="24" uniqueName="24" name="F24" queryTableFieldId="24" dataDxfId="654" dataCellStyle="一般 2"/>
    <tableColumn id="25" uniqueName="25" name="F25" queryTableFieldId="25" dataDxfId="653" dataCellStyle="一般 2"/>
    <tableColumn id="26" uniqueName="26" name="F26" queryTableFieldId="26" dataDxfId="652" dataCellStyle="一般 2"/>
    <tableColumn id="27" uniqueName="27" name="F27" queryTableFieldId="27" dataDxfId="651" dataCellStyle="一般 2"/>
    <tableColumn id="28" uniqueName="28" name="F28" queryTableFieldId="28" dataDxfId="650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549" dataDxfId="548" headerRowCellStyle="一般 2" dataCellStyle="一般 2">
  <autoFilter ref="AG13:BH189"/>
  <tableColumns count="28">
    <tableColumn id="1" uniqueName="1" name="請直接以10進位，謝謝" queryTableFieldId="1" dataDxfId="547" dataCellStyle="一般 2"/>
    <tableColumn id="2" uniqueName="2" name="F2" queryTableFieldId="2" dataDxfId="546" dataCellStyle="一般 2"/>
    <tableColumn id="3" uniqueName="3" name="F3" queryTableFieldId="3" dataDxfId="545" dataCellStyle="一般 2"/>
    <tableColumn id="4" uniqueName="4" name="F4" queryTableFieldId="4" dataDxfId="544" dataCellStyle="一般 2"/>
    <tableColumn id="5" uniqueName="5" name="F5" queryTableFieldId="5" dataDxfId="543" dataCellStyle="一般 2"/>
    <tableColumn id="6" uniqueName="6" name="F6" queryTableFieldId="6" dataDxfId="542" dataCellStyle="一般 2"/>
    <tableColumn id="7" uniqueName="7" name="F7" queryTableFieldId="7" dataDxfId="541" dataCellStyle="一般 2"/>
    <tableColumn id="8" uniqueName="8" name="F8" queryTableFieldId="8" dataDxfId="540" dataCellStyle="一般 2"/>
    <tableColumn id="9" uniqueName="9" name="F9" queryTableFieldId="9" dataDxfId="539" dataCellStyle="一般 2"/>
    <tableColumn id="10" uniqueName="10" name="F10" queryTableFieldId="10" dataDxfId="538" dataCellStyle="一般 2"/>
    <tableColumn id="11" uniqueName="11" name="F11" queryTableFieldId="11" dataDxfId="537" dataCellStyle="一般 2"/>
    <tableColumn id="12" uniqueName="12" name="F12" queryTableFieldId="12" dataDxfId="536" dataCellStyle="一般 2"/>
    <tableColumn id="13" uniqueName="13" name="F13" queryTableFieldId="13" dataDxfId="535" dataCellStyle="一般 2"/>
    <tableColumn id="14" uniqueName="14" name="F14" queryTableFieldId="14" dataDxfId="534" dataCellStyle="一般 2"/>
    <tableColumn id="15" uniqueName="15" name="F15" queryTableFieldId="15" dataDxfId="533" dataCellStyle="一般 2"/>
    <tableColumn id="16" uniqueName="16" name="F16" queryTableFieldId="16" dataDxfId="532" dataCellStyle="一般 2"/>
    <tableColumn id="17" uniqueName="17" name="F17" queryTableFieldId="17" dataDxfId="531" dataCellStyle="一般 2"/>
    <tableColumn id="18" uniqueName="18" name="F18" queryTableFieldId="18" dataDxfId="530" dataCellStyle="一般 2"/>
    <tableColumn id="19" uniqueName="19" name="F19" queryTableFieldId="19" dataDxfId="529" dataCellStyle="一般 2"/>
    <tableColumn id="20" uniqueName="20" name="F20" queryTableFieldId="20" dataDxfId="528" dataCellStyle="一般 2"/>
    <tableColumn id="21" uniqueName="21" name="F21" queryTableFieldId="21" dataDxfId="527" dataCellStyle="一般 2"/>
    <tableColumn id="22" uniqueName="22" name="2024/6/24 14:52" queryTableFieldId="22" dataDxfId="526" dataCellStyle="一般 2"/>
    <tableColumn id="23" uniqueName="23" name="F23" queryTableFieldId="23" dataDxfId="525" dataCellStyle="一般 2"/>
    <tableColumn id="24" uniqueName="24" name="F24" queryTableFieldId="24" dataDxfId="524" dataCellStyle="一般 2"/>
    <tableColumn id="25" uniqueName="25" name="F25" queryTableFieldId="25" dataDxfId="523" dataCellStyle="一般 2"/>
    <tableColumn id="26" uniqueName="26" name="F26" queryTableFieldId="26" dataDxfId="522" dataCellStyle="一般 2"/>
    <tableColumn id="27" uniqueName="27" name="F27" queryTableFieldId="27" dataDxfId="521" dataCellStyle="一般 2"/>
    <tableColumn id="28" uniqueName="28" name="F28" queryTableFieldId="28" dataDxfId="520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419" dataDxfId="418" headerRowCellStyle="一般 2" dataCellStyle="一般 2">
  <autoFilter ref="AG13:BH189"/>
  <tableColumns count="28">
    <tableColumn id="1" uniqueName="1" name="請直接以10進位，謝謝" queryTableFieldId="1" dataDxfId="417" dataCellStyle="一般 2"/>
    <tableColumn id="2" uniqueName="2" name="F2" queryTableFieldId="2" dataDxfId="416" dataCellStyle="一般 2"/>
    <tableColumn id="3" uniqueName="3" name="F3" queryTableFieldId="3" dataDxfId="415" dataCellStyle="一般 2"/>
    <tableColumn id="4" uniqueName="4" name="F4" queryTableFieldId="4" dataDxfId="414" dataCellStyle="一般 2"/>
    <tableColumn id="5" uniqueName="5" name="F5" queryTableFieldId="5" dataDxfId="413" dataCellStyle="一般 2"/>
    <tableColumn id="6" uniqueName="6" name="F6" queryTableFieldId="6" dataDxfId="412" dataCellStyle="一般 2"/>
    <tableColumn id="7" uniqueName="7" name="F7" queryTableFieldId="7" dataDxfId="411" dataCellStyle="一般 2"/>
    <tableColumn id="8" uniqueName="8" name="F8" queryTableFieldId="8" dataDxfId="410" dataCellStyle="一般 2"/>
    <tableColumn id="9" uniqueName="9" name="F9" queryTableFieldId="9" dataDxfId="409" dataCellStyle="一般 2"/>
    <tableColumn id="10" uniqueName="10" name="F10" queryTableFieldId="10" dataDxfId="408" dataCellStyle="一般 2"/>
    <tableColumn id="11" uniqueName="11" name="F11" queryTableFieldId="11" dataDxfId="407" dataCellStyle="一般 2"/>
    <tableColumn id="12" uniqueName="12" name="F12" queryTableFieldId="12" dataDxfId="406" dataCellStyle="一般 2"/>
    <tableColumn id="13" uniqueName="13" name="F13" queryTableFieldId="13" dataDxfId="405" dataCellStyle="一般 2"/>
    <tableColumn id="14" uniqueName="14" name="F14" queryTableFieldId="14" dataDxfId="404" dataCellStyle="一般 2"/>
    <tableColumn id="15" uniqueName="15" name="F15" queryTableFieldId="15" dataDxfId="403" dataCellStyle="一般 2"/>
    <tableColumn id="16" uniqueName="16" name="F16" queryTableFieldId="16" dataDxfId="402" dataCellStyle="一般 2"/>
    <tableColumn id="17" uniqueName="17" name="F17" queryTableFieldId="17" dataDxfId="401" dataCellStyle="一般 2"/>
    <tableColumn id="18" uniqueName="18" name="F18" queryTableFieldId="18" dataDxfId="400" dataCellStyle="一般 2"/>
    <tableColumn id="19" uniqueName="19" name="F19" queryTableFieldId="19" dataDxfId="399" dataCellStyle="一般 2"/>
    <tableColumn id="20" uniqueName="20" name="F20" queryTableFieldId="20" dataDxfId="398" dataCellStyle="一般 2"/>
    <tableColumn id="21" uniqueName="21" name="F21" queryTableFieldId="21" dataDxfId="397" dataCellStyle="一般 2"/>
    <tableColumn id="22" uniqueName="22" name="2024/6/24 14:52" queryTableFieldId="22" dataDxfId="396" dataCellStyle="一般 2"/>
    <tableColumn id="23" uniqueName="23" name="F23" queryTableFieldId="23" dataDxfId="395" dataCellStyle="一般 2"/>
    <tableColumn id="24" uniqueName="24" name="F24" queryTableFieldId="24" dataDxfId="394" dataCellStyle="一般 2"/>
    <tableColumn id="25" uniqueName="25" name="F25" queryTableFieldId="25" dataDxfId="393" dataCellStyle="一般 2"/>
    <tableColumn id="26" uniqueName="26" name="F26" queryTableFieldId="26" dataDxfId="392" dataCellStyle="一般 2"/>
    <tableColumn id="27" uniqueName="27" name="F27" queryTableFieldId="27" dataDxfId="391" dataCellStyle="一般 2"/>
    <tableColumn id="28" uniqueName="28" name="F28" queryTableFieldId="28" dataDxfId="390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289" dataDxfId="288" headerRowCellStyle="一般 2" dataCellStyle="一般 2">
  <autoFilter ref="AG13:BH189"/>
  <tableColumns count="28">
    <tableColumn id="1" uniqueName="1" name="請直接以10進位，謝謝" queryTableFieldId="1" dataDxfId="287" dataCellStyle="一般 2"/>
    <tableColumn id="2" uniqueName="2" name="F2" queryTableFieldId="2" dataDxfId="286" dataCellStyle="一般 2"/>
    <tableColumn id="3" uniqueName="3" name="F3" queryTableFieldId="3" dataDxfId="285" dataCellStyle="一般 2"/>
    <tableColumn id="4" uniqueName="4" name="F4" queryTableFieldId="4" dataDxfId="284" dataCellStyle="一般 2"/>
    <tableColumn id="5" uniqueName="5" name="F5" queryTableFieldId="5" dataDxfId="283" dataCellStyle="一般 2"/>
    <tableColumn id="6" uniqueName="6" name="F6" queryTableFieldId="6" dataDxfId="282" dataCellStyle="一般 2"/>
    <tableColumn id="7" uniqueName="7" name="F7" queryTableFieldId="7" dataDxfId="281" dataCellStyle="一般 2"/>
    <tableColumn id="8" uniqueName="8" name="F8" queryTableFieldId="8" dataDxfId="280" dataCellStyle="一般 2"/>
    <tableColumn id="9" uniqueName="9" name="F9" queryTableFieldId="9" dataDxfId="279" dataCellStyle="一般 2"/>
    <tableColumn id="10" uniqueName="10" name="F10" queryTableFieldId="10" dataDxfId="278" dataCellStyle="一般 2"/>
    <tableColumn id="11" uniqueName="11" name="F11" queryTableFieldId="11" dataDxfId="277" dataCellStyle="一般 2"/>
    <tableColumn id="12" uniqueName="12" name="F12" queryTableFieldId="12" dataDxfId="276" dataCellStyle="一般 2"/>
    <tableColumn id="13" uniqueName="13" name="F13" queryTableFieldId="13" dataDxfId="275" dataCellStyle="一般 2"/>
    <tableColumn id="14" uniqueName="14" name="F14" queryTableFieldId="14" dataDxfId="274" dataCellStyle="一般 2"/>
    <tableColumn id="15" uniqueName="15" name="F15" queryTableFieldId="15" dataDxfId="273" dataCellStyle="一般 2"/>
    <tableColumn id="16" uniqueName="16" name="F16" queryTableFieldId="16" dataDxfId="272" dataCellStyle="一般 2"/>
    <tableColumn id="17" uniqueName="17" name="F17" queryTableFieldId="17" dataDxfId="271" dataCellStyle="一般 2"/>
    <tableColumn id="18" uniqueName="18" name="F18" queryTableFieldId="18" dataDxfId="270" dataCellStyle="一般 2"/>
    <tableColumn id="19" uniqueName="19" name="F19" queryTableFieldId="19" dataDxfId="269" dataCellStyle="一般 2"/>
    <tableColumn id="20" uniqueName="20" name="F20" queryTableFieldId="20" dataDxfId="268" dataCellStyle="一般 2"/>
    <tableColumn id="21" uniqueName="21" name="F21" queryTableFieldId="21" dataDxfId="267" dataCellStyle="一般 2"/>
    <tableColumn id="22" uniqueName="22" name="2024/6/24 14:52" queryTableFieldId="22" dataDxfId="266" dataCellStyle="一般 2"/>
    <tableColumn id="23" uniqueName="23" name="F23" queryTableFieldId="23" dataDxfId="265" dataCellStyle="一般 2"/>
    <tableColumn id="24" uniqueName="24" name="F24" queryTableFieldId="24" dataDxfId="264" dataCellStyle="一般 2"/>
    <tableColumn id="25" uniqueName="25" name="F25" queryTableFieldId="25" dataDxfId="263" dataCellStyle="一般 2"/>
    <tableColumn id="26" uniqueName="26" name="F26" queryTableFieldId="26" dataDxfId="262" dataCellStyle="一般 2"/>
    <tableColumn id="27" uniqueName="27" name="F27" queryTableFieldId="27" dataDxfId="261" dataCellStyle="一般 2"/>
    <tableColumn id="28" uniqueName="28" name="F28" queryTableFieldId="28" dataDxfId="260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ref="AG13:BH189" tableType="queryTable" totalsRowShown="0" headerRowDxfId="159" dataDxfId="158" headerRowCellStyle="一般 2" dataCellStyle="一般 2">
  <autoFilter ref="AG13:BH189"/>
  <tableColumns count="28">
    <tableColumn id="1" uniqueName="1" name="請直接以10進位，謝謝" queryTableFieldId="1" dataDxfId="157" dataCellStyle="一般 2"/>
    <tableColumn id="2" uniqueName="2" name="F2" queryTableFieldId="2" dataDxfId="156" dataCellStyle="一般 2"/>
    <tableColumn id="3" uniqueName="3" name="F3" queryTableFieldId="3" dataDxfId="155" dataCellStyle="一般 2"/>
    <tableColumn id="4" uniqueName="4" name="F4" queryTableFieldId="4" dataDxfId="154" dataCellStyle="一般 2"/>
    <tableColumn id="5" uniqueName="5" name="F5" queryTableFieldId="5" dataDxfId="153" dataCellStyle="一般 2"/>
    <tableColumn id="6" uniqueName="6" name="F6" queryTableFieldId="6" dataDxfId="152" dataCellStyle="一般 2"/>
    <tableColumn id="7" uniqueName="7" name="F7" queryTableFieldId="7" dataDxfId="151" dataCellStyle="一般 2"/>
    <tableColumn id="8" uniqueName="8" name="F8" queryTableFieldId="8" dataDxfId="150" dataCellStyle="一般 2"/>
    <tableColumn id="9" uniqueName="9" name="F9" queryTableFieldId="9" dataDxfId="149" dataCellStyle="一般 2"/>
    <tableColumn id="10" uniqueName="10" name="F10" queryTableFieldId="10" dataDxfId="148" dataCellStyle="一般 2"/>
    <tableColumn id="11" uniqueName="11" name="F11" queryTableFieldId="11" dataDxfId="147" dataCellStyle="一般 2"/>
    <tableColumn id="12" uniqueName="12" name="F12" queryTableFieldId="12" dataDxfId="146" dataCellStyle="一般 2"/>
    <tableColumn id="13" uniqueName="13" name="F13" queryTableFieldId="13" dataDxfId="145" dataCellStyle="一般 2"/>
    <tableColumn id="14" uniqueName="14" name="F14" queryTableFieldId="14" dataDxfId="144" dataCellStyle="一般 2"/>
    <tableColumn id="15" uniqueName="15" name="F15" queryTableFieldId="15" dataDxfId="143" dataCellStyle="一般 2"/>
    <tableColumn id="16" uniqueName="16" name="F16" queryTableFieldId="16" dataDxfId="142" dataCellStyle="一般 2"/>
    <tableColumn id="17" uniqueName="17" name="F17" queryTableFieldId="17" dataDxfId="141" dataCellStyle="一般 2"/>
    <tableColumn id="18" uniqueName="18" name="F18" queryTableFieldId="18" dataDxfId="140" dataCellStyle="一般 2"/>
    <tableColumn id="19" uniqueName="19" name="F19" queryTableFieldId="19" dataDxfId="139" dataCellStyle="一般 2"/>
    <tableColumn id="20" uniqueName="20" name="F20" queryTableFieldId="20" dataDxfId="138" dataCellStyle="一般 2"/>
    <tableColumn id="21" uniqueName="21" name="F21" queryTableFieldId="21" dataDxfId="137" dataCellStyle="一般 2"/>
    <tableColumn id="22" uniqueName="22" name="2024/6/24 14:52" queryTableFieldId="22" dataDxfId="136" dataCellStyle="一般 2"/>
    <tableColumn id="23" uniqueName="23" name="F23" queryTableFieldId="23" dataDxfId="135" dataCellStyle="一般 2"/>
    <tableColumn id="24" uniqueName="24" name="F24" queryTableFieldId="24" dataDxfId="134" dataCellStyle="一般 2"/>
    <tableColumn id="25" uniqueName="25" name="F25" queryTableFieldId="25" dataDxfId="133" dataCellStyle="一般 2"/>
    <tableColumn id="26" uniqueName="26" name="F26" queryTableFieldId="26" dataDxfId="132" dataCellStyle="一般 2"/>
    <tableColumn id="27" uniqueName="27" name="F27" queryTableFieldId="27" dataDxfId="131" dataCellStyle="一般 2"/>
    <tableColumn id="28" uniqueName="28" name="F28" queryTableFieldId="28" dataDxfId="130" dataCellStyle="一般 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table" Target="../tables/table22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100"/>
  <sheetViews>
    <sheetView view="pageBreakPreview" topLeftCell="A22" zoomScale="70" zoomScaleNormal="100" zoomScaleSheetLayoutView="70" workbookViewId="0">
      <selection activeCell="K44" sqref="K44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68" t="s">
        <v>172</v>
      </c>
      <c r="B1" s="168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173</v>
      </c>
      <c r="Q1" s="55"/>
      <c r="R1" s="55"/>
      <c r="S1" s="55"/>
    </row>
    <row r="2" spans="1:24" s="59" customFormat="1" ht="25.65" customHeight="1" thickTop="1" thickBot="1">
      <c r="A2" s="114" t="s">
        <v>31</v>
      </c>
      <c r="B2" s="115" t="s">
        <v>159</v>
      </c>
      <c r="C2" s="116" t="s">
        <v>33</v>
      </c>
      <c r="D2" s="114" t="s">
        <v>31</v>
      </c>
      <c r="E2" s="115" t="s">
        <v>159</v>
      </c>
      <c r="F2" s="117" t="s">
        <v>33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32</v>
      </c>
      <c r="L2" s="117" t="s">
        <v>33</v>
      </c>
      <c r="M2" s="118" t="s">
        <v>174</v>
      </c>
      <c r="N2" s="56"/>
      <c r="O2" s="56"/>
      <c r="P2" s="57" t="s">
        <v>139</v>
      </c>
      <c r="Q2" s="58" t="s">
        <v>140</v>
      </c>
      <c r="S2" s="60" t="s">
        <v>141</v>
      </c>
      <c r="U2" s="137" t="s">
        <v>142</v>
      </c>
      <c r="V2" s="136">
        <v>0.01</v>
      </c>
      <c r="W2" s="137" t="s">
        <v>154</v>
      </c>
      <c r="X2" s="61" t="s">
        <v>145</v>
      </c>
    </row>
    <row r="3" spans="1:24" s="53" customFormat="1" ht="22.2" customHeight="1" thickTop="1">
      <c r="A3" s="119">
        <v>601</v>
      </c>
      <c r="B3" s="120">
        <v>2120</v>
      </c>
      <c r="C3" s="121">
        <v>27</v>
      </c>
      <c r="D3" s="122" t="s">
        <v>76</v>
      </c>
      <c r="E3" s="120">
        <v>0</v>
      </c>
      <c r="F3" s="121">
        <v>29</v>
      </c>
      <c r="G3" s="119">
        <v>661</v>
      </c>
      <c r="H3" s="120">
        <v>1048</v>
      </c>
      <c r="I3" s="123">
        <v>26</v>
      </c>
      <c r="J3" s="119">
        <v>681</v>
      </c>
      <c r="K3" s="120">
        <v>3577</v>
      </c>
      <c r="L3" s="124">
        <v>28</v>
      </c>
      <c r="M3" s="169" t="s">
        <v>569</v>
      </c>
      <c r="N3" s="137" t="s">
        <v>142</v>
      </c>
      <c r="O3" s="137" t="s">
        <v>143</v>
      </c>
      <c r="P3" s="137" t="s">
        <v>144</v>
      </c>
      <c r="Q3" s="61" t="s">
        <v>145</v>
      </c>
      <c r="S3" s="53">
        <v>5900</v>
      </c>
      <c r="U3" s="137" t="s">
        <v>146</v>
      </c>
      <c r="V3" s="136">
        <v>0.01</v>
      </c>
      <c r="W3" s="137" t="s">
        <v>155</v>
      </c>
      <c r="X3" s="61" t="s">
        <v>148</v>
      </c>
    </row>
    <row r="4" spans="1:24" s="53" customFormat="1" ht="22.2" customHeight="1">
      <c r="A4" s="119">
        <v>602</v>
      </c>
      <c r="B4" s="120">
        <v>7829</v>
      </c>
      <c r="C4" s="121">
        <v>27</v>
      </c>
      <c r="D4" s="122" t="s">
        <v>77</v>
      </c>
      <c r="E4" s="120">
        <v>0</v>
      </c>
      <c r="F4" s="121">
        <v>26</v>
      </c>
      <c r="G4" s="119">
        <v>662</v>
      </c>
      <c r="H4" s="120">
        <v>0</v>
      </c>
      <c r="I4" s="123">
        <v>26</v>
      </c>
      <c r="J4" s="119">
        <v>682</v>
      </c>
      <c r="K4" s="120">
        <v>3046</v>
      </c>
      <c r="L4" s="133">
        <v>28</v>
      </c>
      <c r="M4" s="170"/>
      <c r="N4" s="137" t="s">
        <v>146</v>
      </c>
      <c r="O4" s="137" t="s">
        <v>143</v>
      </c>
      <c r="P4" s="137" t="s">
        <v>147</v>
      </c>
      <c r="Q4" s="61" t="s">
        <v>148</v>
      </c>
      <c r="S4" s="53">
        <v>5600</v>
      </c>
      <c r="U4" s="62">
        <v>680690</v>
      </c>
      <c r="V4" s="136">
        <v>0.01</v>
      </c>
      <c r="W4" s="137" t="s">
        <v>156</v>
      </c>
      <c r="X4" s="61" t="s">
        <v>148</v>
      </c>
    </row>
    <row r="5" spans="1:24" s="53" customFormat="1" ht="22.2" customHeight="1">
      <c r="A5" s="119">
        <v>603</v>
      </c>
      <c r="B5" s="120">
        <v>5847</v>
      </c>
      <c r="C5" s="121">
        <v>27</v>
      </c>
      <c r="D5" s="122">
        <v>631</v>
      </c>
      <c r="E5" s="120">
        <v>3107</v>
      </c>
      <c r="F5" s="121">
        <v>26</v>
      </c>
      <c r="G5" s="119">
        <v>663</v>
      </c>
      <c r="H5" s="120">
        <v>0</v>
      </c>
      <c r="I5" s="123">
        <v>26</v>
      </c>
      <c r="J5" s="119">
        <v>683</v>
      </c>
      <c r="K5" s="120">
        <v>2798</v>
      </c>
      <c r="L5" s="133">
        <v>26</v>
      </c>
      <c r="M5" s="170"/>
      <c r="N5" s="62">
        <v>680690</v>
      </c>
      <c r="O5" s="137" t="s">
        <v>143</v>
      </c>
      <c r="P5" s="137" t="s">
        <v>149</v>
      </c>
      <c r="Q5" s="61" t="s">
        <v>148</v>
      </c>
      <c r="S5" s="53">
        <v>4100</v>
      </c>
      <c r="U5" s="137" t="s">
        <v>150</v>
      </c>
      <c r="V5" s="136">
        <v>0.01</v>
      </c>
      <c r="W5" s="137" t="s">
        <v>157</v>
      </c>
      <c r="X5" s="61" t="s">
        <v>148</v>
      </c>
    </row>
    <row r="6" spans="1:24" s="53" customFormat="1" ht="22.2" customHeight="1">
      <c r="A6" s="119" t="s">
        <v>78</v>
      </c>
      <c r="B6" s="125">
        <v>1665</v>
      </c>
      <c r="C6" s="126">
        <v>25</v>
      </c>
      <c r="D6" s="127">
        <v>632</v>
      </c>
      <c r="E6" s="125">
        <v>0</v>
      </c>
      <c r="F6" s="126">
        <v>32</v>
      </c>
      <c r="G6" s="127">
        <v>664</v>
      </c>
      <c r="H6" s="120">
        <v>0</v>
      </c>
      <c r="I6" s="124">
        <v>27</v>
      </c>
      <c r="J6" s="127">
        <v>684</v>
      </c>
      <c r="K6" s="125">
        <v>209</v>
      </c>
      <c r="L6" s="133">
        <v>28</v>
      </c>
      <c r="M6" s="170"/>
      <c r="N6" s="137" t="s">
        <v>150</v>
      </c>
      <c r="O6" s="137" t="s">
        <v>143</v>
      </c>
      <c r="P6" s="137" t="s">
        <v>151</v>
      </c>
      <c r="Q6" s="61" t="s">
        <v>148</v>
      </c>
      <c r="S6" s="53">
        <v>7000</v>
      </c>
      <c r="U6" s="137" t="s">
        <v>152</v>
      </c>
      <c r="V6" s="136">
        <v>0.01</v>
      </c>
      <c r="W6" s="137" t="s">
        <v>158</v>
      </c>
      <c r="X6" s="61" t="s">
        <v>148</v>
      </c>
    </row>
    <row r="7" spans="1:24" s="53" customFormat="1" ht="22.2" customHeight="1">
      <c r="A7" s="119" t="s">
        <v>79</v>
      </c>
      <c r="B7" s="125">
        <v>1190</v>
      </c>
      <c r="C7" s="126">
        <v>25</v>
      </c>
      <c r="D7" s="127">
        <v>633</v>
      </c>
      <c r="E7" s="125">
        <v>3705</v>
      </c>
      <c r="F7" s="126">
        <v>22</v>
      </c>
      <c r="G7" s="127">
        <v>665</v>
      </c>
      <c r="H7" s="125">
        <v>4098</v>
      </c>
      <c r="I7" s="124">
        <v>29</v>
      </c>
      <c r="J7" s="127">
        <v>685</v>
      </c>
      <c r="K7" s="125">
        <v>248</v>
      </c>
      <c r="L7" s="133">
        <v>29</v>
      </c>
      <c r="M7" s="170"/>
      <c r="N7" s="137" t="s">
        <v>152</v>
      </c>
      <c r="O7" s="137" t="s">
        <v>143</v>
      </c>
      <c r="P7" s="137" t="s">
        <v>153</v>
      </c>
      <c r="Q7" s="61" t="s">
        <v>148</v>
      </c>
      <c r="S7" s="53">
        <v>11590</v>
      </c>
      <c r="X7" s="55"/>
    </row>
    <row r="8" spans="1:24" s="53" customFormat="1" ht="22.2" customHeight="1">
      <c r="A8" s="119">
        <v>611</v>
      </c>
      <c r="B8" s="125">
        <v>52.43</v>
      </c>
      <c r="C8" s="134">
        <v>25</v>
      </c>
      <c r="D8" s="127">
        <v>634</v>
      </c>
      <c r="E8" s="125">
        <v>4963</v>
      </c>
      <c r="F8" s="126">
        <v>30</v>
      </c>
      <c r="G8" s="127">
        <v>666</v>
      </c>
      <c r="H8" s="125">
        <v>4883</v>
      </c>
      <c r="I8" s="124">
        <v>27</v>
      </c>
      <c r="J8" s="127">
        <v>686</v>
      </c>
      <c r="K8" s="125">
        <v>471</v>
      </c>
      <c r="L8" s="133">
        <v>28</v>
      </c>
      <c r="M8" s="170"/>
      <c r="N8" s="137" t="s">
        <v>163</v>
      </c>
      <c r="O8" s="137" t="s">
        <v>143</v>
      </c>
      <c r="P8" s="137" t="s">
        <v>164</v>
      </c>
      <c r="Q8" s="61" t="s">
        <v>148</v>
      </c>
      <c r="S8" s="53">
        <v>9200</v>
      </c>
    </row>
    <row r="9" spans="1:24" s="53" customFormat="1" ht="22.2" customHeight="1">
      <c r="A9" s="119">
        <v>612</v>
      </c>
      <c r="B9" s="125">
        <v>6.27</v>
      </c>
      <c r="C9" s="134">
        <v>25</v>
      </c>
      <c r="D9" s="127">
        <v>641</v>
      </c>
      <c r="E9" s="125">
        <v>3909</v>
      </c>
      <c r="F9" s="126">
        <v>31</v>
      </c>
      <c r="G9" s="127">
        <v>667</v>
      </c>
      <c r="H9" s="125">
        <v>2025</v>
      </c>
      <c r="I9" s="124">
        <v>30</v>
      </c>
      <c r="J9" s="127">
        <v>687</v>
      </c>
      <c r="K9" s="125">
        <v>360</v>
      </c>
      <c r="L9" s="133">
        <v>28</v>
      </c>
      <c r="M9" s="170"/>
      <c r="N9" s="137" t="s">
        <v>165</v>
      </c>
      <c r="O9" s="137" t="s">
        <v>143</v>
      </c>
      <c r="P9" s="137" t="s">
        <v>166</v>
      </c>
      <c r="Q9" s="61" t="s">
        <v>148</v>
      </c>
      <c r="S9" s="53">
        <v>6800</v>
      </c>
    </row>
    <row r="10" spans="1:24" s="53" customFormat="1" ht="22.2" customHeight="1">
      <c r="A10" s="119">
        <v>613</v>
      </c>
      <c r="B10" s="125">
        <v>7.52</v>
      </c>
      <c r="C10" s="134">
        <v>25</v>
      </c>
      <c r="D10" s="127">
        <v>642</v>
      </c>
      <c r="E10" s="125">
        <v>5167</v>
      </c>
      <c r="F10" s="126">
        <v>28</v>
      </c>
      <c r="G10" s="127">
        <v>668</v>
      </c>
      <c r="H10" s="125">
        <v>931</v>
      </c>
      <c r="I10" s="124">
        <v>30</v>
      </c>
      <c r="J10" s="127">
        <v>688</v>
      </c>
      <c r="K10" s="125">
        <v>227</v>
      </c>
      <c r="L10" s="133">
        <v>27</v>
      </c>
      <c r="M10" s="170"/>
      <c r="N10" s="137" t="s">
        <v>167</v>
      </c>
      <c r="O10" s="136" t="s">
        <v>143</v>
      </c>
      <c r="P10" s="137" t="s">
        <v>168</v>
      </c>
      <c r="Q10" s="61" t="s">
        <v>148</v>
      </c>
      <c r="S10" s="53">
        <v>5500</v>
      </c>
    </row>
    <row r="11" spans="1:24" s="53" customFormat="1" ht="22.2" customHeight="1">
      <c r="A11" s="119">
        <v>614</v>
      </c>
      <c r="B11" s="125">
        <v>6.95</v>
      </c>
      <c r="C11" s="134">
        <v>25</v>
      </c>
      <c r="D11" s="127">
        <v>643</v>
      </c>
      <c r="E11" s="125">
        <v>277</v>
      </c>
      <c r="F11" s="126">
        <v>26</v>
      </c>
      <c r="G11" s="127">
        <v>669</v>
      </c>
      <c r="H11" s="125">
        <v>1391</v>
      </c>
      <c r="I11" s="124">
        <v>30</v>
      </c>
      <c r="J11" s="127">
        <v>689</v>
      </c>
      <c r="K11" s="125">
        <v>1674</v>
      </c>
      <c r="L11" s="133">
        <v>28</v>
      </c>
      <c r="M11" s="170"/>
      <c r="N11" s="137" t="s">
        <v>169</v>
      </c>
      <c r="O11" s="136" t="s">
        <v>143</v>
      </c>
      <c r="P11" s="137">
        <v>9.0746000000000002</v>
      </c>
      <c r="Q11" s="61" t="s">
        <v>148</v>
      </c>
      <c r="S11" s="53">
        <v>7100</v>
      </c>
    </row>
    <row r="12" spans="1:24" s="53" customFormat="1" ht="22.2" customHeight="1">
      <c r="A12" s="119">
        <v>621</v>
      </c>
      <c r="B12" s="125">
        <v>6399</v>
      </c>
      <c r="C12" s="126">
        <v>29</v>
      </c>
      <c r="D12" s="127">
        <v>645</v>
      </c>
      <c r="E12" s="125">
        <v>6210</v>
      </c>
      <c r="F12" s="126">
        <v>26</v>
      </c>
      <c r="G12" s="127">
        <v>670</v>
      </c>
      <c r="H12" s="125">
        <v>-2370</v>
      </c>
      <c r="I12" s="124">
        <v>30</v>
      </c>
      <c r="J12" s="127">
        <v>690</v>
      </c>
      <c r="K12" s="125">
        <v>1965</v>
      </c>
      <c r="L12" s="124">
        <v>27</v>
      </c>
      <c r="M12" s="170"/>
      <c r="N12" s="62" t="s">
        <v>170</v>
      </c>
      <c r="O12" s="136" t="s">
        <v>143</v>
      </c>
      <c r="P12" s="137">
        <v>9.0746000000000002</v>
      </c>
      <c r="Q12" s="61" t="s">
        <v>148</v>
      </c>
      <c r="S12" s="53">
        <v>5500</v>
      </c>
    </row>
    <row r="13" spans="1:24" s="53" customFormat="1" ht="22.2" customHeight="1">
      <c r="A13" s="119">
        <v>622</v>
      </c>
      <c r="B13" s="125">
        <v>1347</v>
      </c>
      <c r="C13" s="126">
        <v>30</v>
      </c>
      <c r="D13" s="127">
        <v>651</v>
      </c>
      <c r="E13" s="125">
        <v>3011</v>
      </c>
      <c r="F13" s="126">
        <v>32</v>
      </c>
      <c r="G13" s="127">
        <v>671</v>
      </c>
      <c r="H13" s="125">
        <v>1955</v>
      </c>
      <c r="I13" s="124">
        <v>30</v>
      </c>
      <c r="J13" s="127">
        <v>691</v>
      </c>
      <c r="K13" s="125">
        <v>2389</v>
      </c>
      <c r="L13" s="133">
        <v>26</v>
      </c>
      <c r="M13" s="170"/>
      <c r="N13" s="172" t="s">
        <v>171</v>
      </c>
      <c r="O13" s="173" t="s">
        <v>143</v>
      </c>
      <c r="P13" s="174">
        <v>7.0686</v>
      </c>
      <c r="Q13" s="166" t="s">
        <v>148</v>
      </c>
      <c r="S13" s="167">
        <v>7000</v>
      </c>
    </row>
    <row r="14" spans="1:24" s="53" customFormat="1" ht="22.2" customHeight="1">
      <c r="A14" s="119">
        <v>623</v>
      </c>
      <c r="B14" s="125">
        <v>5121</v>
      </c>
      <c r="C14" s="126">
        <v>32</v>
      </c>
      <c r="D14" s="127">
        <v>652</v>
      </c>
      <c r="E14" s="125">
        <v>4350</v>
      </c>
      <c r="F14" s="126">
        <v>29</v>
      </c>
      <c r="G14" s="127">
        <v>672</v>
      </c>
      <c r="H14" s="125">
        <v>2598</v>
      </c>
      <c r="I14" s="124">
        <v>29</v>
      </c>
      <c r="J14" s="127">
        <v>692</v>
      </c>
      <c r="K14" s="125">
        <v>4229</v>
      </c>
      <c r="L14" s="133">
        <v>27</v>
      </c>
      <c r="M14" s="170"/>
      <c r="N14" s="172"/>
      <c r="O14" s="173"/>
      <c r="P14" s="174"/>
      <c r="Q14" s="166"/>
      <c r="S14" s="167"/>
    </row>
    <row r="15" spans="1:24" s="53" customFormat="1" ht="22.2" customHeight="1">
      <c r="A15" s="122">
        <v>624</v>
      </c>
      <c r="B15" s="125">
        <v>1923</v>
      </c>
      <c r="C15" s="126">
        <v>29</v>
      </c>
      <c r="D15" s="128">
        <v>653</v>
      </c>
      <c r="E15" s="125">
        <v>0</v>
      </c>
      <c r="F15" s="126">
        <v>22</v>
      </c>
      <c r="G15" s="127">
        <v>673</v>
      </c>
      <c r="H15" s="125">
        <v>5357</v>
      </c>
      <c r="I15" s="124">
        <v>33</v>
      </c>
      <c r="J15" s="127">
        <v>693</v>
      </c>
      <c r="K15" s="125">
        <v>5506</v>
      </c>
      <c r="L15" s="133">
        <v>27</v>
      </c>
      <c r="M15" s="170"/>
      <c r="N15" s="172"/>
      <c r="O15" s="173"/>
      <c r="P15" s="174"/>
      <c r="Q15" s="166"/>
      <c r="R15" s="55"/>
      <c r="S15" s="139">
        <v>6000</v>
      </c>
    </row>
    <row r="16" spans="1:24" s="53" customFormat="1" ht="22.2" customHeight="1">
      <c r="A16" s="122" t="s">
        <v>80</v>
      </c>
      <c r="B16" s="125">
        <v>0</v>
      </c>
      <c r="C16" s="126">
        <v>29</v>
      </c>
      <c r="D16" s="127">
        <v>654</v>
      </c>
      <c r="E16" s="125">
        <v>2595</v>
      </c>
      <c r="F16" s="126">
        <v>25</v>
      </c>
      <c r="G16" s="127">
        <v>674</v>
      </c>
      <c r="H16" s="125">
        <v>7324</v>
      </c>
      <c r="I16" s="124">
        <v>29</v>
      </c>
      <c r="J16" s="127">
        <v>694</v>
      </c>
      <c r="K16" s="125">
        <v>506</v>
      </c>
      <c r="L16" s="133">
        <v>29</v>
      </c>
      <c r="M16" s="170"/>
      <c r="Q16" s="55"/>
      <c r="R16" s="55"/>
      <c r="S16" s="55"/>
    </row>
    <row r="17" spans="1:19" s="53" customFormat="1" ht="22.2" customHeight="1">
      <c r="A17" s="122" t="s">
        <v>26</v>
      </c>
      <c r="B17" s="125">
        <v>4330</v>
      </c>
      <c r="C17" s="126">
        <v>33</v>
      </c>
      <c r="D17" s="128">
        <v>655</v>
      </c>
      <c r="E17" s="125">
        <v>2470</v>
      </c>
      <c r="F17" s="126">
        <v>38</v>
      </c>
      <c r="G17" s="127">
        <v>675</v>
      </c>
      <c r="H17" s="125">
        <v>5.54</v>
      </c>
      <c r="I17" s="133">
        <v>25</v>
      </c>
      <c r="J17" s="127">
        <v>695</v>
      </c>
      <c r="K17" s="125">
        <v>5555</v>
      </c>
      <c r="L17" s="133">
        <v>25</v>
      </c>
      <c r="M17" s="170"/>
      <c r="Q17" s="55"/>
      <c r="R17" s="55"/>
      <c r="S17" s="55"/>
    </row>
    <row r="18" spans="1:19" s="53" customFormat="1" ht="22.2" customHeight="1">
      <c r="A18" s="122" t="s">
        <v>27</v>
      </c>
      <c r="B18" s="125">
        <v>5792</v>
      </c>
      <c r="C18" s="126">
        <v>24</v>
      </c>
      <c r="D18" s="127">
        <v>656</v>
      </c>
      <c r="E18" s="125">
        <v>2282</v>
      </c>
      <c r="F18" s="126">
        <v>30</v>
      </c>
      <c r="G18" s="127">
        <v>676</v>
      </c>
      <c r="H18" s="125">
        <v>67.430000000000007</v>
      </c>
      <c r="I18" s="133">
        <v>25</v>
      </c>
      <c r="J18" s="127">
        <v>696</v>
      </c>
      <c r="K18" s="125">
        <v>1017</v>
      </c>
      <c r="L18" s="133">
        <v>24</v>
      </c>
      <c r="M18" s="170"/>
      <c r="Q18" s="55"/>
      <c r="R18" s="55"/>
      <c r="S18" s="55"/>
    </row>
    <row r="19" spans="1:19" s="53" customFormat="1" ht="22.2" customHeight="1">
      <c r="A19" s="122" t="s">
        <v>28</v>
      </c>
      <c r="B19" s="125">
        <v>7070</v>
      </c>
      <c r="C19" s="126">
        <v>23</v>
      </c>
      <c r="D19" s="127">
        <v>657</v>
      </c>
      <c r="E19" s="125">
        <v>3585</v>
      </c>
      <c r="F19" s="126">
        <v>30</v>
      </c>
      <c r="G19" s="127">
        <v>677</v>
      </c>
      <c r="H19" s="125">
        <v>3.13</v>
      </c>
      <c r="I19" s="133">
        <v>25</v>
      </c>
      <c r="J19" s="127">
        <v>697</v>
      </c>
      <c r="K19" s="125">
        <v>8683</v>
      </c>
      <c r="L19" s="133">
        <v>25</v>
      </c>
      <c r="M19" s="170"/>
      <c r="Q19" s="55"/>
      <c r="R19" s="55"/>
      <c r="S19" s="55"/>
    </row>
    <row r="20" spans="1:19" s="53" customFormat="1" ht="22.2" customHeight="1">
      <c r="A20" s="122" t="s">
        <v>29</v>
      </c>
      <c r="B20" s="125">
        <v>5328</v>
      </c>
      <c r="C20" s="126">
        <v>27</v>
      </c>
      <c r="D20" s="128">
        <v>658</v>
      </c>
      <c r="E20" s="125">
        <v>6521</v>
      </c>
      <c r="F20" s="126">
        <v>30</v>
      </c>
      <c r="G20" s="127">
        <v>678</v>
      </c>
      <c r="H20" s="125">
        <v>0</v>
      </c>
      <c r="I20" s="133">
        <v>25</v>
      </c>
      <c r="J20" s="127">
        <v>698</v>
      </c>
      <c r="K20" s="125">
        <v>3259</v>
      </c>
      <c r="L20" s="133">
        <v>26</v>
      </c>
      <c r="M20" s="170"/>
      <c r="Q20" s="55"/>
      <c r="R20" s="55"/>
      <c r="S20" s="55"/>
    </row>
    <row r="21" spans="1:19" s="53" customFormat="1" ht="22.2" customHeight="1">
      <c r="A21" s="122" t="s">
        <v>30</v>
      </c>
      <c r="B21" s="125">
        <v>0</v>
      </c>
      <c r="C21" s="126">
        <v>28</v>
      </c>
      <c r="D21" s="127">
        <v>659</v>
      </c>
      <c r="E21" s="125">
        <v>1836</v>
      </c>
      <c r="F21" s="126">
        <v>26</v>
      </c>
      <c r="G21" s="127">
        <v>680</v>
      </c>
      <c r="H21" s="125">
        <v>1549</v>
      </c>
      <c r="I21" s="133">
        <v>27</v>
      </c>
      <c r="J21" s="127">
        <v>699</v>
      </c>
      <c r="K21" s="125">
        <v>4095</v>
      </c>
      <c r="L21" s="133">
        <v>30</v>
      </c>
      <c r="M21" s="170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0</v>
      </c>
      <c r="C22" s="130">
        <v>27</v>
      </c>
      <c r="D22" s="131">
        <v>660</v>
      </c>
      <c r="E22" s="130">
        <v>3760</v>
      </c>
      <c r="F22" s="132">
        <v>30</v>
      </c>
      <c r="G22" s="131"/>
      <c r="H22" s="130"/>
      <c r="I22" s="132"/>
      <c r="J22" s="131"/>
      <c r="K22" s="130"/>
      <c r="L22" s="132"/>
      <c r="M22" s="171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68"/>
      <c r="B24" s="168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175</v>
      </c>
    </row>
    <row r="25" spans="1:19" ht="20.100000000000001" customHeight="1" thickTop="1" thickBot="1">
      <c r="A25" s="114" t="s">
        <v>31</v>
      </c>
      <c r="B25" s="115" t="s">
        <v>159</v>
      </c>
      <c r="C25" s="116" t="s">
        <v>33</v>
      </c>
      <c r="D25" s="114" t="s">
        <v>31</v>
      </c>
      <c r="E25" s="115" t="s">
        <v>159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174</v>
      </c>
    </row>
    <row r="26" spans="1:19" ht="21.75" customHeight="1" thickTop="1">
      <c r="A26" s="119">
        <v>601</v>
      </c>
      <c r="B26" s="120">
        <v>1418</v>
      </c>
      <c r="C26" s="121">
        <v>30</v>
      </c>
      <c r="D26" s="122" t="s">
        <v>76</v>
      </c>
      <c r="E26" s="120">
        <v>0</v>
      </c>
      <c r="F26" s="121">
        <v>25</v>
      </c>
      <c r="G26" s="119">
        <v>661</v>
      </c>
      <c r="H26" s="120">
        <v>1046</v>
      </c>
      <c r="I26" s="123">
        <v>34</v>
      </c>
      <c r="J26" s="119">
        <v>681</v>
      </c>
      <c r="K26" s="120">
        <v>2802</v>
      </c>
      <c r="L26" s="124">
        <v>32</v>
      </c>
      <c r="M26" s="169"/>
    </row>
    <row r="27" spans="1:19" ht="21.75" customHeight="1">
      <c r="A27" s="119">
        <v>602</v>
      </c>
      <c r="B27" s="120">
        <v>7829</v>
      </c>
      <c r="C27" s="121">
        <v>30</v>
      </c>
      <c r="D27" s="122" t="s">
        <v>77</v>
      </c>
      <c r="E27" s="120">
        <v>0</v>
      </c>
      <c r="F27" s="121">
        <v>30</v>
      </c>
      <c r="G27" s="119">
        <v>662</v>
      </c>
      <c r="H27" s="120">
        <v>0</v>
      </c>
      <c r="I27" s="123">
        <v>34</v>
      </c>
      <c r="J27" s="119">
        <v>682</v>
      </c>
      <c r="K27" s="120">
        <v>2589</v>
      </c>
      <c r="L27" s="133">
        <v>32</v>
      </c>
      <c r="M27" s="170"/>
    </row>
    <row r="28" spans="1:19" ht="21.75" customHeight="1">
      <c r="A28" s="119">
        <v>603</v>
      </c>
      <c r="B28" s="120">
        <v>5848</v>
      </c>
      <c r="C28" s="121">
        <v>29</v>
      </c>
      <c r="D28" s="122">
        <v>631</v>
      </c>
      <c r="E28" s="120">
        <v>4160</v>
      </c>
      <c r="F28" s="121">
        <v>33</v>
      </c>
      <c r="G28" s="119">
        <v>663</v>
      </c>
      <c r="H28" s="120">
        <v>0</v>
      </c>
      <c r="I28" s="123">
        <v>31</v>
      </c>
      <c r="J28" s="119">
        <v>683</v>
      </c>
      <c r="K28" s="120">
        <v>1630</v>
      </c>
      <c r="L28" s="133">
        <v>30</v>
      </c>
      <c r="M28" s="170"/>
    </row>
    <row r="29" spans="1:19" ht="21.75" customHeight="1">
      <c r="A29" s="119" t="s">
        <v>78</v>
      </c>
      <c r="B29" s="125">
        <v>1665</v>
      </c>
      <c r="C29" s="126">
        <v>28</v>
      </c>
      <c r="D29" s="127">
        <v>632</v>
      </c>
      <c r="E29" s="125">
        <v>0</v>
      </c>
      <c r="F29" s="126">
        <v>45</v>
      </c>
      <c r="G29" s="127">
        <v>664</v>
      </c>
      <c r="H29" s="120">
        <v>0</v>
      </c>
      <c r="I29" s="124">
        <v>32</v>
      </c>
      <c r="J29" s="127">
        <v>684</v>
      </c>
      <c r="K29" s="125">
        <v>202</v>
      </c>
      <c r="L29" s="133">
        <v>40</v>
      </c>
      <c r="M29" s="170"/>
    </row>
    <row r="30" spans="1:19" ht="21.75" customHeight="1">
      <c r="A30" s="119" t="s">
        <v>79</v>
      </c>
      <c r="B30" s="125">
        <v>1196</v>
      </c>
      <c r="C30" s="126">
        <v>28</v>
      </c>
      <c r="D30" s="127">
        <v>633</v>
      </c>
      <c r="E30" s="125">
        <v>3706</v>
      </c>
      <c r="F30" s="126">
        <v>24</v>
      </c>
      <c r="G30" s="127">
        <v>665</v>
      </c>
      <c r="H30" s="125">
        <v>4099</v>
      </c>
      <c r="I30" s="124">
        <v>31</v>
      </c>
      <c r="J30" s="127">
        <v>685</v>
      </c>
      <c r="K30" s="125">
        <v>244</v>
      </c>
      <c r="L30" s="133">
        <v>32</v>
      </c>
      <c r="M30" s="170"/>
    </row>
    <row r="31" spans="1:19" ht="21.75" customHeight="1">
      <c r="A31" s="119">
        <v>611</v>
      </c>
      <c r="B31" s="125">
        <v>52.43</v>
      </c>
      <c r="C31" s="134">
        <v>25</v>
      </c>
      <c r="D31" s="127">
        <v>634</v>
      </c>
      <c r="E31" s="125">
        <v>5240</v>
      </c>
      <c r="F31" s="126">
        <v>30</v>
      </c>
      <c r="G31" s="127">
        <v>666</v>
      </c>
      <c r="H31" s="125">
        <v>4884</v>
      </c>
      <c r="I31" s="124">
        <v>30</v>
      </c>
      <c r="J31" s="127">
        <v>686</v>
      </c>
      <c r="K31" s="125">
        <v>466</v>
      </c>
      <c r="L31" s="133">
        <v>30</v>
      </c>
      <c r="M31" s="170"/>
    </row>
    <row r="32" spans="1:19" ht="21.75" customHeight="1">
      <c r="A32" s="119">
        <v>612</v>
      </c>
      <c r="B32" s="125">
        <v>6.26</v>
      </c>
      <c r="C32" s="134">
        <v>25</v>
      </c>
      <c r="D32" s="127">
        <v>641</v>
      </c>
      <c r="E32" s="125">
        <v>3908</v>
      </c>
      <c r="F32" s="126">
        <v>36</v>
      </c>
      <c r="G32" s="127">
        <v>667</v>
      </c>
      <c r="H32" s="125">
        <v>2636</v>
      </c>
      <c r="I32" s="124">
        <v>34</v>
      </c>
      <c r="J32" s="127">
        <v>687</v>
      </c>
      <c r="K32" s="125">
        <v>356</v>
      </c>
      <c r="L32" s="133">
        <v>39</v>
      </c>
      <c r="M32" s="170"/>
    </row>
    <row r="33" spans="1:13" ht="21.75" customHeight="1">
      <c r="A33" s="119">
        <v>613</v>
      </c>
      <c r="B33" s="125">
        <v>8.15</v>
      </c>
      <c r="C33" s="134">
        <v>25</v>
      </c>
      <c r="D33" s="127">
        <v>642</v>
      </c>
      <c r="E33" s="125">
        <v>5067</v>
      </c>
      <c r="F33" s="126">
        <v>30</v>
      </c>
      <c r="G33" s="127">
        <v>668</v>
      </c>
      <c r="H33" s="125">
        <v>997</v>
      </c>
      <c r="I33" s="124">
        <v>34</v>
      </c>
      <c r="J33" s="127">
        <v>688</v>
      </c>
      <c r="K33" s="125">
        <v>224</v>
      </c>
      <c r="L33" s="133">
        <v>33</v>
      </c>
      <c r="M33" s="170"/>
    </row>
    <row r="34" spans="1:13" ht="21.75" customHeight="1">
      <c r="A34" s="119">
        <v>614</v>
      </c>
      <c r="B34" s="125">
        <v>68</v>
      </c>
      <c r="C34" s="134">
        <v>25</v>
      </c>
      <c r="D34" s="127">
        <v>643</v>
      </c>
      <c r="E34" s="125">
        <v>1902</v>
      </c>
      <c r="F34" s="126">
        <v>34</v>
      </c>
      <c r="G34" s="127">
        <v>669</v>
      </c>
      <c r="H34" s="125">
        <v>1389</v>
      </c>
      <c r="I34" s="124">
        <v>30</v>
      </c>
      <c r="J34" s="127">
        <v>689</v>
      </c>
      <c r="K34" s="125">
        <v>1669</v>
      </c>
      <c r="L34" s="133">
        <v>29</v>
      </c>
      <c r="M34" s="170"/>
    </row>
    <row r="35" spans="1:13" ht="21.75" customHeight="1">
      <c r="A35" s="119">
        <v>621</v>
      </c>
      <c r="B35" s="125">
        <v>6400</v>
      </c>
      <c r="C35" s="126">
        <v>30</v>
      </c>
      <c r="D35" s="127">
        <v>645</v>
      </c>
      <c r="E35" s="125">
        <v>3758</v>
      </c>
      <c r="F35" s="126">
        <v>34</v>
      </c>
      <c r="G35" s="127">
        <v>670</v>
      </c>
      <c r="H35" s="125">
        <v>-9908</v>
      </c>
      <c r="I35" s="124">
        <v>30</v>
      </c>
      <c r="J35" s="127">
        <v>690</v>
      </c>
      <c r="K35" s="125">
        <v>729</v>
      </c>
      <c r="L35" s="124">
        <v>30</v>
      </c>
      <c r="M35" s="170"/>
    </row>
    <row r="36" spans="1:13" ht="21.75" customHeight="1">
      <c r="A36" s="119">
        <v>622</v>
      </c>
      <c r="B36" s="125">
        <v>1344</v>
      </c>
      <c r="C36" s="126">
        <v>32</v>
      </c>
      <c r="D36" s="127">
        <v>651</v>
      </c>
      <c r="E36" s="125">
        <v>3018</v>
      </c>
      <c r="F36" s="126">
        <v>34</v>
      </c>
      <c r="G36" s="127">
        <v>671</v>
      </c>
      <c r="H36" s="125">
        <v>1954</v>
      </c>
      <c r="I36" s="124">
        <v>31</v>
      </c>
      <c r="J36" s="127">
        <v>691</v>
      </c>
      <c r="K36" s="125">
        <v>2693</v>
      </c>
      <c r="L36" s="133">
        <v>33</v>
      </c>
      <c r="M36" s="170"/>
    </row>
    <row r="37" spans="1:13" ht="21.75" customHeight="1">
      <c r="A37" s="119">
        <v>623</v>
      </c>
      <c r="B37" s="125">
        <v>5122</v>
      </c>
      <c r="C37" s="126">
        <v>36</v>
      </c>
      <c r="D37" s="127">
        <v>652</v>
      </c>
      <c r="E37" s="125">
        <v>4423</v>
      </c>
      <c r="F37" s="126">
        <v>29</v>
      </c>
      <c r="G37" s="127">
        <v>672</v>
      </c>
      <c r="H37" s="125">
        <v>2600</v>
      </c>
      <c r="I37" s="124">
        <v>30</v>
      </c>
      <c r="J37" s="127">
        <v>692</v>
      </c>
      <c r="K37" s="125">
        <v>4576</v>
      </c>
      <c r="L37" s="133">
        <v>31</v>
      </c>
      <c r="M37" s="170"/>
    </row>
    <row r="38" spans="1:13" ht="21.75" customHeight="1">
      <c r="A38" s="122">
        <v>624</v>
      </c>
      <c r="B38" s="125">
        <v>1916</v>
      </c>
      <c r="C38" s="126">
        <v>30</v>
      </c>
      <c r="D38" s="128">
        <v>653</v>
      </c>
      <c r="E38" s="125">
        <v>0</v>
      </c>
      <c r="F38" s="126">
        <v>26</v>
      </c>
      <c r="G38" s="127">
        <v>673</v>
      </c>
      <c r="H38" s="125">
        <v>5357</v>
      </c>
      <c r="I38" s="124">
        <v>32</v>
      </c>
      <c r="J38" s="127">
        <v>693</v>
      </c>
      <c r="K38" s="125">
        <v>5502</v>
      </c>
      <c r="L38" s="133">
        <v>30</v>
      </c>
      <c r="M38" s="170"/>
    </row>
    <row r="39" spans="1:13" ht="21.75" customHeight="1">
      <c r="A39" s="122" t="s">
        <v>80</v>
      </c>
      <c r="B39" s="125">
        <v>0</v>
      </c>
      <c r="C39" s="126">
        <v>39</v>
      </c>
      <c r="D39" s="127">
        <v>654</v>
      </c>
      <c r="E39" s="125">
        <v>5174</v>
      </c>
      <c r="F39" s="126">
        <v>38</v>
      </c>
      <c r="G39" s="127">
        <v>674</v>
      </c>
      <c r="H39" s="125">
        <v>7324</v>
      </c>
      <c r="I39" s="124">
        <v>30</v>
      </c>
      <c r="J39" s="127">
        <v>694</v>
      </c>
      <c r="K39" s="125">
        <v>504</v>
      </c>
      <c r="L39" s="133">
        <v>32</v>
      </c>
      <c r="M39" s="170"/>
    </row>
    <row r="40" spans="1:13" ht="21.75" customHeight="1">
      <c r="A40" s="122" t="s">
        <v>26</v>
      </c>
      <c r="B40" s="125">
        <v>0</v>
      </c>
      <c r="C40" s="126">
        <v>37</v>
      </c>
      <c r="D40" s="128">
        <v>655</v>
      </c>
      <c r="E40" s="125">
        <v>3138</v>
      </c>
      <c r="F40" s="126">
        <v>40</v>
      </c>
      <c r="G40" s="127">
        <v>675</v>
      </c>
      <c r="H40" s="125">
        <v>40</v>
      </c>
      <c r="I40" s="133">
        <v>25</v>
      </c>
      <c r="J40" s="127">
        <v>695</v>
      </c>
      <c r="K40" s="125">
        <v>5612</v>
      </c>
      <c r="L40" s="133">
        <v>30</v>
      </c>
      <c r="M40" s="170"/>
    </row>
    <row r="41" spans="1:13" ht="21.75" customHeight="1">
      <c r="A41" s="122" t="s">
        <v>27</v>
      </c>
      <c r="B41" s="125">
        <v>5401</v>
      </c>
      <c r="C41" s="126">
        <v>25</v>
      </c>
      <c r="D41" s="127">
        <v>656</v>
      </c>
      <c r="E41" s="125">
        <v>2283</v>
      </c>
      <c r="F41" s="126">
        <v>30</v>
      </c>
      <c r="G41" s="127">
        <v>676</v>
      </c>
      <c r="H41" s="125">
        <v>84.89</v>
      </c>
      <c r="I41" s="133">
        <v>25</v>
      </c>
      <c r="J41" s="127">
        <v>696</v>
      </c>
      <c r="K41" s="125">
        <v>1014</v>
      </c>
      <c r="L41" s="133">
        <v>26</v>
      </c>
      <c r="M41" s="170"/>
    </row>
    <row r="42" spans="1:13" ht="21.75" customHeight="1">
      <c r="A42" s="122" t="s">
        <v>28</v>
      </c>
      <c r="B42" s="125">
        <v>7076</v>
      </c>
      <c r="C42" s="126">
        <v>25</v>
      </c>
      <c r="D42" s="127">
        <v>657</v>
      </c>
      <c r="E42" s="125">
        <v>3587</v>
      </c>
      <c r="F42" s="126">
        <v>31</v>
      </c>
      <c r="G42" s="127">
        <v>677</v>
      </c>
      <c r="H42" s="125">
        <v>3.11</v>
      </c>
      <c r="I42" s="133">
        <v>25</v>
      </c>
      <c r="J42" s="127">
        <v>697</v>
      </c>
      <c r="K42" s="125">
        <v>8684</v>
      </c>
      <c r="L42" s="133">
        <v>24</v>
      </c>
      <c r="M42" s="170"/>
    </row>
    <row r="43" spans="1:13" ht="21.75" customHeight="1">
      <c r="A43" s="122" t="s">
        <v>29</v>
      </c>
      <c r="B43" s="125">
        <v>7020</v>
      </c>
      <c r="C43" s="126">
        <v>27</v>
      </c>
      <c r="D43" s="128">
        <v>658</v>
      </c>
      <c r="E43" s="125">
        <v>3567</v>
      </c>
      <c r="F43" s="126">
        <v>31</v>
      </c>
      <c r="G43" s="127">
        <v>678</v>
      </c>
      <c r="H43" s="125">
        <v>11.34</v>
      </c>
      <c r="I43" s="133">
        <v>25</v>
      </c>
      <c r="J43" s="127">
        <v>698</v>
      </c>
      <c r="K43" s="125">
        <v>3134</v>
      </c>
      <c r="L43" s="133">
        <v>26</v>
      </c>
      <c r="M43" s="170"/>
    </row>
    <row r="44" spans="1:13" ht="21.75" customHeight="1">
      <c r="A44" s="122" t="s">
        <v>30</v>
      </c>
      <c r="B44" s="125">
        <v>3789</v>
      </c>
      <c r="C44" s="126">
        <v>28</v>
      </c>
      <c r="D44" s="127">
        <v>659</v>
      </c>
      <c r="E44" s="125">
        <v>1837</v>
      </c>
      <c r="F44" s="126">
        <v>28</v>
      </c>
      <c r="G44" s="127">
        <v>680</v>
      </c>
      <c r="H44" s="125">
        <v>1549</v>
      </c>
      <c r="I44" s="133">
        <v>30</v>
      </c>
      <c r="J44" s="127">
        <v>699</v>
      </c>
      <c r="K44" s="125">
        <v>2487</v>
      </c>
      <c r="L44" s="133">
        <v>35</v>
      </c>
      <c r="M44" s="170"/>
    </row>
    <row r="45" spans="1:13" ht="21.75" customHeight="1" thickBot="1">
      <c r="A45" s="129" t="s">
        <v>81</v>
      </c>
      <c r="B45" s="130">
        <v>0</v>
      </c>
      <c r="C45" s="130">
        <v>29</v>
      </c>
      <c r="D45" s="131">
        <v>660</v>
      </c>
      <c r="E45" s="130">
        <v>3761</v>
      </c>
      <c r="F45" s="132">
        <v>30</v>
      </c>
      <c r="G45" s="131"/>
      <c r="H45" s="130"/>
      <c r="I45" s="132"/>
      <c r="J45" s="131"/>
      <c r="K45" s="130"/>
      <c r="L45" s="132"/>
      <c r="M45" s="171"/>
    </row>
    <row r="46" spans="1:13" ht="16.2" thickTop="1"/>
    <row r="100" spans="1:1" ht="25.5" customHeight="1">
      <c r="A100" s="140" t="s">
        <v>634</v>
      </c>
    </row>
  </sheetData>
  <sheetProtection selectLockedCells="1"/>
  <mergeCells count="9">
    <mergeCell ref="Q13:Q15"/>
    <mergeCell ref="S13:S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1">
    <dataValidation type="custom" errorStyle="warning" allowBlank="1" showInputMessage="1" showErrorMessage="1" error="***你在睡喔,醒醒好嗎" sqref="E8 B6:B7 B4 B15 E31 B29:B30 B27 B38">
      <formula1>B4&lt;=9100</formula1>
    </dataValidation>
    <dataValidation type="custom" errorStyle="warning" allowBlank="1" showInputMessage="1" showErrorMessage="1" error="***你在睡喔,醒醒好嗎" sqref="B8:B11 H17:H20 B31:B34 H40:H43">
      <formula1>B8&lt;=100</formula1>
    </dataValidation>
    <dataValidation type="custom" errorStyle="warning" allowBlank="1" showInputMessage="1" showErrorMessage="1" error="***你在睡喔,醒醒好嗎" sqref="E3:E4 B16:B22 E20:E22 H3:H16 E26:E27 B39:B45 E43:E45 H26:H39 E19 E42">
      <formula1>B3&lt;=7400</formula1>
    </dataValidation>
    <dataValidation type="custom" errorStyle="warning" allowBlank="1" showInputMessage="1" showErrorMessage="1" error="***你在睡喔,醒醒好嗎" sqref="E14:E18 E37:E41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B5 K14:K17 B12:B13 B3 E28:E29 B28 K37:K40 B35:B36 B26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B14 E7 K13 E9:E10 E13 K3:K7 K9:K10 B37 E30 E36 K26:K30 K32:K33 K36 E32:E33">
      <formula1>B3&lt;=5600</formula1>
    </dataValidation>
    <dataValidation type="custom" errorStyle="warning" allowBlank="1" showInputMessage="1" showErrorMessage="1" error="***你在睡喔,醒醒好嗎" sqref="K11 K8 K34 K31">
      <formula1>K8&lt;=5700</formula1>
    </dataValidation>
    <dataValidation type="custom" errorStyle="warning" allowBlank="1" showInputMessage="1" showErrorMessage="1" error="***你在睡喔,醒醒好嗎" sqref="E12 E34:E35">
      <formula1>E12&lt;=6000</formula1>
    </dataValidation>
    <dataValidation type="custom" errorStyle="warning" allowBlank="1" showInputMessage="1" showErrorMessage="1" error="***你在睡喔,醒醒好嗎" sqref="E11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1" r:id="rId4" name="CommandButton1">
          <controlPr autoLine="0" r:id="rId5">
            <anchor moveWithCells="1">
              <from>
                <xdr:col>13</xdr:col>
                <xdr:colOff>30480</xdr:colOff>
                <xdr:row>15</xdr:row>
                <xdr:rowOff>198120</xdr:rowOff>
              </from>
              <to>
                <xdr:col>15</xdr:col>
                <xdr:colOff>495300</xdr:colOff>
                <xdr:row>22</xdr:row>
                <xdr:rowOff>388620</xdr:rowOff>
              </to>
            </anchor>
          </controlPr>
        </control>
      </mc:Choice>
      <mc:Fallback>
        <control shapeId="2247681" r:id="rId4" name="CommandButton1"/>
      </mc:Fallback>
    </mc:AlternateContent>
    <mc:AlternateContent xmlns:mc="http://schemas.openxmlformats.org/markup-compatibility/2006">
      <mc:Choice Requires="x14">
        <control shapeId="2247682" r:id="rId6" name="CommandButton2">
          <controlPr autoLine="0" r:id="rId7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3"/>
  <sheetViews>
    <sheetView showRuler="0" view="pageBreakPreview" zoomScale="60" zoomScaleNormal="60" workbookViewId="0">
      <pane ySplit="1" topLeftCell="A14" activePane="bottomLeft" state="frozen"/>
      <selection activeCell="AA15" sqref="AA15"/>
      <selection pane="bottomLeft" activeCell="AA15" sqref="AA15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1.0658000000000001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1.0647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1.0636000000000001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1.0602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1.0590999999999999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1.0546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1.0512999999999999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1.0502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1.0489999999999999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1.0479000000000001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1.0468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1.0457000000000001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1.0446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1.0434000000000001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1.0411999999999999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1.0401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1.0389999999999999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1.0378000000000001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1.0367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1.0356000000000001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1.0345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1.0334000000000001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1.0322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1.0310999999999999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1.03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1.0288999999999999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1.0278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1.0266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1.0255000000000001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1.0244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1.0233000000000001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1.0222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1.0209999999999999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1.0199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1.0187999999999999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1.0177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1.0165999999999999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1.0154000000000001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1.0143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7.399999999999999" thickTop="1" thickBot="1">
      <c r="A52" s="48">
        <v>51</v>
      </c>
      <c r="B52" s="49"/>
      <c r="C52" s="49"/>
      <c r="D52" s="49"/>
      <c r="E52" s="49"/>
      <c r="F52" s="49"/>
      <c r="G52" s="49"/>
      <c r="H52" s="49"/>
      <c r="I52" s="49">
        <v>1.0132000000000001</v>
      </c>
      <c r="J52" s="49"/>
      <c r="U52" s="8"/>
    </row>
    <row r="53" spans="1:24" ht="17.399999999999999" thickTop="1" thickBot="1">
      <c r="A53" s="48">
        <v>52</v>
      </c>
      <c r="I53" s="47">
        <v>1.0121</v>
      </c>
      <c r="U53" s="8"/>
    </row>
    <row r="54" spans="1:24" ht="17.399999999999999" thickTop="1" thickBot="1">
      <c r="A54" s="48">
        <v>53</v>
      </c>
      <c r="I54" s="47">
        <v>1.0109999999999999</v>
      </c>
      <c r="U54" s="8"/>
    </row>
    <row r="55" spans="1:24" ht="17.399999999999999" thickTop="1" thickBot="1">
      <c r="A55" s="48">
        <v>54</v>
      </c>
      <c r="I55" s="47">
        <v>1.0098</v>
      </c>
      <c r="U55" s="8"/>
    </row>
    <row r="56" spans="1:24" ht="17.399999999999999" thickTop="1" thickBot="1">
      <c r="A56" s="48">
        <v>55</v>
      </c>
      <c r="I56" s="47">
        <v>1.0086999999999999</v>
      </c>
      <c r="U56" s="8"/>
    </row>
    <row r="57" spans="1:24" ht="17.399999999999999" thickTop="1" thickBot="1">
      <c r="A57" s="48">
        <v>56</v>
      </c>
      <c r="I57" s="47">
        <v>1.0076000000000001</v>
      </c>
      <c r="U57" s="8"/>
    </row>
    <row r="58" spans="1:24" ht="17.399999999999999" thickTop="1" thickBot="1">
      <c r="A58" s="48">
        <v>57</v>
      </c>
      <c r="I58" s="47">
        <v>1.0065</v>
      </c>
      <c r="U58" s="8"/>
    </row>
    <row r="59" spans="1:24" ht="17.399999999999999" thickTop="1" thickBot="1">
      <c r="A59" s="48">
        <v>58</v>
      </c>
      <c r="I59" s="47">
        <v>1.0054000000000001</v>
      </c>
      <c r="U59" s="8"/>
    </row>
    <row r="60" spans="1:24" ht="17.399999999999999" thickTop="1" thickBot="1">
      <c r="A60" s="48">
        <v>59</v>
      </c>
      <c r="I60" s="47">
        <v>1.0042</v>
      </c>
      <c r="U60" s="8"/>
    </row>
    <row r="61" spans="1:24" ht="17.399999999999999" thickTop="1" thickBot="1">
      <c r="A61" s="48">
        <v>60</v>
      </c>
      <c r="I61" s="47">
        <v>1.0031000000000001</v>
      </c>
      <c r="U61" s="8"/>
    </row>
    <row r="62" spans="1:24" ht="16.8" thickTop="1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</sheetData>
  <phoneticPr fontId="2" type="noConversion"/>
  <pageMargins left="0.42" right="0.2" top="0.36" bottom="0.43" header="0.5" footer="0.5"/>
  <pageSetup paperSize="9" scale="41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8">
    <pageSetUpPr fitToPage="1"/>
  </sheetPr>
  <dimension ref="A1:CU223"/>
  <sheetViews>
    <sheetView view="pageBreakPreview" topLeftCell="A3" zoomScale="59" zoomScaleNormal="100" zoomScaleSheetLayoutView="59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46142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47" t="s" ph="1">
        <v>177</v>
      </c>
      <c r="D6" s="71">
        <v>7087</v>
      </c>
      <c r="E6" s="71">
        <v>6536</v>
      </c>
      <c r="F6" s="71">
        <v>5830</v>
      </c>
      <c r="G6" s="71">
        <v>6424</v>
      </c>
      <c r="H6" s="71">
        <v>1241</v>
      </c>
      <c r="I6" s="71">
        <v>7.0000000000000007E-2</v>
      </c>
      <c r="J6" s="71">
        <v>6.38</v>
      </c>
      <c r="K6" s="71">
        <v>62.69</v>
      </c>
      <c r="L6" s="71">
        <v>8</v>
      </c>
      <c r="M6" s="71">
        <v>489</v>
      </c>
      <c r="N6" s="71">
        <v>3165</v>
      </c>
      <c r="O6" s="71">
        <v>5096</v>
      </c>
      <c r="P6" s="71">
        <v>1095</v>
      </c>
      <c r="Q6" s="71">
        <v>129</v>
      </c>
      <c r="R6" s="71">
        <v>7138</v>
      </c>
      <c r="S6" s="71">
        <v>6238</v>
      </c>
      <c r="T6" s="71">
        <v>7162</v>
      </c>
      <c r="U6" s="71">
        <v>7014</v>
      </c>
      <c r="V6" s="71">
        <v>6635</v>
      </c>
      <c r="W6" s="71">
        <v>4560</v>
      </c>
      <c r="X6" s="71">
        <v>4929</v>
      </c>
      <c r="Y6" s="71">
        <v>0</v>
      </c>
      <c r="Z6" s="71">
        <v>6054</v>
      </c>
      <c r="AA6" s="71">
        <v>6563</v>
      </c>
      <c r="AB6" s="71">
        <v>3494</v>
      </c>
      <c r="AC6" s="71">
        <v>7469</v>
      </c>
      <c r="AD6" s="71">
        <v>1800</v>
      </c>
      <c r="AE6" s="71">
        <v>4505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222642.87752754</v>
      </c>
      <c r="E7" s="73" ph="1">
        <f>E6*51.53*LOOKUP(E8,密度!$A$2:$A$50,密度!$B$2:$B$50)</f>
        <v>263478.70258400001</v>
      </c>
      <c r="F7" s="73" ph="1">
        <f>F6*33.183*LOOKUP(F8,密度!$A$2:$A$50,密度!$C$2:$C$50)</f>
        <v>215104.715991</v>
      </c>
      <c r="G7" s="73" ph="1">
        <f xml:space="preserve"> (G6+2)*51.53*LOOKUP(G8,密度!$A$2:$A$50,密度!$B$2:$B$50)</f>
        <v>258746.37289200001</v>
      </c>
      <c r="H7" s="73" ph="1">
        <f>(H6)*51.53*LOOKUP(H8,密度!$A$2:$A$50,密度!$B$2:$B$50)</f>
        <v>50244.517160999996</v>
      </c>
      <c r="I7" s="73" ph="1">
        <f>I6*290.8*1.0267</f>
        <v>20.8995052</v>
      </c>
      <c r="J7" s="73" ph="1">
        <f>J6*290.8*0.7892</f>
        <v>1464.2059168000001</v>
      </c>
      <c r="K7" s="73" ph="1">
        <f>K6*290.8*1.1126</f>
        <v>20282.9783752</v>
      </c>
      <c r="L7" s="73" ph="1">
        <f>L6*290.8*0.777</f>
        <v>1807.6128000000001</v>
      </c>
      <c r="M7" s="73" ph="1">
        <f>M6*33.183*LOOKUP(M8,密度!$A$2:$A$50,密度!$D$2:$D$50)</f>
        <v>16721.394853499998</v>
      </c>
      <c r="N7" s="73" ph="1">
        <f>N6*33.183*LOOKUP(N8,密度!$A$2:$A$50,密度!$E$2:$E$50)</f>
        <v>82380.978557999988</v>
      </c>
      <c r="O7" s="73" ph="1">
        <f>O6*20.428*LOOKUP(O8,密度!$A$2:$A$50,密度!$C$2:$C$50)</f>
        <v>115281.5448512</v>
      </c>
      <c r="P7" s="73" ph="1">
        <f>P6*51.53*LOOKUP(P8,密度!$A$2:$A$50,密度!$B$2:$B$50)</f>
        <v>44243.116934999998</v>
      </c>
      <c r="Q7" s="73" ph="1">
        <f>Q6*1.5*1.5*3.1416*LOOKUP(W8,密度!$A$2:$A$50,密度!$L$2:$L$50)</f>
        <v>857.13843599999996</v>
      </c>
      <c r="R7" s="73" ph="1">
        <f>R6*1.5*1.5*3.1416*LOOKUP(R8,密度!$A$2:$A$50,密度!$L$2:$L$50)</f>
        <v>47125.592791200004</v>
      </c>
      <c r="S7" s="73" ph="1">
        <f>S6*1.5*1.5*3.1416*LOOKUP(S8,密度!$A$2:$A$50,密度!$L$2:$L$50)</f>
        <v>41536.479045599997</v>
      </c>
      <c r="T7" s="73" ph="1">
        <f>T6*1.5*1.5*3.1416*LOOKUP(T8,密度!$A$2:$A$50,密度!$L$2:$L$50)</f>
        <v>47790.295660799995</v>
      </c>
      <c r="U7" s="73" ph="1">
        <f>U6*1.5*1.5*3.1416*LOOKUP(U8,密度!$A$2:$A$50,密度!$L$2:$L$50)</f>
        <v>46505.252455199996</v>
      </c>
      <c r="V7" s="73" ph="1">
        <f>V6*1.5*1.5*3.1416*LOOKUP(V8,密度!$A$2:$A$50,密度!$L$2:$L$50)</f>
        <v>43851.650535000001</v>
      </c>
      <c r="W7" s="73" ph="1">
        <f>W6*1.5*1.5*3.1416*LOOKUP(W8,密度!$A$2:$A$50,密度!$L$2:$L$50)</f>
        <v>30298.847039999997</v>
      </c>
      <c r="X7" s="73" ph="1">
        <f>X6*1.5*1.5*3.1416*LOOKUP(X8,密度!$A$2:$A$50,密度!$L$2:$L$50)</f>
        <v>33064.231800599999</v>
      </c>
      <c r="Y7" s="73" ph="1">
        <f>Y6*1.5*1.5*3.1416*LOOKUP(Y8,密度!$A$2:$A$50,密度!$L$2:$L$50)</f>
        <v>0</v>
      </c>
      <c r="Z7" s="73" ph="1">
        <f>Z6*33.183*LOOKUP(Z8,密度!$A$2:$A$50,密度!$L$2:$L$50)</f>
        <v>189037.37896199999</v>
      </c>
      <c r="AA7" s="73" ph="1">
        <f>AA6*33.183*LOOKUP(AA8,密度!$A$2:$A$50,密度!$D$2:$D$50)</f>
        <v>224422.3198845</v>
      </c>
      <c r="AB7" s="73" ph="1">
        <f>AB6*20.428*LOOKUP(AB8,密度!$A$2:$A$50,密度!$D$2:$D$50)</f>
        <v>73795.059144800005</v>
      </c>
      <c r="AC7" s="73" ph="1">
        <f>AC6*51.53*LOOKUP(AC8,密度!$A$2:$A$50,密度!$Q$2:$Q$50)</f>
        <v>365779.9449766</v>
      </c>
      <c r="AD7" s="73" ph="1">
        <f>AD6*20.428*LOOKUP(AD8,密度!$A$2:$A$50,密度!$V$2:$V$50)</f>
        <v>35446.6656</v>
      </c>
      <c r="AE7" s="73" ph="1">
        <f>AE6*20.428</f>
        <v>92028.14</v>
      </c>
    </row>
    <row r="8" spans="1:99" ph="1">
      <c r="B8" s="241" ph="1"/>
      <c r="C8" s="68" t="s" ph="1">
        <v>179</v>
      </c>
      <c r="D8" s="74">
        <v>25</v>
      </c>
      <c r="E8" s="74">
        <v>22</v>
      </c>
      <c r="F8" s="74">
        <v>21</v>
      </c>
      <c r="G8" s="74">
        <v>23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21</v>
      </c>
      <c r="N8" s="74">
        <v>24</v>
      </c>
      <c r="O8" s="74">
        <v>27</v>
      </c>
      <c r="P8" s="74">
        <v>20</v>
      </c>
      <c r="Q8" s="74">
        <v>24</v>
      </c>
      <c r="R8" s="74">
        <v>28</v>
      </c>
      <c r="S8" s="74">
        <v>20</v>
      </c>
      <c r="T8" s="74">
        <v>18</v>
      </c>
      <c r="U8" s="74">
        <v>24</v>
      </c>
      <c r="V8" s="74">
        <v>27</v>
      </c>
      <c r="W8" s="74">
        <v>22</v>
      </c>
      <c r="X8" s="74">
        <v>13</v>
      </c>
      <c r="Y8" s="74">
        <v>20</v>
      </c>
      <c r="Z8" s="74">
        <v>21</v>
      </c>
      <c r="AA8" s="74">
        <v>21</v>
      </c>
      <c r="AB8" s="74">
        <v>17</v>
      </c>
      <c r="AC8" s="74">
        <v>20</v>
      </c>
      <c r="AD8" s="74">
        <v>20</v>
      </c>
      <c r="AE8" s="74">
        <v>24</v>
      </c>
    </row>
    <row r="9" spans="1:99" ht="26.4" ph="1">
      <c r="B9" s="241" ph="1">
        <v>0.66666666666666663</v>
      </c>
      <c r="C9" s="147" t="s" ph="1">
        <v>180</v>
      </c>
      <c r="D9" s="71">
        <v>7087</v>
      </c>
      <c r="E9" s="71">
        <v>6648</v>
      </c>
      <c r="F9" s="71">
        <v>5829</v>
      </c>
      <c r="G9" s="71">
        <v>5458</v>
      </c>
      <c r="H9" s="71">
        <v>2917</v>
      </c>
      <c r="I9" s="71">
        <v>7.0000000000000007E-2</v>
      </c>
      <c r="J9" s="71">
        <v>6.35</v>
      </c>
      <c r="K9" s="71">
        <v>62.75</v>
      </c>
      <c r="L9" s="71">
        <v>35.590000000000003</v>
      </c>
      <c r="M9" s="71">
        <v>489</v>
      </c>
      <c r="N9" s="71">
        <v>3165</v>
      </c>
      <c r="O9" s="71">
        <v>4300</v>
      </c>
      <c r="P9" s="71">
        <v>506</v>
      </c>
      <c r="Q9" s="71">
        <v>0</v>
      </c>
      <c r="R9" s="71">
        <v>2264</v>
      </c>
      <c r="S9" s="71">
        <v>6235</v>
      </c>
      <c r="T9" s="71">
        <v>7159</v>
      </c>
      <c r="U9" s="71">
        <v>7010</v>
      </c>
      <c r="V9" s="71">
        <v>6632</v>
      </c>
      <c r="W9" s="71">
        <v>7008</v>
      </c>
      <c r="X9" s="71">
        <v>7073</v>
      </c>
      <c r="Y9" s="71">
        <v>777</v>
      </c>
      <c r="Z9" s="71">
        <v>3760</v>
      </c>
      <c r="AA9" s="71">
        <v>6562</v>
      </c>
      <c r="AB9" s="71">
        <v>3493</v>
      </c>
      <c r="AC9" s="71">
        <v>7572</v>
      </c>
      <c r="AD9" s="71">
        <v>1800</v>
      </c>
      <c r="AE9" s="71">
        <v>4420</v>
      </c>
    </row>
    <row r="10" spans="1:99" s="72" customFormat="1" ht="22.2" ph="1">
      <c r="B10" s="241" ph="1"/>
      <c r="C10" s="147" t="s" ph="1">
        <v>178</v>
      </c>
      <c r="D10" s="73" ph="1">
        <f>D9*33.183*LOOKUP(D11,密度!$A$2:$A$50,密度!$Q$2:$Q$50)</f>
        <v>222814.55010987</v>
      </c>
      <c r="E10" s="73" ph="1">
        <f>E9*51.53*LOOKUP(E11,密度!$A$2:$A$50,密度!$B$2:$B$50)</f>
        <v>267993.63751199999</v>
      </c>
      <c r="F10" s="73" ph="1">
        <f>F9*33.183*LOOKUP(F11,密度!$A$2:$A$50,密度!$C$2:$C$50)</f>
        <v>215067.81981330001</v>
      </c>
      <c r="G10" s="73" ph="1">
        <f xml:space="preserve"> (G9+2)*51.53*LOOKUP(G11,密度!$A$2:$A$50,密度!$B$2:$B$50)</f>
        <v>219596.64089999997</v>
      </c>
      <c r="H10" s="73" ph="1">
        <f>(H9)*51.53*LOOKUP(H11,密度!$A$2:$A$50,密度!$B$2:$B$50)</f>
        <v>117860.43114100001</v>
      </c>
      <c r="I10" s="73" ph="1">
        <f>I9*290.8*1.0267</f>
        <v>20.8995052</v>
      </c>
      <c r="J10" s="73" ph="1">
        <f>J9*290.8*0.7892</f>
        <v>1457.3209360000001</v>
      </c>
      <c r="K10" s="73" ph="1">
        <f>K9*290.8*1.1126</f>
        <v>20302.391020000003</v>
      </c>
      <c r="L10" s="73" ph="1">
        <f>L9*290.8*0.777</f>
        <v>8041.6174440000013</v>
      </c>
      <c r="M10" s="73" ph="1">
        <f>M9*33.183*LOOKUP(M11,密度!$A$2:$A$50,密度!$D$2:$D$50)</f>
        <v>16705.168366500002</v>
      </c>
      <c r="N10" s="73" ph="1">
        <f>N9*33.183*LOOKUP(N11,密度!$A$2:$A$50,密度!$E$2:$E$50)</f>
        <v>82380.978557999988</v>
      </c>
      <c r="O10" s="73" ph="1">
        <f>O9*20.428*LOOKUP(O11,密度!$A$2:$A$50,密度!$C$2:$C$50)</f>
        <v>97406.219560000012</v>
      </c>
      <c r="P10" s="73" ph="1">
        <f>P9*51.53*LOOKUP(P11,密度!$A$2:$A$50,密度!$B$2:$B$50)</f>
        <v>20444.764537999999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14947.091913600001</v>
      </c>
      <c r="S10" s="73" ph="1">
        <f>S9*1.5*1.5*3.1416*LOOKUP(S11,密度!$A$2:$A$50,密度!$L$2:$L$50)</f>
        <v>41516.503181999993</v>
      </c>
      <c r="T10" s="73" ph="1">
        <f>T9*1.5*1.5*3.1416*LOOKUP(T11,密度!$A$2:$A$50,密度!$L$2:$L$50)</f>
        <v>47669.069170800001</v>
      </c>
      <c r="U10" s="73" ph="1">
        <f>U9*1.5*1.5*3.1416*LOOKUP(U11,密度!$A$2:$A$50,密度!$L$2:$L$50)</f>
        <v>46528.281953999998</v>
      </c>
      <c r="V10" s="73" ph="1">
        <f>V9*1.5*1.5*3.1416*LOOKUP(V11,密度!$A$2:$A$50,密度!$L$2:$L$50)</f>
        <v>43784.944156799997</v>
      </c>
      <c r="W10" s="73" ph="1">
        <f>W9*1.5*1.5*3.1416*LOOKUP(W11,密度!$A$2:$A$50,密度!$L$2:$L$50)</f>
        <v>46564.543872000002</v>
      </c>
      <c r="X10" s="73" ph="1">
        <f>X9*1.5*1.5*3.1416*LOOKUP(X11,密度!$A$2:$A$50,密度!$L$2:$L$50)</f>
        <v>47346.408786599997</v>
      </c>
      <c r="Y10" s="73" ph="1">
        <f>Y9*1.5*1.5*3.1416*LOOKUP(Y11,密度!$A$2:$A$50,密度!$L$2:$L$50)</f>
        <v>5173.7486724</v>
      </c>
      <c r="Z10" s="73" ph="1">
        <f>Z9*33.183*LOOKUP(Z11,密度!$A$2:$A$50,密度!$L$2:$L$50)</f>
        <v>117531.53135999999</v>
      </c>
      <c r="AA10" s="73" ph="1">
        <f>AA9*33.183*LOOKUP(AA11,密度!$A$2:$A$50,密度!$D$2:$D$50)</f>
        <v>223974.40579559997</v>
      </c>
      <c r="AB10" s="73" ph="1">
        <f>AB9*20.428*LOOKUP(AB11,密度!$A$2:$A$50,密度!$D$2:$D$50)</f>
        <v>73716.854632399991</v>
      </c>
      <c r="AC10" s="73" ph="1">
        <f>AC9*51.53*LOOKUP(AC11,密度!$A$2:$A$50,密度!$Q$2:$Q$50)</f>
        <v>370824.17236080003</v>
      </c>
      <c r="AD10" s="73" ph="1">
        <f>AD9*20.428*LOOKUP(AD11,密度!$A$2:$A$50,密度!$V$2:$V$50)</f>
        <v>35329.000319999999</v>
      </c>
      <c r="AE10" s="73" ph="1">
        <f>AE9*20.428</f>
        <v>90291.760000000009</v>
      </c>
    </row>
    <row r="11" spans="1:99" ph="1">
      <c r="A11" s="64" t="s" ph="1">
        <v>162</v>
      </c>
      <c r="B11" s="241" ph="1"/>
      <c r="C11" s="147" t="s" ph="1">
        <v>179</v>
      </c>
      <c r="D11" s="74">
        <v>24</v>
      </c>
      <c r="E11" s="74">
        <v>22</v>
      </c>
      <c r="F11" s="74">
        <v>21</v>
      </c>
      <c r="G11" s="74">
        <v>24</v>
      </c>
      <c r="H11" s="74">
        <v>20</v>
      </c>
      <c r="I11" s="74">
        <v>25</v>
      </c>
      <c r="J11" s="74">
        <v>25</v>
      </c>
      <c r="K11" s="74">
        <v>25</v>
      </c>
      <c r="L11" s="74">
        <v>25</v>
      </c>
      <c r="M11" s="74">
        <v>22</v>
      </c>
      <c r="N11" s="74">
        <v>24</v>
      </c>
      <c r="O11" s="74">
        <v>25</v>
      </c>
      <c r="P11" s="74">
        <v>20</v>
      </c>
      <c r="Q11" s="74">
        <v>24</v>
      </c>
      <c r="R11" s="74">
        <v>28</v>
      </c>
      <c r="S11" s="74">
        <v>20</v>
      </c>
      <c r="T11" s="74">
        <v>20</v>
      </c>
      <c r="U11" s="74">
        <v>23</v>
      </c>
      <c r="V11" s="74">
        <v>28</v>
      </c>
      <c r="W11" s="74">
        <v>22</v>
      </c>
      <c r="X11" s="74">
        <v>15</v>
      </c>
      <c r="Y11" s="74">
        <v>20</v>
      </c>
      <c r="Z11" s="74">
        <v>20</v>
      </c>
      <c r="AA11" s="74">
        <v>23</v>
      </c>
      <c r="AB11" s="74">
        <v>18</v>
      </c>
      <c r="AC11" s="74">
        <v>20</v>
      </c>
      <c r="AD11" s="74">
        <v>21</v>
      </c>
      <c r="AE11" s="74">
        <v>25</v>
      </c>
    </row>
    <row r="12" spans="1:99" ht="9.9" customHeight="1" ph="1"/>
    <row r="13" spans="1:99" s="72" customFormat="1" ht="29.25" customHeight="1" ph="1">
      <c r="B13" s="218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47" t="s" ph="1">
        <v>177</v>
      </c>
      <c r="D15" s="78">
        <v>2333</v>
      </c>
      <c r="E15" s="78">
        <v>124</v>
      </c>
      <c r="F15" s="78">
        <v>2092</v>
      </c>
      <c r="G15" s="78">
        <v>4170</v>
      </c>
      <c r="H15" s="78">
        <v>0</v>
      </c>
      <c r="I15" s="78">
        <v>5073</v>
      </c>
      <c r="J15" s="78">
        <v>548</v>
      </c>
      <c r="K15" s="78">
        <v>5009</v>
      </c>
      <c r="L15" s="78">
        <v>3199</v>
      </c>
      <c r="M15" s="78">
        <v>0</v>
      </c>
      <c r="N15" s="78">
        <v>264</v>
      </c>
      <c r="O15" s="78">
        <v>4738</v>
      </c>
      <c r="P15" s="78">
        <v>655</v>
      </c>
      <c r="Q15" s="78">
        <v>983</v>
      </c>
      <c r="R15" s="78">
        <v>0</v>
      </c>
      <c r="S15" s="78">
        <v>6460</v>
      </c>
      <c r="T15" s="78">
        <v>3790</v>
      </c>
      <c r="U15" s="78">
        <v>1719</v>
      </c>
      <c r="V15" s="78">
        <v>1662</v>
      </c>
      <c r="W15" s="71">
        <v>-172</v>
      </c>
      <c r="X15" s="78">
        <v>-143</v>
      </c>
      <c r="Y15" s="106">
        <v>-9904</v>
      </c>
      <c r="Z15" s="78">
        <v>0</v>
      </c>
      <c r="AA15" s="78">
        <v>4308</v>
      </c>
      <c r="AB15" s="78" ph="1">
        <v>1072</v>
      </c>
      <c r="AC15" s="78" ph="1">
        <v>20</v>
      </c>
      <c r="AD15" s="78">
        <v>5.68</v>
      </c>
      <c r="AE15" s="78">
        <v>52.54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47" t="s" ph="1">
        <v>178</v>
      </c>
      <c r="D16" s="73" ph="1">
        <f>D15*7.0686*LOOKUP(D17,密度!$A$2:$A$50,密度!$L$2:$L$50)</f>
        <v>15534.563259599998</v>
      </c>
      <c r="E16" s="73" ph="1">
        <f>E15*7.0686*LOOKUP(E17,密度!$A$2:$A$50,密度!$L$2:$L$50)</f>
        <v>825.66902879999998</v>
      </c>
      <c r="F16" s="73" ph="1">
        <f>F15*9.0746*LOOKUP(F17,密度!$A$2:$A$50,密度!$L$2:$L$50)</f>
        <v>17807.051281600001</v>
      </c>
      <c r="G16" s="73" ph="1">
        <f>G15*9.0746*LOOKUP(G17,密度!$A$2:$A$50,密度!$B$2:$B$50)</f>
        <v>29603.078448600001</v>
      </c>
      <c r="H16" s="73" ph="1">
        <f>H15*9.0746*LOOKUP(H17,密度!$A$2:$A$50,密度!$L$2:$L$50)</f>
        <v>0</v>
      </c>
      <c r="I16" s="73" ph="1">
        <f>I15*9.0746*LOOKUP(I17,密度!$A$2:$A$50,密度!$U$2:$U$50)</f>
        <v>47324.438282400006</v>
      </c>
      <c r="J16" s="73" ph="1">
        <f>J15*9.0746*LOOKUP(J17,密度!$A$2:$A$50,密度!$L$2:$L$50)</f>
        <v>4679.4808327999999</v>
      </c>
      <c r="K16" s="73" ph="1">
        <f>K15*9.0746*LOOKUP(K17,密度!$A$2:$A$50,密度!$C$2:$C$50)</f>
        <v>50504.685392539999</v>
      </c>
      <c r="L16" s="73" ph="1">
        <f>L15*9.0746*LOOKUP(L17,密度!$A$2:$A$50,密度!$E$2:$E$50)</f>
        <v>22805.689426239998</v>
      </c>
      <c r="M16" s="73" ph="1">
        <f>M15*9.0746*LOOKUP(M17,密度!$A$2:$A$50,密度!$M$2:$M$50)</f>
        <v>0</v>
      </c>
      <c r="N16" s="73" ph="1">
        <f>N15*9.0746*LOOKUP(N17,密度!$A$2:$A$50,密度!$M$2:$M$50)</f>
        <v>2108.9297803199997</v>
      </c>
      <c r="O16" s="73" ph="1">
        <f>O15*9.0746*LOOKUP(O17,密度!$A$2:$A$50,密度!$G$2:$G$50)</f>
        <v>41327.231153760004</v>
      </c>
      <c r="P16" s="73" ph="1">
        <f ca="1">P15*9.0746*LOOKUP(P17,密度!$A$2:$A$51,密度!$Q$2:$Q$50)</f>
        <v>5648.9285179400003</v>
      </c>
      <c r="Q16" s="73" ph="1">
        <f>Q15*9.0746*LOOKUP(Q17,密度!$A$2:$A$50,密度!$Q$2:$Q$50)</f>
        <v>8477.7049360839992</v>
      </c>
      <c r="R16" s="73" ph="1">
        <f>MAX(R15*9.0746*LOOKUP(R17,密度!$A$2:$A$50,密度!$B$2:$B$50),0)</f>
        <v>0</v>
      </c>
      <c r="S16" s="73" ph="1">
        <f>S15*9.0746*LOOKUP(S17,密度!$A$2:$A$50,密度!$Q$2:$Q$50)</f>
        <v>55585.300751200004</v>
      </c>
      <c r="T16" s="73" ph="1">
        <f>T15*9.0746*LOOKUP(T17,密度!$A$2:$A$50,密度!$O$2:$O$50)</f>
        <v>31985.242620000005</v>
      </c>
      <c r="U16" s="73" ph="1">
        <f>U15*9.0746*LOOKUP(U17,密度!$A$2:$A$50,密度!$H$2:$H$50)</f>
        <v>14346.61863678</v>
      </c>
      <c r="V16" s="73" ph="1">
        <f>MAX(5600*LOOKUP(V17,密度!$A$2:$A$50,密度!$Q$2:$Q$50)+V15*9.0476*LOOKUP(V17,密度!$A$2:$A$50,密度!$Q$2:$Q$50),0)</f>
        <v>19568.108839840002</v>
      </c>
      <c r="W16" s="73" ph="1">
        <f>MAX(5600*LOOKUP(W17,密度!$A$2:$A$50,密度!$Q$2:$Q$50)+W15*9.0476*LOOKUP(W17,密度!$A$2:$A$50,密度!$Q$2:$Q$50),0)</f>
        <v>3837.9422903519999</v>
      </c>
      <c r="X16" s="73" ph="1">
        <f>MAX(5600*LOOKUP(X17,密度!$A$2:$A$50,密度!$I$2:$I$50)+X15*9.0476*LOOKUP(X17,密度!$A$2:$A$50,密度!$I$2:$I$50),0)</f>
        <v>4498.2494167200002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30375.553773600001</v>
      </c>
      <c r="AB16" s="73" ph="1">
        <f>AB15*9.0746*LOOKUP(AB17,密度!$A$2:$A$50,密度!$L$2:$L$50)</f>
        <v>9154.0208991999989</v>
      </c>
      <c r="AC16" s="73" ph="1">
        <f>AC15*9.0746*LOOKUP(AC17,密度!$A$2:$A$50,密度!$L$2:$L$50)</f>
        <v>170.965464</v>
      </c>
      <c r="AD16" s="73" ph="1">
        <f>AD15*268.68*LOOKUP(AD17,密度!$A$2:$A$50,密度!B2:B50)+IF(AD15&lt;=0,0,1566*LOOKUP(AD17,密度!$A$2:$A$50,密度!B2:B50))</f>
        <v>2410.6030310400001</v>
      </c>
      <c r="AE16" s="73" ph="1">
        <f>AE15*268.68*LOOKUP(AE17,密度!$A$2:$A$50,密度!B2:B50)+IF(AE15&lt;=0,0,1566*LOOKUP(AE17,密度!$A$2:$A$50,密度!B2:B50))</f>
        <v>12226.03583712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20</v>
      </c>
      <c r="E17" s="74">
        <v>20</v>
      </c>
      <c r="F17" s="74">
        <v>24</v>
      </c>
      <c r="G17" s="74">
        <v>22</v>
      </c>
      <c r="H17" s="74">
        <v>15</v>
      </c>
      <c r="I17" s="74">
        <v>20</v>
      </c>
      <c r="J17" s="74">
        <v>21</v>
      </c>
      <c r="K17" s="74">
        <v>22</v>
      </c>
      <c r="L17" s="74">
        <v>23</v>
      </c>
      <c r="M17" s="74">
        <v>21</v>
      </c>
      <c r="N17" s="74">
        <v>20</v>
      </c>
      <c r="O17" s="74">
        <v>24</v>
      </c>
      <c r="P17" s="74">
        <v>20</v>
      </c>
      <c r="Q17" s="74">
        <v>20</v>
      </c>
      <c r="R17" s="74">
        <v>22</v>
      </c>
      <c r="S17" s="74">
        <v>23</v>
      </c>
      <c r="T17" s="74">
        <v>23</v>
      </c>
      <c r="U17" s="74">
        <v>20</v>
      </c>
      <c r="V17" s="74">
        <v>23</v>
      </c>
      <c r="W17" s="74">
        <v>22</v>
      </c>
      <c r="X17" s="74">
        <v>23</v>
      </c>
      <c r="Y17" s="108">
        <v>23</v>
      </c>
      <c r="Z17" s="74">
        <v>21</v>
      </c>
      <c r="AA17" s="74">
        <v>28</v>
      </c>
      <c r="AB17" s="74">
        <v>21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1953</v>
      </c>
      <c r="E18" s="71">
        <v>62</v>
      </c>
      <c r="F18" s="71">
        <v>2091</v>
      </c>
      <c r="G18" s="71">
        <v>3640</v>
      </c>
      <c r="H18" s="71">
        <v>0</v>
      </c>
      <c r="I18" s="71">
        <v>5072</v>
      </c>
      <c r="J18" s="71">
        <v>548</v>
      </c>
      <c r="K18" s="71">
        <v>5008</v>
      </c>
      <c r="L18" s="71">
        <v>3197</v>
      </c>
      <c r="M18" s="71">
        <v>1066</v>
      </c>
      <c r="N18" s="71">
        <v>1595</v>
      </c>
      <c r="O18" s="71">
        <v>4736</v>
      </c>
      <c r="P18" s="71">
        <v>655</v>
      </c>
      <c r="Q18" s="71">
        <v>981</v>
      </c>
      <c r="R18" s="71">
        <v>0</v>
      </c>
      <c r="S18" s="71">
        <v>6458</v>
      </c>
      <c r="T18" s="71">
        <v>3787</v>
      </c>
      <c r="U18" s="71">
        <v>1710</v>
      </c>
      <c r="V18" s="71">
        <v>1661</v>
      </c>
      <c r="W18" s="71">
        <v>-172</v>
      </c>
      <c r="X18" s="71">
        <v>-143</v>
      </c>
      <c r="Y18" s="109">
        <v>-9904</v>
      </c>
      <c r="Z18" s="71">
        <v>0</v>
      </c>
      <c r="AA18" s="71">
        <v>2730</v>
      </c>
      <c r="AB18" s="71">
        <v>1071</v>
      </c>
      <c r="AC18" s="71">
        <v>22</v>
      </c>
      <c r="AD18" s="71">
        <v>23.84</v>
      </c>
      <c r="AE18" s="71">
        <v>84.71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47" t="s" ph="1">
        <v>178</v>
      </c>
      <c r="D19" s="73" ph="1">
        <f>D18*7.0686*LOOKUP(D20,密度!$A$2:$A$50,密度!$L$2:$L$50)</f>
        <v>12976.677251999999</v>
      </c>
      <c r="E19" s="73" ph="1">
        <f>E18*7.0686*LOOKUP(E20,密度!$A$2:$A$50,密度!$L$2:$L$50)</f>
        <v>412.39626119999997</v>
      </c>
      <c r="F19" s="73" ph="1">
        <f>F18*9.0746*LOOKUP(F20,密度!$A$2:$A$50,密度!$L$2:$L$50)</f>
        <v>17779.564318200002</v>
      </c>
      <c r="G19" s="73" ph="1">
        <f>G18*9.0746*LOOKUP(G20,密度!$A$2:$A$50,密度!$B$2:$B$50)</f>
        <v>25810.848481600002</v>
      </c>
      <c r="H19" s="73" ph="1">
        <f>H18*9.0746*LOOKUP(H20,密度!$A$2:$A$50,密度!$L$2:$L$50)</f>
        <v>0</v>
      </c>
      <c r="I19" s="73" ph="1">
        <f>I18*9.0746*LOOKUP(I20,密度!$A$2:$A$50,密度!$U$2:$U$50)</f>
        <v>47315.109593600006</v>
      </c>
      <c r="J19" s="73" ph="1">
        <f>J18*9.0746*LOOKUP(J20,密度!$A$2:$A$50,密度!$L$2:$L$50)</f>
        <v>4674.5079519999999</v>
      </c>
      <c r="K19" s="73" ph="1">
        <f>K18*9.0746*LOOKUP(K20,密度!$A$2:$A$50,密度!$C$2:$C$50)</f>
        <v>50494.602604479995</v>
      </c>
      <c r="L19" s="73" ph="1">
        <f>L18*9.0746*LOOKUP(L20,密度!$A$2:$A$50,密度!$E$2:$E$50)</f>
        <v>22791.431414719998</v>
      </c>
      <c r="M19" s="73" ph="1">
        <f>M18*9.0746*LOOKUP(M20,密度!$A$2:$A$50,密度!$M$2:$M$50)</f>
        <v>8483.6801972000012</v>
      </c>
      <c r="N19" s="73" ph="1">
        <f>N18*9.0746*LOOKUP(N20,密度!$A$2:$A$50,密度!$M$2:$M$50)</f>
        <v>12724.081971700001</v>
      </c>
      <c r="O19" s="73" ph="1">
        <f>O18*9.0746*LOOKUP(O20,密度!$A$2:$A$50,密度!$G$2:$G$50)</f>
        <v>41309.786142720004</v>
      </c>
      <c r="P19" s="73" ph="1">
        <f ca="1">P18*9.0746*LOOKUP(P20,密度!$A$2:$A$51,密度!$Q$2:$Q$50)</f>
        <v>5641.2609346700001</v>
      </c>
      <c r="Q19" s="73" ph="1">
        <f>Q18*9.0746*LOOKUP(Q20,密度!$A$2:$A$50,密度!$Q$2:$Q$50)</f>
        <v>8454.3137933939997</v>
      </c>
      <c r="R19" s="73" ph="1">
        <f>MAX(R18*9.0746*LOOKUP(R20,密度!$A$2:$A$50,密度!$B$2:$B$50),0)</f>
        <v>0</v>
      </c>
      <c r="S19" s="73" ph="1">
        <f>S18*9.0746*LOOKUP(S20,密度!$A$2:$A$50,密度!$Q$2:$Q$50)</f>
        <v>55620.249032212007</v>
      </c>
      <c r="T19" s="73" ph="1">
        <f>T18*9.0746*LOOKUP(T20,密度!$A$2:$A$50,密度!$O$2:$O$50)</f>
        <v>31959.924486000007</v>
      </c>
      <c r="U19" s="73" ph="1">
        <f>U18*9.0746*LOOKUP(U20,密度!$A$2:$A$50,密度!$H$2:$H$50)</f>
        <v>14257.5396408</v>
      </c>
      <c r="V19" s="73" ph="1">
        <f>MAX(5600*LOOKUP(V20,密度!$A$2:$A$50,密度!$Q$2:$Q$50)+V18*9.0476*LOOKUP(V20,密度!$A$2:$A$50,密度!$Q$2:$Q$50),0)</f>
        <v>19559.529905520001</v>
      </c>
      <c r="W19" s="73" ph="1">
        <f>MAX(5600*LOOKUP(W20,密度!$A$2:$A$50,密度!$Q$2:$Q$50)+W18*9.0476*LOOKUP(W20,密度!$A$2:$A$50,密度!$Q$2:$Q$50),0)</f>
        <v>3837.9422903519999</v>
      </c>
      <c r="X19" s="73" ph="1">
        <f>MAX(5600*LOOKUP(X20,密度!$A$2:$A$50,密度!$I$2:$I$50)+X18*9.0476*LOOKUP(X20,密度!$A$2:$A$50,密度!$I$2:$I$50),0)</f>
        <v>4493.0819848800011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19271.428558200001</v>
      </c>
      <c r="AB19" s="73" ph="1">
        <f>AB18*9.0746*LOOKUP(AB20,密度!$A$2:$A$50,密度!$L$2:$L$50)</f>
        <v>9145.4817005999994</v>
      </c>
      <c r="AC19" s="73" ph="1">
        <f>AC18*9.0746*LOOKUP(AC20,密度!$A$2:$A$50,密度!$L$2:$L$50)</f>
        <v>188.26165159999999</v>
      </c>
      <c r="AD19" s="73" ph="1">
        <f>AD18*268.68*LOOKUP(AD20,密度!$A$2:$A$50,密度!B5:B53)+IF(AD18&lt;=0,0,1566*LOOKUP(AD20,密度!$A$2:$A$50,密度!B5:B53))</f>
        <v>6193.7243424000008</v>
      </c>
      <c r="AE19" s="73" ph="1">
        <f>AE18*268.68*LOOKUP(AE20,密度!$A$2:$A$50,密度!B5:B53)+IF(AE18&lt;=0,0,1566*LOOKUP(AE20,密度!$A$2:$A$50,密度!B5:B53))</f>
        <v>18901.2109356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22</v>
      </c>
      <c r="E20" s="81">
        <v>21</v>
      </c>
      <c r="F20" s="81">
        <v>25</v>
      </c>
      <c r="G20" s="81">
        <v>23</v>
      </c>
      <c r="H20" s="81">
        <v>17</v>
      </c>
      <c r="I20" s="81">
        <v>21</v>
      </c>
      <c r="J20" s="81">
        <v>22</v>
      </c>
      <c r="K20" s="81">
        <v>22</v>
      </c>
      <c r="L20" s="81">
        <v>23</v>
      </c>
      <c r="M20" s="81">
        <v>23</v>
      </c>
      <c r="N20" s="81">
        <v>21</v>
      </c>
      <c r="O20" s="81">
        <v>24</v>
      </c>
      <c r="P20" s="81">
        <v>22</v>
      </c>
      <c r="Q20" s="81">
        <v>21</v>
      </c>
      <c r="R20" s="81">
        <v>23</v>
      </c>
      <c r="S20" s="81">
        <v>22</v>
      </c>
      <c r="T20" s="81">
        <v>23</v>
      </c>
      <c r="U20" s="81">
        <v>21</v>
      </c>
      <c r="V20" s="81">
        <v>23</v>
      </c>
      <c r="W20" s="81">
        <v>22</v>
      </c>
      <c r="X20" s="81">
        <v>24</v>
      </c>
      <c r="Y20" s="110">
        <v>24</v>
      </c>
      <c r="Z20" s="81">
        <v>24</v>
      </c>
      <c r="AA20" s="81">
        <v>27</v>
      </c>
      <c r="AB20" s="81">
        <v>21</v>
      </c>
      <c r="AC20" s="81">
        <v>19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47" t="s" ph="1">
        <v>177</v>
      </c>
      <c r="D24" s="71">
        <v>51.34</v>
      </c>
      <c r="E24" s="71">
        <v>5.66</v>
      </c>
      <c r="F24" s="71">
        <v>1549</v>
      </c>
      <c r="G24" s="71">
        <v>3109</v>
      </c>
      <c r="H24" s="71">
        <v>3235</v>
      </c>
      <c r="I24" s="71">
        <v>405</v>
      </c>
      <c r="J24" s="71">
        <v>831</v>
      </c>
      <c r="K24" s="71">
        <v>1559</v>
      </c>
      <c r="L24" s="71">
        <v>469</v>
      </c>
      <c r="M24" s="71">
        <v>3229</v>
      </c>
      <c r="N24" s="71">
        <v>4828</v>
      </c>
      <c r="O24" s="71">
        <v>5419</v>
      </c>
      <c r="P24" s="71">
        <v>1161</v>
      </c>
      <c r="Q24" s="90">
        <v>1927</v>
      </c>
      <c r="R24" s="71">
        <v>5193</v>
      </c>
      <c r="S24" s="71">
        <v>2445</v>
      </c>
      <c r="T24" s="71">
        <v>1278</v>
      </c>
      <c r="U24" s="71">
        <v>6318</v>
      </c>
      <c r="V24" s="71">
        <v>4891</v>
      </c>
      <c r="W24" s="71">
        <v>9353</v>
      </c>
      <c r="X24" s="71">
        <v>4186</v>
      </c>
      <c r="Y24" s="71">
        <v>1174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14541.955938288002</v>
      </c>
      <c r="E25" s="91" ph="1">
        <f>E24*268.68*LOOKUP(E26,密度!$A$2:$A$50,密度!$C$2:$C$50)+IF(E24&lt;=0,0,1566*LOOKUP(E26,密度!$A$2:$A$50,密度!$C$2:$C$50))</f>
        <v>3422.87356632</v>
      </c>
      <c r="F25" s="91" ph="1">
        <f>F24*11.702*LOOKUP(F26,密度!$A$2:$A$50,密度!$Q$2:$Q$50)</f>
        <v>17174.218313060002</v>
      </c>
      <c r="G25" s="91" ph="1">
        <f>G24*18.322*LOOKUP(G26,密度!$A$2:$A$50,密度!$B$2:$B$50)</f>
        <v>44408.431200799998</v>
      </c>
      <c r="H25" s="91" ph="1">
        <f>H24*18.322*LOOKUP(H26,密度!$A$2:$A$50,密度!$B$2:$B$50)</f>
        <v>46208.193931999995</v>
      </c>
      <c r="I25" s="91" ph="1">
        <f>I24*18.322*LOOKUP(I26,密度!$A$2:$A$50,密度!$Q$2:$Q$50)</f>
        <v>7030.6158627000004</v>
      </c>
      <c r="J25" s="91" ph="1">
        <f>J24*18.322*LOOKUP(J26,密度!$A$2:$A$50,密度!$Q$2:$Q$50)</f>
        <v>14425.782177539999</v>
      </c>
      <c r="K25" s="91" ph="1">
        <f>K24*18.322*LOOKUP(K26,密度!$A$2:$A$50,密度!$Q$2:$Q$50)</f>
        <v>27042.67946652</v>
      </c>
      <c r="L25" s="91" ph="1">
        <f>L24*18.322*LOOKUP(L26,密度!$A$2:$A$50,密度!$Q$2:$Q$50)</f>
        <v>8135.3538613199999</v>
      </c>
      <c r="M25" s="91" ph="1">
        <f>M24*18.322*LOOKUP(M26,密度!$A$2:$A$50,密度!$Q$2:$Q$50)</f>
        <v>56053.971902860001</v>
      </c>
      <c r="N25" s="91" ph="1">
        <f>N24*18.322*LOOKUP(N26,密度!$A$2:$A$50,密度!$Q$2:$Q$50)</f>
        <v>83955.18785943999</v>
      </c>
      <c r="O25" s="91" ph="1">
        <f>O24*18.322*LOOKUP(O26,密度!$A$2:$A$50,密度!$C$2:$C$50)</f>
        <v>110248.1937472</v>
      </c>
      <c r="P25" s="91" ph="1">
        <f>P24*11.702*LOOKUP(P26,密度!$A$2:$A$50,密度!$B$2:$B$50)</f>
        <v>10616.1175908</v>
      </c>
      <c r="Q25" s="92" ph="1">
        <f>Q24*18.322*LOOKUP(Q26,密度!$A$2:$A$50,密度!$B$2:$B$50)</f>
        <v>27556.718566999996</v>
      </c>
      <c r="R25" s="91" ph="1">
        <f>R24*35.891*LOOKUP(R26,密度!$A$2:$A$50,密度!$C$2:$C$50)</f>
        <v>206809.42614479997</v>
      </c>
      <c r="S25" s="91" ph="1">
        <f>S24*35.891*LOOKUP(S26,密度!$A$2:$A$50,密度!$B$2:$B$50)</f>
        <v>68412.624701999986</v>
      </c>
      <c r="T25" s="91" ph="1">
        <f>T24*35.891*LOOKUP(T26,密度!$A$2:$A$50,密度!$Q$2:$Q$50)</f>
        <v>43492.699443600002</v>
      </c>
      <c r="U25" s="91" ph="1">
        <f>U24*35.891</f>
        <v>226759.33799999999</v>
      </c>
      <c r="V25" s="91" ph="1">
        <f>V24*47.051*LOOKUP(V26,密度!$A$2:$A$50,密度!$B$2:$B$50)</f>
        <v>180235.02859120001</v>
      </c>
      <c r="W25" s="91" ph="1">
        <f>W24*47.051*LOOKUP(W26,密度!$A$2:$A$50,密度!$B$2:$B$50)</f>
        <v>343473.07634149998</v>
      </c>
      <c r="X25" s="91" ph="1">
        <f>X24*47.051*LOOKUP(X26,密度!$A$2:$A$61,密度!$I$2:$I$61)</f>
        <v>204853.40098860001</v>
      </c>
      <c r="Y25" s="91" ph="1">
        <f>Y24*47.051*LOOKUP(Y26,密度!$A$2:$A$50,密度!$L$2:$L$50)</f>
        <v>51757.887938000007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24</v>
      </c>
      <c r="G26" s="74">
        <v>25</v>
      </c>
      <c r="H26" s="74">
        <v>25</v>
      </c>
      <c r="I26" s="74">
        <v>24</v>
      </c>
      <c r="J26" s="74">
        <v>24</v>
      </c>
      <c r="K26" s="74">
        <v>25</v>
      </c>
      <c r="L26" s="74">
        <v>25</v>
      </c>
      <c r="M26" s="74">
        <v>24</v>
      </c>
      <c r="N26" s="74">
        <v>22</v>
      </c>
      <c r="O26" s="74">
        <v>23</v>
      </c>
      <c r="P26" s="74">
        <v>23</v>
      </c>
      <c r="Q26" s="93">
        <v>24</v>
      </c>
      <c r="R26" s="74">
        <v>24</v>
      </c>
      <c r="S26" s="74">
        <v>25</v>
      </c>
      <c r="T26" s="74">
        <v>23</v>
      </c>
      <c r="U26" s="74">
        <v>25</v>
      </c>
      <c r="V26" s="74">
        <v>21</v>
      </c>
      <c r="W26" s="74">
        <v>24</v>
      </c>
      <c r="X26" s="74">
        <v>27</v>
      </c>
      <c r="Y26" s="74">
        <v>25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47" t="s" ph="1">
        <v>180</v>
      </c>
      <c r="D27" s="71">
        <v>30.24</v>
      </c>
      <c r="E27" s="71">
        <v>5.65</v>
      </c>
      <c r="F27" s="71">
        <v>328</v>
      </c>
      <c r="G27" s="71">
        <v>2602</v>
      </c>
      <c r="H27" s="71">
        <v>2115</v>
      </c>
      <c r="I27" s="71">
        <v>403</v>
      </c>
      <c r="J27" s="71">
        <v>830</v>
      </c>
      <c r="K27" s="71">
        <v>1558</v>
      </c>
      <c r="L27" s="71">
        <v>469</v>
      </c>
      <c r="M27" s="71">
        <v>2592</v>
      </c>
      <c r="N27" s="71">
        <v>4826</v>
      </c>
      <c r="O27" s="71">
        <v>5417</v>
      </c>
      <c r="P27" s="71">
        <v>1161</v>
      </c>
      <c r="Q27" s="90">
        <v>2109</v>
      </c>
      <c r="R27" s="71">
        <v>5193</v>
      </c>
      <c r="S27" s="71">
        <v>2443</v>
      </c>
      <c r="T27" s="71">
        <v>1278</v>
      </c>
      <c r="U27" s="71">
        <v>6353</v>
      </c>
      <c r="V27" s="71">
        <v>6324</v>
      </c>
      <c r="W27" s="71">
        <v>9050</v>
      </c>
      <c r="X27" s="71">
        <v>4060</v>
      </c>
      <c r="Y27" s="71">
        <v>1914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47" t="s" ph="1">
        <v>178</v>
      </c>
      <c r="D28" s="91" ph="1">
        <f>D27*268.68*LOOKUP(D29,密度!$A$2:$A$50,密度!$Q$2:$Q$50)+IF(D27&lt;=0,0,1566*LOOKUP(D29,密度!$A$2:$A$50,密度!$Q$2:$Q$50))</f>
        <v>9174.746760768001</v>
      </c>
      <c r="E28" s="91" ph="1">
        <f>E27*268.68*LOOKUP(E29,密度!$A$2:$A$50,密度!$C$2:$C$50)+IF(E27&lt;=0,0,1566*LOOKUP(E29,密度!$A$2:$A$50,密度!$C$2:$C$50))</f>
        <v>3419.8941738000003</v>
      </c>
      <c r="F28" s="91" ph="1">
        <f>F27*11.702*LOOKUP(F29,密度!$A$2:$A$50,密度!$Q$2:$Q$50)</f>
        <v>3639.4343392000001</v>
      </c>
      <c r="G28" s="91" ph="1">
        <f>G27*18.322*LOOKUP(G29,密度!$A$2:$A$50,密度!$B$2:$B$50)</f>
        <v>37166.528782399997</v>
      </c>
      <c r="H28" s="91" ph="1">
        <f>H27*18.322*LOOKUP(H29,密度!$A$2:$A$50,密度!$B$2:$B$50)</f>
        <v>30245.178914999997</v>
      </c>
      <c r="I28" s="91" ph="1">
        <f>I27*18.322*LOOKUP(I29,密度!$A$2:$A$50,密度!$Q$2:$Q$50)</f>
        <v>6995.8967720199998</v>
      </c>
      <c r="J28" s="91" ph="1">
        <f>J27*18.322*LOOKUP(J29,密度!$A$2:$A$50,密度!$Q$2:$Q$50)</f>
        <v>14419.523932</v>
      </c>
      <c r="K28" s="91" ph="1">
        <f>K27*18.322*LOOKUP(K29,密度!$A$2:$A$50,密度!$Q$2:$Q$50)</f>
        <v>27025.333296240002</v>
      </c>
      <c r="L28" s="91" ph="1">
        <f>L27*18.322*LOOKUP(L29,密度!$A$2:$A$50,密度!$Q$2:$Q$50)</f>
        <v>8135.3538613199999</v>
      </c>
      <c r="M28" s="91" ph="1">
        <f>M27*18.322*LOOKUP(M29,密度!$A$2:$A$50,密度!$Q$2:$Q$50)</f>
        <v>44995.941521280001</v>
      </c>
      <c r="N28" s="91" ph="1">
        <f>N27*18.322*LOOKUP(N29,密度!$A$2:$A$50,密度!$Q$2:$Q$50)</f>
        <v>83920.409405479993</v>
      </c>
      <c r="O28" s="91" ph="1">
        <f>O27*18.322*LOOKUP(O29,密度!$A$2:$A$50,密度!$C$2:$C$50)</f>
        <v>110276.97944139999</v>
      </c>
      <c r="P28" s="91" ph="1">
        <f>P27*11.702*LOOKUP(P29,密度!$A$2:$A$50,密度!$B$2:$B$50)</f>
        <v>10616.1175908</v>
      </c>
      <c r="Q28" s="92" ph="1">
        <f>Q27*18.322*LOOKUP(Q29,密度!$A$2:$A$50,密度!$B$2:$B$50)</f>
        <v>30124.600000799997</v>
      </c>
      <c r="R28" s="91" ph="1">
        <f>R27*35.891*LOOKUP(R29,密度!$A$2:$A$50,密度!$C$2:$C$50)</f>
        <v>206678.95877069997</v>
      </c>
      <c r="S28" s="91" ph="1">
        <f>S27*35.891*LOOKUP(S29,密度!$A$2:$A$50,密度!$B$2:$B$50)</f>
        <v>68356.663454799986</v>
      </c>
      <c r="T28" s="91" ph="1">
        <f>T27*35.891*LOOKUP(T29,密度!$A$2:$A$50,密度!$Q$2:$Q$50)</f>
        <v>43492.699443600002</v>
      </c>
      <c r="U28" s="91" ph="1">
        <f>U27*35.891</f>
        <v>228015.52299999999</v>
      </c>
      <c r="V28" s="91" ph="1">
        <f>V27*47.051*LOOKUP(V29,密度!$A$2:$A$50,密度!$B$2:$B$50)</f>
        <v>233041.57039680003</v>
      </c>
      <c r="W28" s="91" ph="1">
        <f>W27*47.051*LOOKUP(W29,密度!$A$2:$A$50,密度!$B$2:$B$50)</f>
        <v>331962.68437999999</v>
      </c>
      <c r="X28" s="91" ph="1">
        <f>X27*47.051*LOOKUP(X29,密度!$A$2:$A$61,密度!$I$2:$I$61)</f>
        <v>198477.11533999999</v>
      </c>
      <c r="Y28" s="91" ph="1">
        <f>Y27*47.051*LOOKUP(Y29,密度!$A$2:$A$50,密度!$L$2:$L$50)</f>
        <v>84382.110318000006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47" t="s" ph="1">
        <v>179</v>
      </c>
      <c r="D29" s="74">
        <v>25</v>
      </c>
      <c r="E29" s="74">
        <v>25</v>
      </c>
      <c r="F29" s="74">
        <v>23</v>
      </c>
      <c r="G29" s="74">
        <v>25</v>
      </c>
      <c r="H29" s="74">
        <v>24</v>
      </c>
      <c r="I29" s="74">
        <v>24</v>
      </c>
      <c r="J29" s="74">
        <v>23</v>
      </c>
      <c r="K29" s="74">
        <v>25</v>
      </c>
      <c r="L29" s="74">
        <v>25</v>
      </c>
      <c r="M29" s="74">
        <v>24</v>
      </c>
      <c r="N29" s="74">
        <v>22</v>
      </c>
      <c r="O29" s="74">
        <v>22</v>
      </c>
      <c r="P29" s="74">
        <v>23</v>
      </c>
      <c r="Q29" s="93">
        <v>25</v>
      </c>
      <c r="R29" s="74">
        <v>25</v>
      </c>
      <c r="S29" s="74">
        <v>25</v>
      </c>
      <c r="T29" s="74">
        <v>23</v>
      </c>
      <c r="U29" s="74">
        <v>25</v>
      </c>
      <c r="V29" s="74">
        <v>21</v>
      </c>
      <c r="W29" s="74">
        <v>25</v>
      </c>
      <c r="X29" s="74">
        <v>28</v>
      </c>
      <c r="Y29" s="74">
        <v>25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47" t="s" ph="1">
        <v>5</v>
      </c>
      <c r="F32" s="146" t="s" ph="1">
        <v>43</v>
      </c>
      <c r="G32" s="97" t="s" ph="1">
        <v>4</v>
      </c>
      <c r="H32" s="147" t="s" ph="1">
        <v>5</v>
      </c>
      <c r="I32" s="146" t="s" ph="1">
        <v>43</v>
      </c>
      <c r="J32" s="97" t="s" ph="1">
        <v>4</v>
      </c>
      <c r="K32" s="147" t="s" ph="1">
        <v>5</v>
      </c>
      <c r="L32" s="146" t="s" ph="1">
        <v>43</v>
      </c>
      <c r="M32" s="97" t="s" ph="1">
        <v>4</v>
      </c>
      <c r="N32" s="147" t="s" ph="1">
        <v>5</v>
      </c>
      <c r="O32" s="14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6" t="s" ph="1">
        <v>43</v>
      </c>
      <c r="AB32" s="97" t="s" ph="1">
        <v>85</v>
      </c>
      <c r="AC32" s="147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297691.26042799995</v>
      </c>
      <c r="E33" s="190" ph="1">
        <f>M10+I10</f>
        <v>16726.067871700001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[[#This Row],[F25]]</f>
        <v>3880</v>
      </c>
      <c r="G33" s="216" ph="1">
        <f>N19</f>
        <v>12724.081971700001</v>
      </c>
      <c r="H33" s="190" ph="1">
        <f>M19</f>
        <v>8483.6801972000012</v>
      </c>
      <c r="I33" s="194" ph="1">
        <v>0</v>
      </c>
      <c r="J33" s="198" ph="1">
        <f>F10+O28</f>
        <v>325344.79925470002</v>
      </c>
      <c r="K33" s="190" ph="1">
        <f>O10+K10+E28+R28</f>
        <v>327807.46352449997</v>
      </c>
      <c r="L33" s="200" ph="1">
        <f>K19</f>
        <v>50494.602604479995</v>
      </c>
      <c r="M33" s="198" ph="1">
        <f>G10+H10+W28+S28+V28+E10+R19+P28+Q28</f>
        <v>1279552.3453762</v>
      </c>
      <c r="N33" s="190" ph="1">
        <f>L10+P10++G28+H28+AD19+AE19</f>
        <v>120993.0249574</v>
      </c>
      <c r="O33" s="194" ph="1">
        <f>G19</f>
        <v>25810.848481600002</v>
      </c>
      <c r="P33" s="198" ph="1">
        <f>L19</f>
        <v>22791.431414719998</v>
      </c>
      <c r="Q33" s="190" ph="1">
        <f>J10+N10</f>
        <v>83838.299493999992</v>
      </c>
      <c r="R33" s="194" ph="1">
        <f>BE23</f>
        <v>890</v>
      </c>
      <c r="S33" s="198" ph="1">
        <f>X28</f>
        <v>198477.11533999999</v>
      </c>
      <c r="T33" s="190" ph="1">
        <f>X19</f>
        <v>4493.0819848800011</v>
      </c>
      <c r="U33" s="179" ph="1">
        <f>BE21</f>
        <v>730</v>
      </c>
      <c r="V33" s="192" ph="1">
        <f ca="1">P19+Q19+S19+M28+N28+J28+D10+AC10+D19+E19+H19+J19+O19+V19+W19+K28+L28</f>
        <v>924621.94805105787</v>
      </c>
      <c r="W33" s="192" ph="1">
        <f>D28+F28+T28+I28</f>
        <v>63302.777315588006</v>
      </c>
      <c r="X33" s="194" ph="1">
        <f>BE29+BE31</f>
        <v>10200</v>
      </c>
      <c r="Y33" s="196" ph="1">
        <f>+Q10+R10+S10+T10+U10+V10+W10+X10+Y10</f>
        <v>293530.59170819999</v>
      </c>
      <c r="Z33" s="177" ph="1">
        <f>T19+U19+Y28+Z10</f>
        <v>248131.1058048</v>
      </c>
      <c r="AA33" s="179" ph="1">
        <f>BE19</f>
        <v>1440</v>
      </c>
      <c r="AB33" s="181" ph="1">
        <f>I19</f>
        <v>47315.109593600006</v>
      </c>
      <c r="AC33" s="183" ph="1">
        <f>AD10+AB19</f>
        <v>44474.4820206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45" t="s" ph="1">
        <v>185</v>
      </c>
      <c r="AA36" s="145" ph="1"/>
      <c r="AB36" s="176" t="s" ph="1">
        <v>637</v>
      </c>
      <c r="AC36" s="176" ph="1"/>
      <c r="AD36" s="176" ph="1"/>
      <c r="AE36" s="176" ph="1"/>
      <c r="BA36" s="64" ph="1">
        <v>2270</v>
      </c>
    </row>
    <row r="37" spans="1:57" s="14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5" t="s" ph="1">
        <v>342</v>
      </c>
      <c r="AI37" s="145" t="s" ph="1">
        <v>209</v>
      </c>
      <c r="AJ37" s="145" t="s" ph="1">
        <v>210</v>
      </c>
      <c r="AK37" s="145" t="s" ph="1">
        <v>211</v>
      </c>
      <c r="AM37" s="145" t="s" ph="1">
        <v>210</v>
      </c>
      <c r="AN37" s="145" t="s" ph="1">
        <v>211</v>
      </c>
      <c r="AO37" s="145" t="s" ph="1">
        <v>212</v>
      </c>
      <c r="AP37" s="145" t="s" ph="1">
        <v>210</v>
      </c>
      <c r="AQ37" s="145" t="s" ph="1">
        <v>211</v>
      </c>
      <c r="AR37" s="145" t="s" ph="1">
        <v>212</v>
      </c>
      <c r="AS37" s="145" t="s" ph="1">
        <v>210</v>
      </c>
      <c r="AT37" s="145" t="s" ph="1">
        <v>211</v>
      </c>
      <c r="AU37" s="145" t="s" ph="1">
        <v>212</v>
      </c>
      <c r="AV37" s="145" t="s" ph="1">
        <v>210</v>
      </c>
      <c r="AW37" s="145" t="s" ph="1">
        <v>211</v>
      </c>
      <c r="AX37" s="145" t="s" ph="1">
        <v>212</v>
      </c>
      <c r="AY37" s="145" t="s" ph="1">
        <v>211</v>
      </c>
      <c r="AZ37" s="145" t="s" ph="1">
        <v>213</v>
      </c>
      <c r="BD37" s="145" t="s" ph="1">
        <v>305</v>
      </c>
      <c r="BE37" s="14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859" priority="100">
      <formula>ABS(D$7-D$10)&gt;=1000</formula>
    </cfRule>
  </conditionalFormatting>
  <conditionalFormatting sqref="E4 E6:E11">
    <cfRule type="expression" dxfId="2858" priority="99">
      <formula>ABS(E$7-E$10)&gt;=1000</formula>
    </cfRule>
  </conditionalFormatting>
  <conditionalFormatting sqref="F4:F11">
    <cfRule type="expression" dxfId="2857" priority="98">
      <formula>ABS(F$7-F$10)&gt;=1000</formula>
    </cfRule>
  </conditionalFormatting>
  <conditionalFormatting sqref="G4:G11">
    <cfRule type="expression" dxfId="2856" priority="97">
      <formula>ABS(G$7-G$10)&gt;=1000</formula>
    </cfRule>
  </conditionalFormatting>
  <conditionalFormatting sqref="H4:H11">
    <cfRule type="expression" dxfId="2855" priority="96">
      <formula>ABS(H$7-H$10)&gt;=1000</formula>
    </cfRule>
  </conditionalFormatting>
  <conditionalFormatting sqref="I4:I11">
    <cfRule type="expression" dxfId="2854" priority="95">
      <formula>ABS(I$7-I$10)&gt;=1000</formula>
    </cfRule>
  </conditionalFormatting>
  <conditionalFormatting sqref="J4:J11">
    <cfRule type="expression" dxfId="2853" priority="94">
      <formula>ABS(J$7-J$10)&gt;=1000</formula>
    </cfRule>
  </conditionalFormatting>
  <conditionalFormatting sqref="K4:K11">
    <cfRule type="expression" dxfId="2852" priority="93">
      <formula>ABS(K$7-K$10)&gt;=1000</formula>
    </cfRule>
  </conditionalFormatting>
  <conditionalFormatting sqref="L4:L11">
    <cfRule type="expression" dxfId="2851" priority="92">
      <formula>ABS(L$7-L$10)&gt;=1000</formula>
    </cfRule>
  </conditionalFormatting>
  <conditionalFormatting sqref="M4 M6:M11">
    <cfRule type="expression" dxfId="2850" priority="91">
      <formula>ABS(M$7-M$10)&gt;=1000</formula>
    </cfRule>
  </conditionalFormatting>
  <conditionalFormatting sqref="N4 N6:N11">
    <cfRule type="expression" dxfId="2849" priority="90">
      <formula>ABS(N$7-N$10)&gt;=1000</formula>
    </cfRule>
  </conditionalFormatting>
  <conditionalFormatting sqref="O4 O6:O11">
    <cfRule type="expression" dxfId="2848" priority="89">
      <formula>ABS(O$7-O$10)&gt;=1000</formula>
    </cfRule>
  </conditionalFormatting>
  <conditionalFormatting sqref="P4 P6:P11">
    <cfRule type="expression" dxfId="2847" priority="88">
      <formula>ABS(P$7-P$10)&gt;=1000</formula>
    </cfRule>
  </conditionalFormatting>
  <conditionalFormatting sqref="Q4:Q11">
    <cfRule type="expression" dxfId="2846" priority="87">
      <formula>ABS(Q$7-Q$10)&gt;=1000</formula>
    </cfRule>
  </conditionalFormatting>
  <conditionalFormatting sqref="R4:R11">
    <cfRule type="expression" dxfId="2845" priority="86">
      <formula>ABS(R$7-R$10)&gt;=1000</formula>
    </cfRule>
  </conditionalFormatting>
  <conditionalFormatting sqref="S4:S11">
    <cfRule type="expression" dxfId="2844" priority="85">
      <formula>ABS(S$7-S$10)&gt;=1000</formula>
    </cfRule>
  </conditionalFormatting>
  <conditionalFormatting sqref="T4:T9 T11">
    <cfRule type="expression" dxfId="2843" priority="84">
      <formula>ABS(T$7-T$10)&gt;=1000</formula>
    </cfRule>
  </conditionalFormatting>
  <conditionalFormatting sqref="U4:U9 U11">
    <cfRule type="expression" dxfId="2842" priority="83">
      <formula>ABS(U$7-U$10)&gt;=1000</formula>
    </cfRule>
  </conditionalFormatting>
  <conditionalFormatting sqref="V4:V9 V11">
    <cfRule type="expression" dxfId="2841" priority="82">
      <formula>ABS(V$7-V$10)&gt;=1000</formula>
    </cfRule>
  </conditionalFormatting>
  <conditionalFormatting sqref="W4:W9 W11">
    <cfRule type="expression" dxfId="2840" priority="81">
      <formula>ABS(W$7-W$10)&gt;=1000</formula>
    </cfRule>
  </conditionalFormatting>
  <conditionalFormatting sqref="X4:X9 X11">
    <cfRule type="expression" dxfId="2839" priority="80">
      <formula>ABS(X$7-X$10)&gt;=1000</formula>
    </cfRule>
  </conditionalFormatting>
  <conditionalFormatting sqref="Y4:Y9 Y11">
    <cfRule type="expression" dxfId="2838" priority="79">
      <formula>ABS(Y$7-Y$10)&gt;=1000</formula>
    </cfRule>
  </conditionalFormatting>
  <conditionalFormatting sqref="Z4:Z11">
    <cfRule type="expression" dxfId="2837" priority="78">
      <formula>ABS(Z$7-Z$10)&gt;=1000</formula>
    </cfRule>
  </conditionalFormatting>
  <conditionalFormatting sqref="AA4:AA11">
    <cfRule type="expression" dxfId="2836" priority="77">
      <formula>ABS(AA$7-AA$10)&gt;=1000</formula>
    </cfRule>
  </conditionalFormatting>
  <conditionalFormatting sqref="AB4:AB11">
    <cfRule type="expression" dxfId="2835" priority="76">
      <formula>ABS(AB$7-AB$10)&gt;=1000</formula>
    </cfRule>
  </conditionalFormatting>
  <conditionalFormatting sqref="AC4 AC6:AC11">
    <cfRule type="expression" dxfId="2834" priority="75">
      <formula>ABS(AC$7-AC$10)&gt;=1000</formula>
    </cfRule>
  </conditionalFormatting>
  <conditionalFormatting sqref="AD4 AD6:AD11">
    <cfRule type="expression" dxfId="2833" priority="74">
      <formula>ABS(AD$7-AD$10)&gt;=1000</formula>
    </cfRule>
  </conditionalFormatting>
  <conditionalFormatting sqref="AE4 AE6:AE11">
    <cfRule type="expression" dxfId="2832" priority="73">
      <formula>ABS(AE$7-AE$10)&gt;=1000</formula>
    </cfRule>
  </conditionalFormatting>
  <conditionalFormatting sqref="D13:D20">
    <cfRule type="expression" dxfId="2831" priority="72">
      <formula>ABS(D$16-D$19)&gt;=1000</formula>
    </cfRule>
  </conditionalFormatting>
  <conditionalFormatting sqref="E13:E20">
    <cfRule type="expression" dxfId="2830" priority="71">
      <formula>ABS(E$16-E$19)&gt;=1000</formula>
    </cfRule>
  </conditionalFormatting>
  <conditionalFormatting sqref="F13 F15:F20">
    <cfRule type="expression" dxfId="2829" priority="70">
      <formula>ABS(F$16-F$19)&gt;=1000</formula>
    </cfRule>
  </conditionalFormatting>
  <conditionalFormatting sqref="G13:G20">
    <cfRule type="expression" dxfId="2828" priority="69">
      <formula>ABS(G$16-G$19)&gt;=1000</formula>
    </cfRule>
  </conditionalFormatting>
  <conditionalFormatting sqref="H13 H15:H20">
    <cfRule type="expression" dxfId="2827" priority="68">
      <formula>ABS(H$16-H$19)&gt;=1000</formula>
    </cfRule>
  </conditionalFormatting>
  <conditionalFormatting sqref="I13:I20">
    <cfRule type="expression" dxfId="2826" priority="67">
      <formula>ABS(I$16-I$19)&gt;=1000</formula>
    </cfRule>
  </conditionalFormatting>
  <conditionalFormatting sqref="J13:J20">
    <cfRule type="expression" dxfId="2825" priority="66">
      <formula>ABS(J$16-J$19)&gt;=1000</formula>
    </cfRule>
  </conditionalFormatting>
  <conditionalFormatting sqref="L13:L20">
    <cfRule type="expression" dxfId="2824" priority="65">
      <formula>ABS(L$16-L$19)&gt;=1000</formula>
    </cfRule>
  </conditionalFormatting>
  <conditionalFormatting sqref="M13 M15 M17:M18 M20">
    <cfRule type="expression" dxfId="2823" priority="64">
      <formula>ABS(M$16-M$19)&gt;=1000</formula>
    </cfRule>
  </conditionalFormatting>
  <conditionalFormatting sqref="N13:N20">
    <cfRule type="expression" dxfId="2822" priority="63">
      <formula>ABS(N$16-N$19)&gt;=1000</formula>
    </cfRule>
  </conditionalFormatting>
  <conditionalFormatting sqref="O13:O20">
    <cfRule type="expression" dxfId="2821" priority="62">
      <formula>ABS(O$16-O$19)&gt;=1000</formula>
    </cfRule>
  </conditionalFormatting>
  <conditionalFormatting sqref="P13:P20">
    <cfRule type="expression" dxfId="2820" priority="61">
      <formula>ABS(P$16-P$19)&gt;=1000</formula>
    </cfRule>
  </conditionalFormatting>
  <conditionalFormatting sqref="Q13 Q15:Q20">
    <cfRule type="expression" dxfId="2819" priority="60">
      <formula>ABS(Q$16-Q$19)&gt;=1000</formula>
    </cfRule>
  </conditionalFormatting>
  <conditionalFormatting sqref="R13:R20">
    <cfRule type="expression" dxfId="2818" priority="59">
      <formula>ABS(R$16-R$19)&gt;=1000</formula>
    </cfRule>
  </conditionalFormatting>
  <conditionalFormatting sqref="S13:S20">
    <cfRule type="expression" dxfId="2817" priority="58">
      <formula>ABS(S$16-S$19)&gt;=1000</formula>
    </cfRule>
  </conditionalFormatting>
  <conditionalFormatting sqref="T13:T20">
    <cfRule type="expression" dxfId="2816" priority="57">
      <formula>ABS(T$16-T$19)&gt;=1000</formula>
    </cfRule>
  </conditionalFormatting>
  <conditionalFormatting sqref="U13:U20">
    <cfRule type="expression" dxfId="2815" priority="56">
      <formula>ABS(U$16-U$19)&gt;=1000</formula>
    </cfRule>
  </conditionalFormatting>
  <conditionalFormatting sqref="V13:V20">
    <cfRule type="expression" dxfId="2814" priority="55">
      <formula>ABS(V$16-V$19)&gt;=1000</formula>
    </cfRule>
  </conditionalFormatting>
  <conditionalFormatting sqref="W13 W20 W15:W18">
    <cfRule type="expression" dxfId="2813" priority="54">
      <formula>ABS(W$16-W$19)&gt;=1000</formula>
    </cfRule>
  </conditionalFormatting>
  <conditionalFormatting sqref="X13 X15:X20 Y19">
    <cfRule type="expression" dxfId="2812" priority="53">
      <formula>ABS(X$16-X$19)&gt;=1000</formula>
    </cfRule>
  </conditionalFormatting>
  <conditionalFormatting sqref="Y13 Y15:Y18 Y20">
    <cfRule type="expression" dxfId="2811" priority="52">
      <formula>ABS(Y$16-Y$19)&gt;=1000</formula>
    </cfRule>
  </conditionalFormatting>
  <conditionalFormatting sqref="Z13:Z20">
    <cfRule type="expression" dxfId="2810" priority="51">
      <formula>ABS(Z$16-Z$19)&gt;=1000</formula>
    </cfRule>
  </conditionalFormatting>
  <conditionalFormatting sqref="AA13:AA20">
    <cfRule type="expression" dxfId="2809" priority="50">
      <formula>ABS(AA$16-AA$19)&gt;=1000</formula>
    </cfRule>
  </conditionalFormatting>
  <conditionalFormatting sqref="AB13 AB15:AB20">
    <cfRule type="expression" dxfId="2808" priority="49">
      <formula>ABS(AB$16-AB$19)&gt;=1000</formula>
    </cfRule>
  </conditionalFormatting>
  <conditionalFormatting sqref="AC13 AC15:AC20">
    <cfRule type="expression" dxfId="2807" priority="48">
      <formula>ABS(AC$16-AC$19)&gt;=1000</formula>
    </cfRule>
  </conditionalFormatting>
  <conditionalFormatting sqref="AD13:AD20">
    <cfRule type="expression" dxfId="2806" priority="47">
      <formula>ABS(AD$16-AD$19)&gt;=1000</formula>
    </cfRule>
  </conditionalFormatting>
  <conditionalFormatting sqref="AE13:AE20">
    <cfRule type="expression" dxfId="2805" priority="46">
      <formula>ABS(AE$16-AE$19)&gt;=1000</formula>
    </cfRule>
  </conditionalFormatting>
  <conditionalFormatting sqref="D22:D29">
    <cfRule type="expression" dxfId="2804" priority="45">
      <formula>ABS(D$25-D$28)&gt;=1000</formula>
    </cfRule>
  </conditionalFormatting>
  <conditionalFormatting sqref="E22:E29">
    <cfRule type="expression" dxfId="2803" priority="44">
      <formula>ABS(E$25-E$28)&gt;=1000</formula>
    </cfRule>
  </conditionalFormatting>
  <conditionalFormatting sqref="F22:F29">
    <cfRule type="expression" dxfId="2802" priority="43">
      <formula>ABS(F$25-F$28)&gt;=1000</formula>
    </cfRule>
  </conditionalFormatting>
  <conditionalFormatting sqref="G22:G29">
    <cfRule type="expression" dxfId="2801" priority="42">
      <formula>ABS(G$25-G$28)&gt;=1000</formula>
    </cfRule>
  </conditionalFormatting>
  <conditionalFormatting sqref="H22:H29">
    <cfRule type="expression" dxfId="2800" priority="41">
      <formula>ABS(H$25-H$28)&gt;=1000</formula>
    </cfRule>
  </conditionalFormatting>
  <conditionalFormatting sqref="I22 I24:I29">
    <cfRule type="expression" dxfId="2799" priority="40">
      <formula>ABS(I$25-I$28)&gt;=1000</formula>
    </cfRule>
  </conditionalFormatting>
  <conditionalFormatting sqref="J22:J29 K22">
    <cfRule type="expression" dxfId="2798" priority="39">
      <formula>ABS(J$25-J$28)&gt;=1000</formula>
    </cfRule>
  </conditionalFormatting>
  <conditionalFormatting sqref="K23:K29 L25 L28">
    <cfRule type="expression" dxfId="2797" priority="38">
      <formula>ABS(K$25-K$28)&gt;=1000</formula>
    </cfRule>
  </conditionalFormatting>
  <conditionalFormatting sqref="L22 L26:L27 L29 L24">
    <cfRule type="expression" dxfId="2796" priority="37">
      <formula>ABS(L$25-L$28)&gt;=1000</formula>
    </cfRule>
  </conditionalFormatting>
  <conditionalFormatting sqref="M22:M29">
    <cfRule type="expression" dxfId="2795" priority="36">
      <formula>ABS(M$25-M$28)&gt;=1000</formula>
    </cfRule>
  </conditionalFormatting>
  <conditionalFormatting sqref="N22:N29">
    <cfRule type="expression" dxfId="2794" priority="35">
      <formula>ABS(N$25-N$28)&gt;=1000</formula>
    </cfRule>
  </conditionalFormatting>
  <conditionalFormatting sqref="O22:O29">
    <cfRule type="expression" dxfId="2793" priority="34">
      <formula>ABS(O$25-O$28)&gt;=1000</formula>
    </cfRule>
  </conditionalFormatting>
  <conditionalFormatting sqref="P22:P29">
    <cfRule type="expression" dxfId="2792" priority="33">
      <formula>ABS(P$25-P$28)&gt;=1000</formula>
    </cfRule>
  </conditionalFormatting>
  <conditionalFormatting sqref="Q22:Q29">
    <cfRule type="expression" dxfId="2791" priority="32">
      <formula>ABS(Q$25-Q$28)&gt;=1000</formula>
    </cfRule>
  </conditionalFormatting>
  <conditionalFormatting sqref="R22:R29">
    <cfRule type="expression" dxfId="2790" priority="31">
      <formula>ABS(R$25-R$28)&gt;=1000</formula>
    </cfRule>
  </conditionalFormatting>
  <conditionalFormatting sqref="S22:S29">
    <cfRule type="expression" dxfId="2789" priority="30">
      <formula>ABS(S$25-S$28)&gt;=1000</formula>
    </cfRule>
  </conditionalFormatting>
  <conditionalFormatting sqref="T22:T29">
    <cfRule type="expression" dxfId="2788" priority="29">
      <formula>ABS(T$25-T$28)&gt;=1000</formula>
    </cfRule>
  </conditionalFormatting>
  <conditionalFormatting sqref="U22:U29">
    <cfRule type="expression" dxfId="2787" priority="28">
      <formula>ABS(U$25-U$28)&gt;=1000</formula>
    </cfRule>
  </conditionalFormatting>
  <conditionalFormatting sqref="V22:V29">
    <cfRule type="expression" dxfId="2786" priority="27">
      <formula>ABS(V$25-V$28)&gt;=1000</formula>
    </cfRule>
  </conditionalFormatting>
  <conditionalFormatting sqref="W22:W29">
    <cfRule type="expression" dxfId="2785" priority="26">
      <formula>ABS(W$25-W$28)&gt;=1000</formula>
    </cfRule>
  </conditionalFormatting>
  <conditionalFormatting sqref="X22:X29">
    <cfRule type="expression" dxfId="2784" priority="25">
      <formula>ABS(X$25-X$28)&gt;=1000</formula>
    </cfRule>
  </conditionalFormatting>
  <conditionalFormatting sqref="Y22:Y29">
    <cfRule type="expression" dxfId="2783" priority="24">
      <formula>ABS(Y$25-Y$28)&gt;=1000</formula>
    </cfRule>
  </conditionalFormatting>
  <conditionalFormatting sqref="I23">
    <cfRule type="expression" dxfId="2782" priority="23">
      <formula>ABS(I$25-I$28)&gt;=1000</formula>
    </cfRule>
  </conditionalFormatting>
  <conditionalFormatting sqref="Q14">
    <cfRule type="expression" dxfId="2781" priority="22">
      <formula>ABS(Q$16-Q$19)&gt;=1000</formula>
    </cfRule>
  </conditionalFormatting>
  <conditionalFormatting sqref="W14">
    <cfRule type="expression" dxfId="2780" priority="21">
      <formula>ABS(W$16-W$19)&gt;=1000</formula>
    </cfRule>
  </conditionalFormatting>
  <conditionalFormatting sqref="X14">
    <cfRule type="expression" dxfId="2779" priority="20">
      <formula>ABS(X$16-X$19)&gt;=1000</formula>
    </cfRule>
  </conditionalFormatting>
  <conditionalFormatting sqref="T10:Y10">
    <cfRule type="expression" dxfId="2778" priority="19">
      <formula>ABS(T$7-T$10)&gt;=1000</formula>
    </cfRule>
  </conditionalFormatting>
  <conditionalFormatting sqref="W19">
    <cfRule type="expression" dxfId="2777" priority="18">
      <formula>ABS(W$16-W$19)&gt;=1000</formula>
    </cfRule>
  </conditionalFormatting>
  <conditionalFormatting sqref="AC5">
    <cfRule type="expression" dxfId="2776" priority="17">
      <formula>ABS(AC$7-AC$10)&gt;=1000</formula>
    </cfRule>
  </conditionalFormatting>
  <conditionalFormatting sqref="M14">
    <cfRule type="expression" dxfId="2775" priority="16">
      <formula>ABS(M$16-M$19)&gt;=1000</formula>
    </cfRule>
  </conditionalFormatting>
  <conditionalFormatting sqref="M16">
    <cfRule type="expression" dxfId="2774" priority="15">
      <formula>ABS(M$16-M$19)&gt;=1000</formula>
    </cfRule>
  </conditionalFormatting>
  <conditionalFormatting sqref="M19">
    <cfRule type="expression" dxfId="2773" priority="14">
      <formula>ABS(M$16-M$19)&gt;=1000</formula>
    </cfRule>
  </conditionalFormatting>
  <conditionalFormatting sqref="K13:K20">
    <cfRule type="expression" dxfId="2772" priority="13">
      <formula>ABS(K$16-K$19)&gt;=1000</formula>
    </cfRule>
  </conditionalFormatting>
  <conditionalFormatting sqref="E5">
    <cfRule type="expression" dxfId="2771" priority="12">
      <formula>ABS(E$7-E$10)&gt;=1000</formula>
    </cfRule>
  </conditionalFormatting>
  <conditionalFormatting sqref="AB14:AC14">
    <cfRule type="expression" dxfId="2770" priority="11">
      <formula>ABS(AB$16-AB$19)&gt;=1000</formula>
    </cfRule>
  </conditionalFormatting>
  <conditionalFormatting sqref="M5">
    <cfRule type="expression" dxfId="2769" priority="10">
      <formula>ABS(M$7-M$10)&gt;=1000</formula>
    </cfRule>
  </conditionalFormatting>
  <conditionalFormatting sqref="N5">
    <cfRule type="expression" dxfId="2768" priority="9">
      <formula>ABS(N$7-N$10)&gt;=1000</formula>
    </cfRule>
  </conditionalFormatting>
  <conditionalFormatting sqref="O5">
    <cfRule type="expression" dxfId="2767" priority="8">
      <formula>ABS(O$7-O$10)&gt;=1000</formula>
    </cfRule>
  </conditionalFormatting>
  <conditionalFormatting sqref="P5">
    <cfRule type="expression" dxfId="2766" priority="7">
      <formula>ABS(P$7-P$10)&gt;=1000</formula>
    </cfRule>
  </conditionalFormatting>
  <conditionalFormatting sqref="L23">
    <cfRule type="expression" dxfId="2765" priority="6">
      <formula>ABS(L$25-L$28)&gt;=1000</formula>
    </cfRule>
  </conditionalFormatting>
  <conditionalFormatting sqref="Y14">
    <cfRule type="expression" dxfId="2764" priority="5">
      <formula>ABS(Y$16-Y$19)&gt;=1000</formula>
    </cfRule>
  </conditionalFormatting>
  <conditionalFormatting sqref="F14">
    <cfRule type="expression" dxfId="2763" priority="4">
      <formula>ABS(F$16-F$19)&gt;=1000</formula>
    </cfRule>
  </conditionalFormatting>
  <conditionalFormatting sqref="H14">
    <cfRule type="expression" dxfId="2762" priority="3">
      <formula>ABS(H$16-H$19)&gt;=1000</formula>
    </cfRule>
  </conditionalFormatting>
  <conditionalFormatting sqref="AD5">
    <cfRule type="expression" dxfId="2761" priority="2">
      <formula>ABS(AD$7-AD$10)&gt;=1000</formula>
    </cfRule>
  </conditionalFormatting>
  <conditionalFormatting sqref="AE5">
    <cfRule type="expression" dxfId="276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85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9">
    <pageSetUpPr fitToPage="1"/>
  </sheetPr>
  <dimension ref="A1:CU223"/>
  <sheetViews>
    <sheetView view="pageBreakPreview" zoomScale="59" zoomScaleNormal="100" zoomScaleSheetLayoutView="59" workbookViewId="0">
      <selection activeCell="N22" sqref="N2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46143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48" t="s" ph="1">
        <v>177</v>
      </c>
      <c r="D6" s="71">
        <v>7079</v>
      </c>
      <c r="E6" s="71">
        <v>6956</v>
      </c>
      <c r="F6" s="71">
        <v>5825</v>
      </c>
      <c r="G6" s="71">
        <v>5453</v>
      </c>
      <c r="H6" s="71">
        <v>4050</v>
      </c>
      <c r="I6" s="71">
        <v>7.0000000000000007E-2</v>
      </c>
      <c r="J6" s="71">
        <v>6.36</v>
      </c>
      <c r="K6" s="71">
        <v>62.77</v>
      </c>
      <c r="L6" s="71">
        <v>7.8</v>
      </c>
      <c r="M6" s="71">
        <v>488</v>
      </c>
      <c r="N6" s="71">
        <v>3159</v>
      </c>
      <c r="O6" s="71">
        <v>4296</v>
      </c>
      <c r="P6" s="71">
        <v>375</v>
      </c>
      <c r="Q6" s="71">
        <v>0</v>
      </c>
      <c r="R6" s="71">
        <v>0</v>
      </c>
      <c r="S6" s="71">
        <v>0</v>
      </c>
      <c r="T6" s="71">
        <v>7140</v>
      </c>
      <c r="U6" s="71">
        <v>7000</v>
      </c>
      <c r="V6" s="71">
        <v>6621</v>
      </c>
      <c r="W6" s="71">
        <v>7001</v>
      </c>
      <c r="X6" s="71">
        <v>7063</v>
      </c>
      <c r="Y6" s="71">
        <v>5143</v>
      </c>
      <c r="Z6" s="71">
        <v>3747</v>
      </c>
      <c r="AA6" s="71">
        <v>6557</v>
      </c>
      <c r="AB6" s="71">
        <v>3489</v>
      </c>
      <c r="AC6" s="71">
        <v>7733</v>
      </c>
      <c r="AD6" s="71">
        <v>1800</v>
      </c>
      <c r="AE6" s="71">
        <v>4424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222563.03093379</v>
      </c>
      <c r="E7" s="73" ph="1">
        <f>E6*51.53*LOOKUP(E8,密度!$A$2:$A$50,密度!$B$2:$B$50)</f>
        <v>280409.70856399997</v>
      </c>
      <c r="F7" s="73" ph="1">
        <f>F6*33.183*LOOKUP(F8,密度!$A$2:$A$50,密度!$C$2:$C$50)</f>
        <v>214765.6023225</v>
      </c>
      <c r="G7" s="73" ph="1">
        <f xml:space="preserve"> (G6+2)*51.53*LOOKUP(G8,密度!$A$2:$A$50,密度!$B$2:$B$50)</f>
        <v>219648.53161000001</v>
      </c>
      <c r="H7" s="73" ph="1">
        <f>(H6)*51.53*LOOKUP(H8,密度!$A$2:$A$50,密度!$B$2:$B$50)</f>
        <v>163972.84005</v>
      </c>
      <c r="I7" s="73" ph="1">
        <f>I6*290.8*1.0267</f>
        <v>20.8995052</v>
      </c>
      <c r="J7" s="73" ph="1">
        <f>J6*290.8*0.7892</f>
        <v>1459.6159296000001</v>
      </c>
      <c r="K7" s="73" ph="1">
        <f>K6*290.8*1.1126</f>
        <v>20308.861901600005</v>
      </c>
      <c r="L7" s="73" ph="1">
        <f>L6*290.8*0.777</f>
        <v>1762.4224800000002</v>
      </c>
      <c r="M7" s="73" ph="1">
        <f>M6*33.183*LOOKUP(M8,密度!$A$2:$A$50,密度!$D$2:$D$50)</f>
        <v>16611.0912432</v>
      </c>
      <c r="N7" s="73" ph="1">
        <f>N6*33.183*LOOKUP(N8,密度!$A$2:$A$50,密度!$E$2:$E$50)</f>
        <v>82099.015970399996</v>
      </c>
      <c r="O7" s="73" ph="1">
        <f>O6*20.428*LOOKUP(O8,密度!$A$2:$A$50,密度!$C$2:$C$50)</f>
        <v>97315.609123200004</v>
      </c>
      <c r="P7" s="73" ph="1">
        <f>P6*51.53*LOOKUP(P8,密度!$A$2:$A$50,密度!$B$2:$B$50)</f>
        <v>15167.211375000001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47693.964779999995</v>
      </c>
      <c r="U7" s="73" ph="1">
        <f>U6*1.5*1.5*3.1416*LOOKUP(U8,密度!$A$2:$A$50,密度!$L$2:$L$50)</f>
        <v>46461.907799999994</v>
      </c>
      <c r="V7" s="73" ph="1">
        <f>V6*1.5*1.5*3.1416*LOOKUP(V8,密度!$A$2:$A$50,密度!$L$2:$L$50)</f>
        <v>43759.122560999996</v>
      </c>
      <c r="W7" s="73" ph="1">
        <f>W6*1.5*1.5*3.1416*LOOKUP(W8,密度!$A$2:$A$50,密度!$L$2:$L$50)</f>
        <v>46567.51975259999</v>
      </c>
      <c r="X7" s="73" ph="1">
        <f>X6*1.5*1.5*3.1416*LOOKUP(X8,密度!$A$2:$A$50,密度!$L$2:$L$50)</f>
        <v>47379.320188199999</v>
      </c>
      <c r="Y7" s="73" ph="1">
        <f>Y6*1.5*1.5*3.1416*LOOKUP(Y8,密度!$A$2:$A$50,密度!$L$2:$L$50)</f>
        <v>34245.288831600003</v>
      </c>
      <c r="Z7" s="73" ph="1">
        <f>Z6*33.183*LOOKUP(Z8,密度!$A$2:$A$50,密度!$L$2:$L$50)</f>
        <v>117000.835641</v>
      </c>
      <c r="AA7" s="73" ph="1">
        <f>AA6*33.183*LOOKUP(AA8,密度!$A$2:$A$50,密度!$D$2:$D$50)</f>
        <v>223999.56846450004</v>
      </c>
      <c r="AB7" s="73" ph="1">
        <f>AB6*20.428*LOOKUP(AB8,密度!$A$2:$A$50,密度!$D$2:$D$50)</f>
        <v>73753.602561599997</v>
      </c>
      <c r="AC7" s="73" ph="1">
        <f>AC6*51.53*LOOKUP(AC8,密度!$A$2:$A$50,密度!$Q$2:$Q$50)</f>
        <v>378708.83846619999</v>
      </c>
      <c r="AD7" s="73" ph="1">
        <f>AD6*20.428*LOOKUP(AD8,密度!$A$2:$A$50,密度!$V$2:$V$50)</f>
        <v>35446.6656</v>
      </c>
      <c r="AE7" s="73" ph="1">
        <f>AE6*20.428</f>
        <v>90373.472000000009</v>
      </c>
    </row>
    <row r="8" spans="1:99" ph="1">
      <c r="B8" s="241" ph="1"/>
      <c r="C8" s="68" t="s" ph="1">
        <v>179</v>
      </c>
      <c r="D8" s="74">
        <v>24</v>
      </c>
      <c r="E8" s="74">
        <v>22</v>
      </c>
      <c r="F8" s="74">
        <v>22</v>
      </c>
      <c r="G8" s="74">
        <v>23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25</v>
      </c>
      <c r="O8" s="74">
        <v>25</v>
      </c>
      <c r="P8" s="74">
        <v>19</v>
      </c>
      <c r="Q8" s="74">
        <v>23</v>
      </c>
      <c r="R8" s="74">
        <v>26</v>
      </c>
      <c r="S8" s="74">
        <v>19</v>
      </c>
      <c r="T8" s="74">
        <v>17</v>
      </c>
      <c r="U8" s="74">
        <v>23</v>
      </c>
      <c r="V8" s="74">
        <v>27</v>
      </c>
      <c r="W8" s="74">
        <v>21</v>
      </c>
      <c r="X8" s="74">
        <v>13</v>
      </c>
      <c r="Y8" s="74">
        <v>20</v>
      </c>
      <c r="Z8" s="74">
        <v>21</v>
      </c>
      <c r="AA8" s="74">
        <v>22</v>
      </c>
      <c r="AB8" s="74">
        <v>16</v>
      </c>
      <c r="AC8" s="74">
        <v>20</v>
      </c>
      <c r="AD8" s="74">
        <v>20</v>
      </c>
      <c r="AE8" s="74">
        <v>23</v>
      </c>
    </row>
    <row r="9" spans="1:99" ht="26.4" ph="1">
      <c r="B9" s="241" ph="1">
        <v>0.66666666666666663</v>
      </c>
      <c r="C9" s="148" t="s" ph="1">
        <v>180</v>
      </c>
      <c r="D9" s="71">
        <v>7087</v>
      </c>
      <c r="E9" s="71">
        <v>6648</v>
      </c>
      <c r="F9" s="71">
        <v>5829</v>
      </c>
      <c r="G9" s="71">
        <v>5458</v>
      </c>
      <c r="H9" s="71">
        <v>2917</v>
      </c>
      <c r="I9" s="71">
        <v>7.0000000000000007E-2</v>
      </c>
      <c r="J9" s="71">
        <v>6.35</v>
      </c>
      <c r="K9" s="71">
        <v>62.75</v>
      </c>
      <c r="L9" s="71">
        <v>35.590000000000003</v>
      </c>
      <c r="M9" s="71">
        <v>489</v>
      </c>
      <c r="N9" s="71">
        <v>3165</v>
      </c>
      <c r="O9" s="71">
        <v>4300</v>
      </c>
      <c r="P9" s="71">
        <v>506</v>
      </c>
      <c r="Q9" s="71">
        <v>0</v>
      </c>
      <c r="R9" s="71">
        <v>2264</v>
      </c>
      <c r="S9" s="71">
        <v>6235</v>
      </c>
      <c r="T9" s="71">
        <v>7159</v>
      </c>
      <c r="U9" s="71">
        <v>7010</v>
      </c>
      <c r="V9" s="71">
        <v>6632</v>
      </c>
      <c r="W9" s="71">
        <v>7008</v>
      </c>
      <c r="X9" s="71">
        <v>7073</v>
      </c>
      <c r="Y9" s="71">
        <v>777</v>
      </c>
      <c r="Z9" s="71">
        <v>3760</v>
      </c>
      <c r="AA9" s="71">
        <v>6562</v>
      </c>
      <c r="AB9" s="71">
        <v>3493</v>
      </c>
      <c r="AC9" s="71">
        <v>7572</v>
      </c>
      <c r="AD9" s="71">
        <v>1800</v>
      </c>
      <c r="AE9" s="71">
        <v>4420</v>
      </c>
    </row>
    <row r="10" spans="1:99" s="72" customFormat="1" ht="22.2" ph="1">
      <c r="B10" s="241" ph="1"/>
      <c r="C10" s="148" t="s" ph="1">
        <v>178</v>
      </c>
      <c r="D10" s="73" ph="1">
        <f>D9*33.183*LOOKUP(D11,密度!$A$2:$A$50,密度!$Q$2:$Q$50)</f>
        <v>222814.55010987</v>
      </c>
      <c r="E10" s="73" ph="1">
        <f>E9*51.53*LOOKUP(E11,密度!$A$2:$A$50,密度!$B$2:$B$50)</f>
        <v>267993.63751199999</v>
      </c>
      <c r="F10" s="73" ph="1">
        <f>F9*33.183*LOOKUP(F11,密度!$A$2:$A$50,密度!$C$2:$C$50)</f>
        <v>215067.81981330001</v>
      </c>
      <c r="G10" s="73" ph="1">
        <f xml:space="preserve"> (G9+2)*51.53*LOOKUP(G11,密度!$A$2:$A$50,密度!$B$2:$B$50)</f>
        <v>219596.64089999997</v>
      </c>
      <c r="H10" s="73" ph="1">
        <f>(H9)*51.53*LOOKUP(H11,密度!$A$2:$A$50,密度!$B$2:$B$50)</f>
        <v>117860.43114100001</v>
      </c>
      <c r="I10" s="73" ph="1">
        <f>I9*290.8*1.0267</f>
        <v>20.8995052</v>
      </c>
      <c r="J10" s="73" ph="1">
        <f>J9*290.8*0.7892</f>
        <v>1457.3209360000001</v>
      </c>
      <c r="K10" s="73" ph="1">
        <f>K9*290.8*1.1126</f>
        <v>20302.391020000003</v>
      </c>
      <c r="L10" s="73" ph="1">
        <f>L9*290.8*0.777</f>
        <v>8041.6174440000013</v>
      </c>
      <c r="M10" s="73" ph="1">
        <f>M9*33.183*LOOKUP(M11,密度!$A$2:$A$50,密度!$D$2:$D$50)</f>
        <v>16705.168366500002</v>
      </c>
      <c r="N10" s="73" ph="1">
        <f>N9*33.183*LOOKUP(N11,密度!$A$2:$A$50,密度!$E$2:$E$50)</f>
        <v>82380.978557999988</v>
      </c>
      <c r="O10" s="73" ph="1">
        <f>O9*20.428*LOOKUP(O11,密度!$A$2:$A$50,密度!$C$2:$C$50)</f>
        <v>97406.219560000012</v>
      </c>
      <c r="P10" s="73" ph="1">
        <f>P9*51.53*LOOKUP(P11,密度!$A$2:$A$50,密度!$B$2:$B$50)</f>
        <v>20444.764537999999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14947.091913600001</v>
      </c>
      <c r="S10" s="73" ph="1">
        <f>S9*1.5*1.5*3.1416*LOOKUP(S11,密度!$A$2:$A$50,密度!$L$2:$L$50)</f>
        <v>41516.503181999993</v>
      </c>
      <c r="T10" s="73" ph="1">
        <f>T9*1.5*1.5*3.1416*LOOKUP(T11,密度!$A$2:$A$50,密度!$L$2:$L$50)</f>
        <v>47669.069170800001</v>
      </c>
      <c r="U10" s="73" ph="1">
        <f>U9*1.5*1.5*3.1416*LOOKUP(U11,密度!$A$2:$A$50,密度!$L$2:$L$50)</f>
        <v>46528.281953999998</v>
      </c>
      <c r="V10" s="73" ph="1">
        <f>V9*1.5*1.5*3.1416*LOOKUP(V11,密度!$A$2:$A$50,密度!$L$2:$L$50)</f>
        <v>43784.944156799997</v>
      </c>
      <c r="W10" s="73" ph="1">
        <f>W9*1.5*1.5*3.1416*LOOKUP(W11,密度!$A$2:$A$50,密度!$L$2:$L$50)</f>
        <v>46564.543872000002</v>
      </c>
      <c r="X10" s="73" ph="1">
        <f>X9*1.5*1.5*3.1416*LOOKUP(X11,密度!$A$2:$A$50,密度!$L$2:$L$50)</f>
        <v>47346.408786599997</v>
      </c>
      <c r="Y10" s="73" ph="1">
        <f>Y9*1.5*1.5*3.1416*LOOKUP(Y11,密度!$A$2:$A$50,密度!$L$2:$L$50)</f>
        <v>5173.7486724</v>
      </c>
      <c r="Z10" s="73" ph="1">
        <f>Z9*33.183*LOOKUP(Z11,密度!$A$2:$A$50,密度!$L$2:$L$50)</f>
        <v>117531.53135999999</v>
      </c>
      <c r="AA10" s="73" ph="1">
        <f>AA9*33.183*LOOKUP(AA11,密度!$A$2:$A$50,密度!$D$2:$D$50)</f>
        <v>223974.40579559997</v>
      </c>
      <c r="AB10" s="73" ph="1">
        <f>AB9*20.428*LOOKUP(AB11,密度!$A$2:$A$50,密度!$D$2:$D$50)</f>
        <v>73716.854632399991</v>
      </c>
      <c r="AC10" s="73" ph="1">
        <f>AC9*51.53*LOOKUP(AC11,密度!$A$2:$A$50,密度!$Q$2:$Q$50)</f>
        <v>370824.17236080003</v>
      </c>
      <c r="AD10" s="73" ph="1">
        <f>AD9*20.428*LOOKUP(AD11,密度!$A$2:$A$50,密度!$V$2:$V$50)</f>
        <v>35329.000319999999</v>
      </c>
      <c r="AE10" s="73" ph="1">
        <f>AE9*20.428</f>
        <v>90291.760000000009</v>
      </c>
    </row>
    <row r="11" spans="1:99" ph="1">
      <c r="A11" s="64" t="s" ph="1">
        <v>162</v>
      </c>
      <c r="B11" s="241" ph="1"/>
      <c r="C11" s="148" t="s" ph="1">
        <v>179</v>
      </c>
      <c r="D11" s="74">
        <v>24</v>
      </c>
      <c r="E11" s="74">
        <v>22</v>
      </c>
      <c r="F11" s="74">
        <v>21</v>
      </c>
      <c r="G11" s="74">
        <v>24</v>
      </c>
      <c r="H11" s="74">
        <v>20</v>
      </c>
      <c r="I11" s="74">
        <v>25</v>
      </c>
      <c r="J11" s="74">
        <v>25</v>
      </c>
      <c r="K11" s="74">
        <v>25</v>
      </c>
      <c r="L11" s="74">
        <v>25</v>
      </c>
      <c r="M11" s="74">
        <v>22</v>
      </c>
      <c r="N11" s="74">
        <v>24</v>
      </c>
      <c r="O11" s="74">
        <v>25</v>
      </c>
      <c r="P11" s="74">
        <v>20</v>
      </c>
      <c r="Q11" s="74">
        <v>24</v>
      </c>
      <c r="R11" s="74">
        <v>28</v>
      </c>
      <c r="S11" s="74">
        <v>20</v>
      </c>
      <c r="T11" s="74">
        <v>20</v>
      </c>
      <c r="U11" s="74">
        <v>23</v>
      </c>
      <c r="V11" s="74">
        <v>28</v>
      </c>
      <c r="W11" s="74">
        <v>22</v>
      </c>
      <c r="X11" s="74">
        <v>15</v>
      </c>
      <c r="Y11" s="74">
        <v>20</v>
      </c>
      <c r="Z11" s="74">
        <v>20</v>
      </c>
      <c r="AA11" s="74">
        <v>23</v>
      </c>
      <c r="AB11" s="74">
        <v>18</v>
      </c>
      <c r="AC11" s="74">
        <v>20</v>
      </c>
      <c r="AD11" s="74">
        <v>21</v>
      </c>
      <c r="AE11" s="74">
        <v>25</v>
      </c>
    </row>
    <row r="12" spans="1:99" ht="9.9" customHeight="1" ph="1"/>
    <row r="13" spans="1:99" s="72" customFormat="1" ht="29.25" customHeight="1" ph="1">
      <c r="B13" s="218" t="s" ph="1">
        <v>37</v>
      </c>
      <c r="C13" s="148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48" t="s" ph="1">
        <v>177</v>
      </c>
      <c r="D15" s="78">
        <v>0</v>
      </c>
      <c r="E15" s="78">
        <v>62</v>
      </c>
      <c r="F15" s="78">
        <v>2088</v>
      </c>
      <c r="G15" s="78">
        <v>1739</v>
      </c>
      <c r="H15" s="78">
        <v>0</v>
      </c>
      <c r="I15" s="78">
        <v>5067</v>
      </c>
      <c r="J15" s="78">
        <v>715</v>
      </c>
      <c r="K15" s="78">
        <v>5003</v>
      </c>
      <c r="L15" s="78">
        <v>3189</v>
      </c>
      <c r="M15" s="78">
        <v>1067</v>
      </c>
      <c r="N15" s="78">
        <v>1593</v>
      </c>
      <c r="O15" s="78">
        <v>4728</v>
      </c>
      <c r="P15" s="78">
        <v>653</v>
      </c>
      <c r="Q15" s="78">
        <v>977</v>
      </c>
      <c r="R15" s="78">
        <v>0</v>
      </c>
      <c r="S15" s="78">
        <v>6447</v>
      </c>
      <c r="T15" s="78">
        <v>3781</v>
      </c>
      <c r="U15" s="78">
        <v>1707</v>
      </c>
      <c r="V15" s="78">
        <v>1660</v>
      </c>
      <c r="W15" s="71">
        <v>-173</v>
      </c>
      <c r="X15" s="78">
        <v>-144</v>
      </c>
      <c r="Y15" s="106">
        <v>-9903</v>
      </c>
      <c r="Z15" s="78">
        <v>0</v>
      </c>
      <c r="AA15" s="78">
        <v>257</v>
      </c>
      <c r="AB15" s="78" ph="1">
        <v>1069</v>
      </c>
      <c r="AC15" s="78" ph="1">
        <v>0</v>
      </c>
      <c r="AD15" s="78">
        <v>5.77</v>
      </c>
      <c r="AE15" s="78">
        <v>56.29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48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412.83451439999999</v>
      </c>
      <c r="F16" s="73" ph="1">
        <f>F15*9.0746*LOOKUP(F17,密度!$A$2:$A$50,密度!$L$2:$L$50)</f>
        <v>17735.107852800003</v>
      </c>
      <c r="G16" s="73" ph="1">
        <f>G15*9.0746*LOOKUP(G17,密度!$A$2:$A$50,密度!$B$2:$B$50)</f>
        <v>12345.264609620001</v>
      </c>
      <c r="H16" s="73" ph="1">
        <f>H15*9.0746*LOOKUP(H17,密度!$A$2:$A$50,密度!$L$2:$L$50)</f>
        <v>0</v>
      </c>
      <c r="I16" s="73" ph="1">
        <f>I15*9.0746*LOOKUP(I17,密度!$A$2:$A$50,密度!$U$2:$U$50)</f>
        <v>47268.466149600004</v>
      </c>
      <c r="J16" s="73" ph="1">
        <f>J15*9.0746*LOOKUP(J17,密度!$A$2:$A$50,密度!$L$2:$L$50)</f>
        <v>6099.0386599999993</v>
      </c>
      <c r="K16" s="73" ph="1">
        <f>K15*9.0746*LOOKUP(K17,密度!$A$2:$A$50,密度!$C$2:$C$50)</f>
        <v>50444.188664180001</v>
      </c>
      <c r="L16" s="73" ph="1">
        <f>L15*9.0746*LOOKUP(L17,密度!$A$2:$A$50,密度!$E$2:$E$50)</f>
        <v>22803.852727200003</v>
      </c>
      <c r="M16" s="73" ph="1">
        <f>M15*9.0746*LOOKUP(M17,密度!$A$2:$A$50,密度!$M$2:$M$50)</f>
        <v>8480.9877633800006</v>
      </c>
      <c r="N16" s="73" ph="1">
        <f>N15*9.0746*LOOKUP(N17,密度!$A$2:$A$50,密度!$M$2:$M$50)</f>
        <v>12725.47401534</v>
      </c>
      <c r="O16" s="73" ph="1">
        <f>O15*9.0746*LOOKUP(O17,密度!$A$2:$A$50,密度!$G$2:$G$50)</f>
        <v>41240.006098559999</v>
      </c>
      <c r="P16" s="73" ph="1">
        <f ca="1">P15*9.0746*LOOKUP(P17,密度!$A$2:$A$51,密度!$Q$2:$Q$50)</f>
        <v>5627.5911387220003</v>
      </c>
      <c r="Q16" s="73" ph="1">
        <f>Q15*9.0746*LOOKUP(Q17,密度!$A$2:$A$50,密度!$Q$2:$Q$50)</f>
        <v>8425.9590259960005</v>
      </c>
      <c r="R16" s="73" ph="1">
        <f>MAX(R15*9.0746*LOOKUP(R17,密度!$A$2:$A$50,密度!$B$2:$B$50),0)</f>
        <v>0</v>
      </c>
      <c r="S16" s="73" ph="1">
        <f>S15*9.0746*LOOKUP(S17,密度!$A$2:$A$50,密度!$Q$2:$Q$50)</f>
        <v>55560.612666678004</v>
      </c>
      <c r="T16" s="73" ph="1">
        <f>T15*9.0746*LOOKUP(T17,密度!$A$2:$A$50,密度!$O$2:$O$50)</f>
        <v>31909.288217999998</v>
      </c>
      <c r="U16" s="73" ph="1">
        <f>U15*9.0746*LOOKUP(U17,密度!$A$2:$A$50,密度!$H$2:$H$50)</f>
        <v>14246.467721340001</v>
      </c>
      <c r="V16" s="73" ph="1">
        <f>MAX(5600*LOOKUP(V17,密度!$A$2:$A$50,密度!$Q$2:$Q$50)+V15*9.0476*LOOKUP(V17,密度!$A$2:$A$50,密度!$Q$2:$Q$50),0)</f>
        <v>19535.899089519997</v>
      </c>
      <c r="W16" s="73" ph="1">
        <f>MAX(5600*LOOKUP(W17,密度!$A$2:$A$50,密度!$Q$2:$Q$50)+W15*9.0476*LOOKUP(W17,密度!$A$2:$A$50,密度!$Q$2:$Q$50),0)</f>
        <v>3825.7643626399999</v>
      </c>
      <c r="X16" s="73" ph="1">
        <f>MAX(5600*LOOKUP(X17,密度!$A$2:$A$50,密度!$I$2:$I$50)+X15*9.0476*LOOKUP(X17,密度!$A$2:$A$50,密度!$I$2:$I$50),0)</f>
        <v>4488.79829376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1830.5219597800001</v>
      </c>
      <c r="AB16" s="73" ph="1">
        <f>AB15*9.0746*LOOKUP(AB17,密度!$A$2:$A$50,密度!$L$2:$L$50)</f>
        <v>9128.4033034000004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2429.4546945599996</v>
      </c>
      <c r="AE16" s="73" ph="1">
        <f>AE15*268.68*LOOKUP(AE17,密度!$A$2:$A$50,密度!B2:B50)+IF(AE15&lt;=0,0,1566*LOOKUP(AE17,密度!$A$2:$A$50,密度!B2:B50))</f>
        <v>13011.521817119999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21</v>
      </c>
      <c r="E17" s="74">
        <v>20</v>
      </c>
      <c r="F17" s="74">
        <v>26</v>
      </c>
      <c r="G17" s="74">
        <v>22</v>
      </c>
      <c r="H17" s="74">
        <v>16</v>
      </c>
      <c r="I17" s="74">
        <v>20</v>
      </c>
      <c r="J17" s="74">
        <v>22</v>
      </c>
      <c r="K17" s="74">
        <v>22</v>
      </c>
      <c r="L17" s="74">
        <v>21</v>
      </c>
      <c r="M17" s="74">
        <v>24</v>
      </c>
      <c r="N17" s="74">
        <v>20</v>
      </c>
      <c r="O17" s="74">
        <v>24</v>
      </c>
      <c r="P17" s="74">
        <v>21</v>
      </c>
      <c r="Q17" s="74">
        <v>20</v>
      </c>
      <c r="R17" s="74">
        <v>22</v>
      </c>
      <c r="S17" s="74">
        <v>21</v>
      </c>
      <c r="T17" s="74">
        <v>21</v>
      </c>
      <c r="U17" s="74">
        <v>20</v>
      </c>
      <c r="V17" s="74">
        <v>24</v>
      </c>
      <c r="W17" s="74">
        <v>23</v>
      </c>
      <c r="X17" s="74">
        <v>23</v>
      </c>
      <c r="Y17" s="108">
        <v>23</v>
      </c>
      <c r="Z17" s="74">
        <v>21</v>
      </c>
      <c r="AA17" s="74">
        <v>19</v>
      </c>
      <c r="AB17" s="74">
        <v>21</v>
      </c>
      <c r="AC17" s="74">
        <v>19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1953</v>
      </c>
      <c r="E18" s="71">
        <v>62</v>
      </c>
      <c r="F18" s="71">
        <v>2091</v>
      </c>
      <c r="G18" s="71">
        <v>3640</v>
      </c>
      <c r="H18" s="71">
        <v>0</v>
      </c>
      <c r="I18" s="71">
        <v>5072</v>
      </c>
      <c r="J18" s="71">
        <v>548</v>
      </c>
      <c r="K18" s="71">
        <v>5008</v>
      </c>
      <c r="L18" s="71">
        <v>3197</v>
      </c>
      <c r="M18" s="71">
        <v>1066</v>
      </c>
      <c r="N18" s="71">
        <v>1595</v>
      </c>
      <c r="O18" s="71">
        <v>4736</v>
      </c>
      <c r="P18" s="71">
        <v>655</v>
      </c>
      <c r="Q18" s="71">
        <v>981</v>
      </c>
      <c r="R18" s="71">
        <v>0</v>
      </c>
      <c r="S18" s="71">
        <v>6458</v>
      </c>
      <c r="T18" s="71">
        <v>3787</v>
      </c>
      <c r="U18" s="71">
        <v>1710</v>
      </c>
      <c r="V18" s="71">
        <v>1661</v>
      </c>
      <c r="W18" s="71">
        <v>-172</v>
      </c>
      <c r="X18" s="71">
        <v>-143</v>
      </c>
      <c r="Y18" s="109">
        <v>-9904</v>
      </c>
      <c r="Z18" s="71">
        <v>0</v>
      </c>
      <c r="AA18" s="71">
        <v>2730</v>
      </c>
      <c r="AB18" s="71">
        <v>1071</v>
      </c>
      <c r="AC18" s="71">
        <v>22</v>
      </c>
      <c r="AD18" s="71">
        <v>23.84</v>
      </c>
      <c r="AE18" s="71">
        <v>84.71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48" t="s" ph="1">
        <v>178</v>
      </c>
      <c r="D19" s="73" ph="1">
        <f>D18*7.0686*LOOKUP(D20,密度!$A$2:$A$50,密度!$L$2:$L$50)</f>
        <v>12976.677251999999</v>
      </c>
      <c r="E19" s="73" ph="1">
        <f>E18*7.0686*LOOKUP(E20,密度!$A$2:$A$50,密度!$L$2:$L$50)</f>
        <v>412.39626119999997</v>
      </c>
      <c r="F19" s="73" ph="1">
        <f>F18*9.0746*LOOKUP(F20,密度!$A$2:$A$50,密度!$L$2:$L$50)</f>
        <v>17779.564318200002</v>
      </c>
      <c r="G19" s="73" ph="1">
        <f>G18*9.0746*LOOKUP(G20,密度!$A$2:$A$50,密度!$B$2:$B$50)</f>
        <v>25810.848481600002</v>
      </c>
      <c r="H19" s="73" ph="1">
        <f>H18*9.0746*LOOKUP(H20,密度!$A$2:$A$50,密度!$L$2:$L$50)</f>
        <v>0</v>
      </c>
      <c r="I19" s="73" ph="1">
        <f>I18*9.0746*LOOKUP(I20,密度!$A$2:$A$50,密度!$U$2:$U$50)</f>
        <v>47315.109593600006</v>
      </c>
      <c r="J19" s="73" ph="1">
        <f>J18*9.0746*LOOKUP(J20,密度!$A$2:$A$50,密度!$L$2:$L$50)</f>
        <v>4674.5079519999999</v>
      </c>
      <c r="K19" s="73" ph="1">
        <f>K18*9.0746*LOOKUP(K20,密度!$A$2:$A$50,密度!$C$2:$C$50)</f>
        <v>50494.602604479995</v>
      </c>
      <c r="L19" s="73" ph="1">
        <f>L18*9.0746*LOOKUP(L20,密度!$A$2:$A$50,密度!$E$2:$E$50)</f>
        <v>22791.431414719998</v>
      </c>
      <c r="M19" s="73" ph="1">
        <f>M18*9.0746*LOOKUP(M20,密度!$A$2:$A$50,密度!$M$2:$M$50)</f>
        <v>8483.6801972000012</v>
      </c>
      <c r="N19" s="73" ph="1">
        <f>N18*9.0746*LOOKUP(N20,密度!$A$2:$A$50,密度!$M$2:$M$50)</f>
        <v>12724.081971700001</v>
      </c>
      <c r="O19" s="73" ph="1">
        <f>O18*9.0746*LOOKUP(O20,密度!$A$2:$A$50,密度!$G$2:$G$50)</f>
        <v>41309.786142720004</v>
      </c>
      <c r="P19" s="73" ph="1">
        <f ca="1">P18*9.0746*LOOKUP(P20,密度!$A$2:$A$51,密度!$Q$2:$Q$50)</f>
        <v>5641.2609346700001</v>
      </c>
      <c r="Q19" s="73" ph="1">
        <f>Q18*9.0746*LOOKUP(Q20,密度!$A$2:$A$50,密度!$Q$2:$Q$50)</f>
        <v>8454.3137933939997</v>
      </c>
      <c r="R19" s="73" ph="1">
        <f>MAX(R18*9.0746*LOOKUP(R20,密度!$A$2:$A$50,密度!$B$2:$B$50),0)</f>
        <v>0</v>
      </c>
      <c r="S19" s="73" ph="1">
        <f>S18*9.0746*LOOKUP(S20,密度!$A$2:$A$50,密度!$Q$2:$Q$50)</f>
        <v>55620.249032212007</v>
      </c>
      <c r="T19" s="73" ph="1">
        <f>T18*9.0746*LOOKUP(T20,密度!$A$2:$A$50,密度!$O$2:$O$50)</f>
        <v>31959.924486000007</v>
      </c>
      <c r="U19" s="73" ph="1">
        <f>U18*9.0746*LOOKUP(U20,密度!$A$2:$A$50,密度!$H$2:$H$50)</f>
        <v>14257.5396408</v>
      </c>
      <c r="V19" s="73" ph="1">
        <f>MAX(5600*LOOKUP(V20,密度!$A$2:$A$50,密度!$Q$2:$Q$50)+V18*9.0476*LOOKUP(V20,密度!$A$2:$A$50,密度!$Q$2:$Q$50),0)</f>
        <v>19559.529905520001</v>
      </c>
      <c r="W19" s="73" ph="1">
        <f>MAX(5600*LOOKUP(W20,密度!$A$2:$A$50,密度!$Q$2:$Q$50)+W18*9.0476*LOOKUP(W20,密度!$A$2:$A$50,密度!$Q$2:$Q$50),0)</f>
        <v>3837.9422903519999</v>
      </c>
      <c r="X19" s="73" ph="1">
        <f>MAX(5600*LOOKUP(X20,密度!$A$2:$A$50,密度!$I$2:$I$50)+X18*9.0476*LOOKUP(X20,密度!$A$2:$A$50,密度!$I$2:$I$50),0)</f>
        <v>4493.0819848800011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19271.428558200001</v>
      </c>
      <c r="AB19" s="73" ph="1">
        <f>AB18*9.0746*LOOKUP(AB20,密度!$A$2:$A$50,密度!$L$2:$L$50)</f>
        <v>9145.4817005999994</v>
      </c>
      <c r="AC19" s="73" ph="1">
        <f>AC18*9.0746*LOOKUP(AC20,密度!$A$2:$A$50,密度!$L$2:$L$50)</f>
        <v>188.26165159999999</v>
      </c>
      <c r="AD19" s="73" ph="1">
        <f>AD18*268.68*LOOKUP(AD20,密度!$A$2:$A$50,密度!B5:B53)+IF(AD18&lt;=0,0,1566*LOOKUP(AD20,密度!$A$2:$A$50,密度!B5:B53))</f>
        <v>6193.7243424000008</v>
      </c>
      <c r="AE19" s="73" ph="1">
        <f>AE18*268.68*LOOKUP(AE20,密度!$A$2:$A$50,密度!B5:B53)+IF(AE18&lt;=0,0,1566*LOOKUP(AE20,密度!$A$2:$A$50,密度!B5:B53))</f>
        <v>18901.2109356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22</v>
      </c>
      <c r="E20" s="81">
        <v>21</v>
      </c>
      <c r="F20" s="81">
        <v>25</v>
      </c>
      <c r="G20" s="81">
        <v>23</v>
      </c>
      <c r="H20" s="81">
        <v>17</v>
      </c>
      <c r="I20" s="81">
        <v>21</v>
      </c>
      <c r="J20" s="81">
        <v>22</v>
      </c>
      <c r="K20" s="81">
        <v>22</v>
      </c>
      <c r="L20" s="81">
        <v>23</v>
      </c>
      <c r="M20" s="81">
        <v>23</v>
      </c>
      <c r="N20" s="81">
        <v>21</v>
      </c>
      <c r="O20" s="81">
        <v>24</v>
      </c>
      <c r="P20" s="81">
        <v>22</v>
      </c>
      <c r="Q20" s="81">
        <v>21</v>
      </c>
      <c r="R20" s="81">
        <v>23</v>
      </c>
      <c r="S20" s="81">
        <v>22</v>
      </c>
      <c r="T20" s="81">
        <v>23</v>
      </c>
      <c r="U20" s="81">
        <v>21</v>
      </c>
      <c r="V20" s="81">
        <v>23</v>
      </c>
      <c r="W20" s="81">
        <v>22</v>
      </c>
      <c r="X20" s="81">
        <v>24</v>
      </c>
      <c r="Y20" s="110">
        <v>24</v>
      </c>
      <c r="Z20" s="81">
        <v>24</v>
      </c>
      <c r="AA20" s="81">
        <v>27</v>
      </c>
      <c r="AB20" s="81">
        <v>21</v>
      </c>
      <c r="AC20" s="81">
        <v>19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48" t="s" ph="1">
        <v>177</v>
      </c>
      <c r="D24" s="71">
        <v>62.93</v>
      </c>
      <c r="E24" s="71">
        <v>5.63</v>
      </c>
      <c r="F24" s="71">
        <v>1846</v>
      </c>
      <c r="G24" s="71">
        <v>2906</v>
      </c>
      <c r="H24" s="71">
        <v>2496</v>
      </c>
      <c r="I24" s="71">
        <v>404</v>
      </c>
      <c r="J24" s="71">
        <v>825</v>
      </c>
      <c r="K24" s="71">
        <v>1557</v>
      </c>
      <c r="L24" s="71">
        <v>468</v>
      </c>
      <c r="M24" s="71">
        <v>1036</v>
      </c>
      <c r="N24" s="71">
        <v>4820</v>
      </c>
      <c r="O24" s="71">
        <v>5414</v>
      </c>
      <c r="P24" s="71">
        <v>1162</v>
      </c>
      <c r="Q24" s="90">
        <v>2291</v>
      </c>
      <c r="R24" s="71">
        <v>5189</v>
      </c>
      <c r="S24" s="71">
        <v>2441</v>
      </c>
      <c r="T24" s="71">
        <v>1276</v>
      </c>
      <c r="U24" s="71">
        <v>6515</v>
      </c>
      <c r="V24" s="71">
        <v>7743</v>
      </c>
      <c r="W24" s="71">
        <v>8385</v>
      </c>
      <c r="X24" s="71">
        <v>4061</v>
      </c>
      <c r="Y24" s="71">
        <v>3230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17490.105434376001</v>
      </c>
      <c r="E25" s="91" ph="1">
        <f>E24*268.68*LOOKUP(E26,密度!$A$2:$A$50,密度!$C$2:$C$50)+IF(E24&lt;=0,0,1566*LOOKUP(E26,密度!$A$2:$A$50,密度!$C$2:$C$50))</f>
        <v>3413.93538876</v>
      </c>
      <c r="F25" s="91" ph="1">
        <f>F24*11.702*LOOKUP(F26,密度!$A$2:$A$50,密度!$Q$2:$Q$50)</f>
        <v>20502.13967828</v>
      </c>
      <c r="G25" s="91" ph="1">
        <f>G24*18.322*LOOKUP(G26,密度!$A$2:$A$50,密度!$B$2:$B$50)</f>
        <v>41604.652184799997</v>
      </c>
      <c r="H25" s="91" ph="1">
        <f>H24*18.322*LOOKUP(H26,密度!$A$2:$A$50,密度!$B$2:$B$50)</f>
        <v>35734.759756799998</v>
      </c>
      <c r="I25" s="91" ph="1">
        <f>I24*18.322*LOOKUP(I26,密度!$A$2:$A$50,密度!$Q$2:$Q$50)</f>
        <v>7018.6598415999997</v>
      </c>
      <c r="J25" s="91" ph="1">
        <f>J24*18.322*LOOKUP(J26,密度!$A$2:$A$50,密度!$Q$2:$Q$50)</f>
        <v>14346.112258499999</v>
      </c>
      <c r="K25" s="91" ph="1">
        <f>K24*18.322*LOOKUP(K26,密度!$A$2:$A$50,密度!$Q$2:$Q$50)</f>
        <v>27028.812094379999</v>
      </c>
      <c r="L25" s="91" ph="1">
        <f>L24*18.322*LOOKUP(L26,密度!$A$2:$A$50,密度!$Q$2:$Q$50)</f>
        <v>8124.2672191199999</v>
      </c>
      <c r="M25" s="91" ph="1">
        <f>M24*18.322*LOOKUP(M26,密度!$A$2:$A$50,密度!$Q$2:$Q$50)</f>
        <v>17998.345534400003</v>
      </c>
      <c r="N25" s="91" ph="1">
        <f>N24*18.322*LOOKUP(N26,密度!$A$2:$A$50,密度!$Q$2:$Q$50)</f>
        <v>83816.074043599991</v>
      </c>
      <c r="O25" s="91" ph="1">
        <f>O24*18.322*LOOKUP(O26,密度!$A$2:$A$50,密度!$C$2:$C$50)</f>
        <v>110295.2629652</v>
      </c>
      <c r="P25" s="91" ph="1">
        <f>P24*11.702*LOOKUP(P26,密度!$A$2:$A$50,密度!$B$2:$B$50)</f>
        <v>10649.7374368</v>
      </c>
      <c r="Q25" s="92" ph="1">
        <f>Q24*18.322*LOOKUP(Q26,密度!$A$2:$A$50,密度!$B$2:$B$50)</f>
        <v>32762.035410999997</v>
      </c>
      <c r="R25" s="91" ph="1">
        <f>R24*35.891*LOOKUP(R26,密度!$A$2:$A$50,密度!$C$2:$C$50)</f>
        <v>206650.1275304</v>
      </c>
      <c r="S25" s="91" ph="1">
        <f>S24*35.891*LOOKUP(S26,密度!$A$2:$A$50,密度!$B$2:$B$50)</f>
        <v>68300.702207599999</v>
      </c>
      <c r="T25" s="91" ph="1">
        <f>T24*35.891*LOOKUP(T26,密度!$A$2:$A$50,密度!$Q$2:$Q$50)</f>
        <v>43465.395006439998</v>
      </c>
      <c r="U25" s="91" ph="1">
        <f>U24*35.891</f>
        <v>233829.86499999999</v>
      </c>
      <c r="V25" s="91" ph="1">
        <f>V24*47.051*LOOKUP(V26,密度!$A$2:$A$50,密度!$B$2:$B$50)</f>
        <v>285660.09170130006</v>
      </c>
      <c r="W25" s="91" ph="1">
        <f>W24*47.051*LOOKUP(W26,密度!$A$2:$A$50,密度!$B$2:$B$50)</f>
        <v>307924.91661750001</v>
      </c>
      <c r="X25" s="91" ph="1">
        <f>X24*47.051*LOOKUP(X26,密度!$A$2:$A$61,密度!$I$2:$I$61)</f>
        <v>198946.36437319999</v>
      </c>
      <c r="Y25" s="91" ph="1">
        <f>Y24*47.051*LOOKUP(Y26,密度!$A$2:$A$50,密度!$L$2:$L$50)</f>
        <v>142552.29673999999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22</v>
      </c>
      <c r="G26" s="74">
        <v>23</v>
      </c>
      <c r="H26" s="74">
        <v>23</v>
      </c>
      <c r="I26" s="74">
        <v>23</v>
      </c>
      <c r="J26" s="74">
        <v>22</v>
      </c>
      <c r="K26" s="74">
        <v>24</v>
      </c>
      <c r="L26" s="74">
        <v>24</v>
      </c>
      <c r="M26" s="74">
        <v>23</v>
      </c>
      <c r="N26" s="74">
        <v>22</v>
      </c>
      <c r="O26" s="74">
        <v>21</v>
      </c>
      <c r="P26" s="74">
        <v>21</v>
      </c>
      <c r="Q26" s="93">
        <v>24</v>
      </c>
      <c r="R26" s="74">
        <v>24</v>
      </c>
      <c r="S26" s="74">
        <v>25</v>
      </c>
      <c r="T26" s="74">
        <v>22</v>
      </c>
      <c r="U26" s="74">
        <v>25</v>
      </c>
      <c r="V26" s="74">
        <v>20</v>
      </c>
      <c r="W26" s="74">
        <v>24</v>
      </c>
      <c r="X26" s="74">
        <v>26</v>
      </c>
      <c r="Y26" s="74">
        <v>24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48" t="s" ph="1">
        <v>180</v>
      </c>
      <c r="D27" s="71">
        <v>30.24</v>
      </c>
      <c r="E27" s="71">
        <v>5.65</v>
      </c>
      <c r="F27" s="71">
        <v>328</v>
      </c>
      <c r="G27" s="71">
        <v>2602</v>
      </c>
      <c r="H27" s="71">
        <v>2115</v>
      </c>
      <c r="I27" s="71">
        <v>403</v>
      </c>
      <c r="J27" s="71">
        <v>830</v>
      </c>
      <c r="K27" s="71">
        <v>1558</v>
      </c>
      <c r="L27" s="71">
        <v>469</v>
      </c>
      <c r="M27" s="71">
        <v>2592</v>
      </c>
      <c r="N27" s="71">
        <v>4826</v>
      </c>
      <c r="O27" s="71">
        <v>5417</v>
      </c>
      <c r="P27" s="71">
        <v>1161</v>
      </c>
      <c r="Q27" s="90">
        <v>2109</v>
      </c>
      <c r="R27" s="71">
        <v>5193</v>
      </c>
      <c r="S27" s="71">
        <v>2443</v>
      </c>
      <c r="T27" s="71">
        <v>1278</v>
      </c>
      <c r="U27" s="71">
        <v>6353</v>
      </c>
      <c r="V27" s="71">
        <v>6324</v>
      </c>
      <c r="W27" s="71">
        <v>9050</v>
      </c>
      <c r="X27" s="71">
        <v>4060</v>
      </c>
      <c r="Y27" s="71">
        <v>1914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48" t="s" ph="1">
        <v>178</v>
      </c>
      <c r="D28" s="91" ph="1">
        <f>D27*268.68*LOOKUP(D29,密度!$A$2:$A$50,密度!$Q$2:$Q$50)+IF(D27&lt;=0,0,1566*LOOKUP(D29,密度!$A$2:$A$50,密度!$Q$2:$Q$50))</f>
        <v>9174.746760768001</v>
      </c>
      <c r="E28" s="91" ph="1">
        <f>E27*268.68*LOOKUP(E29,密度!$A$2:$A$50,密度!$C$2:$C$50)+IF(E27&lt;=0,0,1566*LOOKUP(E29,密度!$A$2:$A$50,密度!$C$2:$C$50))</f>
        <v>3419.8941738000003</v>
      </c>
      <c r="F28" s="91" ph="1">
        <f>F27*11.702*LOOKUP(F29,密度!$A$2:$A$50,密度!$Q$2:$Q$50)</f>
        <v>3639.4343392000001</v>
      </c>
      <c r="G28" s="91" ph="1">
        <f>G27*18.322*LOOKUP(G29,密度!$A$2:$A$50,密度!$B$2:$B$50)</f>
        <v>37166.528782399997</v>
      </c>
      <c r="H28" s="91" ph="1">
        <f>H27*18.322*LOOKUP(H29,密度!$A$2:$A$50,密度!$B$2:$B$50)</f>
        <v>30245.178914999997</v>
      </c>
      <c r="I28" s="91" ph="1">
        <f>I27*18.322*LOOKUP(I29,密度!$A$2:$A$50,密度!$Q$2:$Q$50)</f>
        <v>6995.8967720199998</v>
      </c>
      <c r="J28" s="91" ph="1">
        <f>J27*18.322*LOOKUP(J29,密度!$A$2:$A$50,密度!$Q$2:$Q$50)</f>
        <v>14419.523932</v>
      </c>
      <c r="K28" s="91" ph="1">
        <f>K27*18.322*LOOKUP(K29,密度!$A$2:$A$50,密度!$Q$2:$Q$50)</f>
        <v>27025.333296240002</v>
      </c>
      <c r="L28" s="91" ph="1">
        <f>L27*18.322*LOOKUP(L29,密度!$A$2:$A$50,密度!$Q$2:$Q$50)</f>
        <v>8135.3538613199999</v>
      </c>
      <c r="M28" s="91" ph="1">
        <f>M27*18.322*LOOKUP(M29,密度!$A$2:$A$50,密度!$Q$2:$Q$50)</f>
        <v>44995.941521280001</v>
      </c>
      <c r="N28" s="91" ph="1">
        <f>N27*18.322*LOOKUP(N29,密度!$A$2:$A$50,密度!$Q$2:$Q$50)</f>
        <v>83920.409405479993</v>
      </c>
      <c r="O28" s="91" ph="1">
        <f>O27*18.322*LOOKUP(O29,密度!$A$2:$A$50,密度!$C$2:$C$50)</f>
        <v>110276.97944139999</v>
      </c>
      <c r="P28" s="91" ph="1">
        <f>P27*11.702*LOOKUP(P29,密度!$A$2:$A$50,密度!$B$2:$B$50)</f>
        <v>10616.1175908</v>
      </c>
      <c r="Q28" s="92" ph="1">
        <f>Q27*18.322*LOOKUP(Q29,密度!$A$2:$A$50,密度!$B$2:$B$50)</f>
        <v>30124.600000799997</v>
      </c>
      <c r="R28" s="91" ph="1">
        <f>R27*35.891*LOOKUP(R29,密度!$A$2:$A$50,密度!$C$2:$C$50)</f>
        <v>206678.95877069997</v>
      </c>
      <c r="S28" s="91" ph="1">
        <f>S27*35.891*LOOKUP(S29,密度!$A$2:$A$50,密度!$B$2:$B$50)</f>
        <v>68356.663454799986</v>
      </c>
      <c r="T28" s="91" ph="1">
        <f>T27*35.891*LOOKUP(T29,密度!$A$2:$A$50,密度!$Q$2:$Q$50)</f>
        <v>43492.699443600002</v>
      </c>
      <c r="U28" s="91" ph="1">
        <f>U27*35.891</f>
        <v>228015.52299999999</v>
      </c>
      <c r="V28" s="91" ph="1">
        <f>V27*47.051*LOOKUP(V29,密度!$A$2:$A$50,密度!$B$2:$B$50)</f>
        <v>233041.57039680003</v>
      </c>
      <c r="W28" s="91" ph="1">
        <f>W27*47.051*LOOKUP(W29,密度!$A$2:$A$50,密度!$B$2:$B$50)</f>
        <v>331962.68437999999</v>
      </c>
      <c r="X28" s="91" ph="1">
        <f>X27*47.051*LOOKUP(X29,密度!$A$2:$A$61,密度!$I$2:$I$61)</f>
        <v>198477.11533999999</v>
      </c>
      <c r="Y28" s="91" ph="1">
        <f>Y27*47.051*LOOKUP(Y29,密度!$A$2:$A$50,密度!$L$2:$L$50)</f>
        <v>84382.110318000006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48" t="s" ph="1">
        <v>179</v>
      </c>
      <c r="D29" s="74">
        <v>25</v>
      </c>
      <c r="E29" s="74">
        <v>25</v>
      </c>
      <c r="F29" s="74">
        <v>23</v>
      </c>
      <c r="G29" s="74">
        <v>25</v>
      </c>
      <c r="H29" s="74">
        <v>24</v>
      </c>
      <c r="I29" s="74">
        <v>24</v>
      </c>
      <c r="J29" s="74">
        <v>23</v>
      </c>
      <c r="K29" s="74">
        <v>25</v>
      </c>
      <c r="L29" s="74">
        <v>25</v>
      </c>
      <c r="M29" s="74">
        <v>24</v>
      </c>
      <c r="N29" s="74">
        <v>22</v>
      </c>
      <c r="O29" s="74">
        <v>22</v>
      </c>
      <c r="P29" s="74">
        <v>23</v>
      </c>
      <c r="Q29" s="93">
        <v>25</v>
      </c>
      <c r="R29" s="74">
        <v>25</v>
      </c>
      <c r="S29" s="74">
        <v>25</v>
      </c>
      <c r="T29" s="74">
        <v>23</v>
      </c>
      <c r="U29" s="74">
        <v>25</v>
      </c>
      <c r="V29" s="74">
        <v>21</v>
      </c>
      <c r="W29" s="74">
        <v>25</v>
      </c>
      <c r="X29" s="74">
        <v>28</v>
      </c>
      <c r="Y29" s="74">
        <v>25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48" t="s" ph="1">
        <v>5</v>
      </c>
      <c r="F32" s="149" t="s" ph="1">
        <v>43</v>
      </c>
      <c r="G32" s="97" t="s" ph="1">
        <v>4</v>
      </c>
      <c r="H32" s="148" t="s" ph="1">
        <v>5</v>
      </c>
      <c r="I32" s="149" t="s" ph="1">
        <v>43</v>
      </c>
      <c r="J32" s="97" t="s" ph="1">
        <v>4</v>
      </c>
      <c r="K32" s="148" t="s" ph="1">
        <v>5</v>
      </c>
      <c r="L32" s="149" t="s" ph="1">
        <v>43</v>
      </c>
      <c r="M32" s="97" t="s" ph="1">
        <v>4</v>
      </c>
      <c r="N32" s="148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8" t="s" ph="1">
        <v>5</v>
      </c>
      <c r="U32" s="99" t="s" ph="1">
        <v>43</v>
      </c>
      <c r="V32" s="97" t="s" ph="1">
        <v>4</v>
      </c>
      <c r="W32" s="148" t="s" ph="1">
        <v>5</v>
      </c>
      <c r="X32" s="99" t="s" ph="1">
        <v>43</v>
      </c>
      <c r="Y32" s="100" t="s" ph="1">
        <v>4</v>
      </c>
      <c r="Z32" s="148" t="s" ph="1">
        <v>5</v>
      </c>
      <c r="AA32" s="149" t="s" ph="1">
        <v>43</v>
      </c>
      <c r="AB32" s="97" t="s" ph="1">
        <v>85</v>
      </c>
      <c r="AC32" s="148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297691.26042799995</v>
      </c>
      <c r="E33" s="190" ph="1">
        <f>M10+I10</f>
        <v>16726.067871700001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16" ph="1">
        <f>N19</f>
        <v>12724.081971700001</v>
      </c>
      <c r="H33" s="190" ph="1">
        <f>M19</f>
        <v>8483.6801972000012</v>
      </c>
      <c r="I33" s="194" ph="1">
        <v>0</v>
      </c>
      <c r="J33" s="198" ph="1">
        <f>F10+O28</f>
        <v>325344.79925470002</v>
      </c>
      <c r="K33" s="190" ph="1">
        <f>O10+K10+E28+R28</f>
        <v>327807.46352449997</v>
      </c>
      <c r="L33" s="200" ph="1">
        <f>K19</f>
        <v>50494.602604479995</v>
      </c>
      <c r="M33" s="198" ph="1">
        <f>G10+H10+W28+S28+V28+E10+R19+P28+Q28</f>
        <v>1279552.3453762</v>
      </c>
      <c r="N33" s="190" ph="1">
        <f>L10+P10++G28+H28+AD19+AE19</f>
        <v>120993.0249574</v>
      </c>
      <c r="O33" s="194" ph="1">
        <f>G19</f>
        <v>25810.848481600002</v>
      </c>
      <c r="P33" s="198" ph="1">
        <f>L19</f>
        <v>22791.431414719998</v>
      </c>
      <c r="Q33" s="190" ph="1">
        <f>J10+N10</f>
        <v>83838.299493999992</v>
      </c>
      <c r="R33" s="194" ph="1">
        <f>BE23</f>
        <v>890</v>
      </c>
      <c r="S33" s="198" ph="1">
        <f>X28</f>
        <v>198477.11533999999</v>
      </c>
      <c r="T33" s="190" ph="1">
        <f>X19</f>
        <v>4493.0819848800011</v>
      </c>
      <c r="U33" s="179" ph="1">
        <f>BE21</f>
        <v>730</v>
      </c>
      <c r="V33" s="192" ph="1">
        <f ca="1">P19+Q19+S19+M28+N28+J28+D10+AC10+D19+E19+H19+J19+O19+V19+W19+K28+L28</f>
        <v>924621.94805105787</v>
      </c>
      <c r="W33" s="192" ph="1">
        <f>D28+F28+T28+I28</f>
        <v>63302.777315588006</v>
      </c>
      <c r="X33" s="194" ph="1">
        <f>BE29+BE31</f>
        <v>10200</v>
      </c>
      <c r="Y33" s="196" ph="1">
        <f>+Q10+R10+S10+T10+U10+V10+W10+X10+Y10</f>
        <v>293530.59170819999</v>
      </c>
      <c r="Z33" s="177" ph="1">
        <f>T19+U19+Y28+Z10</f>
        <v>248131.1058048</v>
      </c>
      <c r="AA33" s="179" ph="1">
        <f>BE19</f>
        <v>1440</v>
      </c>
      <c r="AB33" s="181" ph="1">
        <f>I19</f>
        <v>47315.109593600006</v>
      </c>
      <c r="AC33" s="183" ph="1">
        <f>AD10+AB19</f>
        <v>44474.4820206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0" t="s" ph="1">
        <v>185</v>
      </c>
      <c r="AA36" s="150" ph="1"/>
      <c r="AB36" s="176" t="s" ph="1">
        <v>637</v>
      </c>
      <c r="AC36" s="176" ph="1"/>
      <c r="AD36" s="176" ph="1"/>
      <c r="AE36" s="176" ph="1"/>
      <c r="BA36" s="64" ph="1">
        <v>2270</v>
      </c>
    </row>
    <row r="37" spans="1:57" s="15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0" t="s" ph="1">
        <v>342</v>
      </c>
      <c r="AI37" s="150" t="s" ph="1">
        <v>209</v>
      </c>
      <c r="AJ37" s="150" t="s" ph="1">
        <v>210</v>
      </c>
      <c r="AK37" s="150" t="s" ph="1">
        <v>211</v>
      </c>
      <c r="AM37" s="150" t="s" ph="1">
        <v>210</v>
      </c>
      <c r="AN37" s="150" t="s" ph="1">
        <v>211</v>
      </c>
      <c r="AO37" s="150" t="s" ph="1">
        <v>212</v>
      </c>
      <c r="AP37" s="150" t="s" ph="1">
        <v>210</v>
      </c>
      <c r="AQ37" s="150" t="s" ph="1">
        <v>211</v>
      </c>
      <c r="AR37" s="150" t="s" ph="1">
        <v>212</v>
      </c>
      <c r="AS37" s="150" t="s" ph="1">
        <v>210</v>
      </c>
      <c r="AT37" s="150" t="s" ph="1">
        <v>211</v>
      </c>
      <c r="AU37" s="150" t="s" ph="1">
        <v>212</v>
      </c>
      <c r="AV37" s="150" t="s" ph="1">
        <v>210</v>
      </c>
      <c r="AW37" s="150" t="s" ph="1">
        <v>211</v>
      </c>
      <c r="AX37" s="150" t="s" ph="1">
        <v>212</v>
      </c>
      <c r="AY37" s="150" t="s" ph="1">
        <v>211</v>
      </c>
      <c r="AZ37" s="150" t="s" ph="1">
        <v>213</v>
      </c>
      <c r="BD37" s="150" t="s" ph="1">
        <v>305</v>
      </c>
      <c r="BE37" s="15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729" priority="100">
      <formula>ABS(D$7-D$10)&gt;=1000</formula>
    </cfRule>
  </conditionalFormatting>
  <conditionalFormatting sqref="E4 E6:E11">
    <cfRule type="expression" dxfId="2728" priority="99">
      <formula>ABS(E$7-E$10)&gt;=1000</formula>
    </cfRule>
  </conditionalFormatting>
  <conditionalFormatting sqref="F4:F11">
    <cfRule type="expression" dxfId="2727" priority="98">
      <formula>ABS(F$7-F$10)&gt;=1000</formula>
    </cfRule>
  </conditionalFormatting>
  <conditionalFormatting sqref="G4:G11">
    <cfRule type="expression" dxfId="2726" priority="97">
      <formula>ABS(G$7-G$10)&gt;=1000</formula>
    </cfRule>
  </conditionalFormatting>
  <conditionalFormatting sqref="H4:H11">
    <cfRule type="expression" dxfId="2725" priority="96">
      <formula>ABS(H$7-H$10)&gt;=1000</formula>
    </cfRule>
  </conditionalFormatting>
  <conditionalFormatting sqref="I4:I11">
    <cfRule type="expression" dxfId="2724" priority="95">
      <formula>ABS(I$7-I$10)&gt;=1000</formula>
    </cfRule>
  </conditionalFormatting>
  <conditionalFormatting sqref="J4:J11">
    <cfRule type="expression" dxfId="2723" priority="94">
      <formula>ABS(J$7-J$10)&gt;=1000</formula>
    </cfRule>
  </conditionalFormatting>
  <conditionalFormatting sqref="K4:K11">
    <cfRule type="expression" dxfId="2722" priority="93">
      <formula>ABS(K$7-K$10)&gt;=1000</formula>
    </cfRule>
  </conditionalFormatting>
  <conditionalFormatting sqref="L4:L11">
    <cfRule type="expression" dxfId="2721" priority="92">
      <formula>ABS(L$7-L$10)&gt;=1000</formula>
    </cfRule>
  </conditionalFormatting>
  <conditionalFormatting sqref="M4 M6:M11">
    <cfRule type="expression" dxfId="2720" priority="91">
      <formula>ABS(M$7-M$10)&gt;=1000</formula>
    </cfRule>
  </conditionalFormatting>
  <conditionalFormatting sqref="N4 N6:N11">
    <cfRule type="expression" dxfId="2719" priority="90">
      <formula>ABS(N$7-N$10)&gt;=1000</formula>
    </cfRule>
  </conditionalFormatting>
  <conditionalFormatting sqref="O4 O6:O11">
    <cfRule type="expression" dxfId="2718" priority="89">
      <formula>ABS(O$7-O$10)&gt;=1000</formula>
    </cfRule>
  </conditionalFormatting>
  <conditionalFormatting sqref="P4 P6:P11">
    <cfRule type="expression" dxfId="2717" priority="88">
      <formula>ABS(P$7-P$10)&gt;=1000</formula>
    </cfRule>
  </conditionalFormatting>
  <conditionalFormatting sqref="Q4:Q11">
    <cfRule type="expression" dxfId="2716" priority="87">
      <formula>ABS(Q$7-Q$10)&gt;=1000</formula>
    </cfRule>
  </conditionalFormatting>
  <conditionalFormatting sqref="R4:R11">
    <cfRule type="expression" dxfId="2715" priority="86">
      <formula>ABS(R$7-R$10)&gt;=1000</formula>
    </cfRule>
  </conditionalFormatting>
  <conditionalFormatting sqref="S4:S11">
    <cfRule type="expression" dxfId="2714" priority="85">
      <formula>ABS(S$7-S$10)&gt;=1000</formula>
    </cfRule>
  </conditionalFormatting>
  <conditionalFormatting sqref="T4:T9 T11">
    <cfRule type="expression" dxfId="2713" priority="84">
      <formula>ABS(T$7-T$10)&gt;=1000</formula>
    </cfRule>
  </conditionalFormatting>
  <conditionalFormatting sqref="U4:U9 U11">
    <cfRule type="expression" dxfId="2712" priority="83">
      <formula>ABS(U$7-U$10)&gt;=1000</formula>
    </cfRule>
  </conditionalFormatting>
  <conditionalFormatting sqref="V4:V9 V11">
    <cfRule type="expression" dxfId="2711" priority="82">
      <formula>ABS(V$7-V$10)&gt;=1000</formula>
    </cfRule>
  </conditionalFormatting>
  <conditionalFormatting sqref="W4:W9 W11">
    <cfRule type="expression" dxfId="2710" priority="81">
      <formula>ABS(W$7-W$10)&gt;=1000</formula>
    </cfRule>
  </conditionalFormatting>
  <conditionalFormatting sqref="X4:X9 X11">
    <cfRule type="expression" dxfId="2709" priority="80">
      <formula>ABS(X$7-X$10)&gt;=1000</formula>
    </cfRule>
  </conditionalFormatting>
  <conditionalFormatting sqref="Y4:Y9 Y11">
    <cfRule type="expression" dxfId="2708" priority="79">
      <formula>ABS(Y$7-Y$10)&gt;=1000</formula>
    </cfRule>
  </conditionalFormatting>
  <conditionalFormatting sqref="Z4:Z11">
    <cfRule type="expression" dxfId="2707" priority="78">
      <formula>ABS(Z$7-Z$10)&gt;=1000</formula>
    </cfRule>
  </conditionalFormatting>
  <conditionalFormatting sqref="AA4:AA11">
    <cfRule type="expression" dxfId="2706" priority="77">
      <formula>ABS(AA$7-AA$10)&gt;=1000</formula>
    </cfRule>
  </conditionalFormatting>
  <conditionalFormatting sqref="AB4:AB11">
    <cfRule type="expression" dxfId="2705" priority="76">
      <formula>ABS(AB$7-AB$10)&gt;=1000</formula>
    </cfRule>
  </conditionalFormatting>
  <conditionalFormatting sqref="AC4 AC6:AC11">
    <cfRule type="expression" dxfId="2704" priority="75">
      <formula>ABS(AC$7-AC$10)&gt;=1000</formula>
    </cfRule>
  </conditionalFormatting>
  <conditionalFormatting sqref="AD4 AD6:AD11">
    <cfRule type="expression" dxfId="2703" priority="74">
      <formula>ABS(AD$7-AD$10)&gt;=1000</formula>
    </cfRule>
  </conditionalFormatting>
  <conditionalFormatting sqref="AE4 AE6:AE11">
    <cfRule type="expression" dxfId="2702" priority="73">
      <formula>ABS(AE$7-AE$10)&gt;=1000</formula>
    </cfRule>
  </conditionalFormatting>
  <conditionalFormatting sqref="D13:D20">
    <cfRule type="expression" dxfId="2701" priority="72">
      <formula>ABS(D$16-D$19)&gt;=1000</formula>
    </cfRule>
  </conditionalFormatting>
  <conditionalFormatting sqref="E13:E20">
    <cfRule type="expression" dxfId="2700" priority="71">
      <formula>ABS(E$16-E$19)&gt;=1000</formula>
    </cfRule>
  </conditionalFormatting>
  <conditionalFormatting sqref="F13 F15:F20">
    <cfRule type="expression" dxfId="2699" priority="70">
      <formula>ABS(F$16-F$19)&gt;=1000</formula>
    </cfRule>
  </conditionalFormatting>
  <conditionalFormatting sqref="G13:G20">
    <cfRule type="expression" dxfId="2698" priority="69">
      <formula>ABS(G$16-G$19)&gt;=1000</formula>
    </cfRule>
  </conditionalFormatting>
  <conditionalFormatting sqref="H13 H15:H20">
    <cfRule type="expression" dxfId="2697" priority="68">
      <formula>ABS(H$16-H$19)&gt;=1000</formula>
    </cfRule>
  </conditionalFormatting>
  <conditionalFormatting sqref="I13:I20">
    <cfRule type="expression" dxfId="2696" priority="67">
      <formula>ABS(I$16-I$19)&gt;=1000</formula>
    </cfRule>
  </conditionalFormatting>
  <conditionalFormatting sqref="J13:J20">
    <cfRule type="expression" dxfId="2695" priority="66">
      <formula>ABS(J$16-J$19)&gt;=1000</formula>
    </cfRule>
  </conditionalFormatting>
  <conditionalFormatting sqref="L13:L20">
    <cfRule type="expression" dxfId="2694" priority="65">
      <formula>ABS(L$16-L$19)&gt;=1000</formula>
    </cfRule>
  </conditionalFormatting>
  <conditionalFormatting sqref="M13 M15 M17:M18 M20">
    <cfRule type="expression" dxfId="2693" priority="64">
      <formula>ABS(M$16-M$19)&gt;=1000</formula>
    </cfRule>
  </conditionalFormatting>
  <conditionalFormatting sqref="N13:N20">
    <cfRule type="expression" dxfId="2692" priority="63">
      <formula>ABS(N$16-N$19)&gt;=1000</formula>
    </cfRule>
  </conditionalFormatting>
  <conditionalFormatting sqref="O13:O20">
    <cfRule type="expression" dxfId="2691" priority="62">
      <formula>ABS(O$16-O$19)&gt;=1000</formula>
    </cfRule>
  </conditionalFormatting>
  <conditionalFormatting sqref="P13:P20">
    <cfRule type="expression" dxfId="2690" priority="61">
      <formula>ABS(P$16-P$19)&gt;=1000</formula>
    </cfRule>
  </conditionalFormatting>
  <conditionalFormatting sqref="Q13 Q15:Q20">
    <cfRule type="expression" dxfId="2689" priority="60">
      <formula>ABS(Q$16-Q$19)&gt;=1000</formula>
    </cfRule>
  </conditionalFormatting>
  <conditionalFormatting sqref="R13:R20">
    <cfRule type="expression" dxfId="2688" priority="59">
      <formula>ABS(R$16-R$19)&gt;=1000</formula>
    </cfRule>
  </conditionalFormatting>
  <conditionalFormatting sqref="S13:S20">
    <cfRule type="expression" dxfId="2687" priority="58">
      <formula>ABS(S$16-S$19)&gt;=1000</formula>
    </cfRule>
  </conditionalFormatting>
  <conditionalFormatting sqref="T13:T20">
    <cfRule type="expression" dxfId="2686" priority="57">
      <formula>ABS(T$16-T$19)&gt;=1000</formula>
    </cfRule>
  </conditionalFormatting>
  <conditionalFormatting sqref="U13:U20">
    <cfRule type="expression" dxfId="2685" priority="56">
      <formula>ABS(U$16-U$19)&gt;=1000</formula>
    </cfRule>
  </conditionalFormatting>
  <conditionalFormatting sqref="V13:V20">
    <cfRule type="expression" dxfId="2684" priority="55">
      <formula>ABS(V$16-V$19)&gt;=1000</formula>
    </cfRule>
  </conditionalFormatting>
  <conditionalFormatting sqref="W13 W20 W15:W18">
    <cfRule type="expression" dxfId="2683" priority="54">
      <formula>ABS(W$16-W$19)&gt;=1000</formula>
    </cfRule>
  </conditionalFormatting>
  <conditionalFormatting sqref="X13 X15:X20 Y19">
    <cfRule type="expression" dxfId="2682" priority="53">
      <formula>ABS(X$16-X$19)&gt;=1000</formula>
    </cfRule>
  </conditionalFormatting>
  <conditionalFormatting sqref="Y13 Y15:Y18 Y20">
    <cfRule type="expression" dxfId="2681" priority="52">
      <formula>ABS(Y$16-Y$19)&gt;=1000</formula>
    </cfRule>
  </conditionalFormatting>
  <conditionalFormatting sqref="Z13:Z20">
    <cfRule type="expression" dxfId="2680" priority="51">
      <formula>ABS(Z$16-Z$19)&gt;=1000</formula>
    </cfRule>
  </conditionalFormatting>
  <conditionalFormatting sqref="AA13:AA20">
    <cfRule type="expression" dxfId="2679" priority="50">
      <formula>ABS(AA$16-AA$19)&gt;=1000</formula>
    </cfRule>
  </conditionalFormatting>
  <conditionalFormatting sqref="AB13 AB15:AB20">
    <cfRule type="expression" dxfId="2678" priority="49">
      <formula>ABS(AB$16-AB$19)&gt;=1000</formula>
    </cfRule>
  </conditionalFormatting>
  <conditionalFormatting sqref="AC13 AC15:AC20">
    <cfRule type="expression" dxfId="2677" priority="48">
      <formula>ABS(AC$16-AC$19)&gt;=1000</formula>
    </cfRule>
  </conditionalFormatting>
  <conditionalFormatting sqref="AD13:AD20">
    <cfRule type="expression" dxfId="2676" priority="47">
      <formula>ABS(AD$16-AD$19)&gt;=1000</formula>
    </cfRule>
  </conditionalFormatting>
  <conditionalFormatting sqref="AE13:AE20">
    <cfRule type="expression" dxfId="2675" priority="46">
      <formula>ABS(AE$16-AE$19)&gt;=1000</formula>
    </cfRule>
  </conditionalFormatting>
  <conditionalFormatting sqref="D22:D29">
    <cfRule type="expression" dxfId="2674" priority="45">
      <formula>ABS(D$25-D$28)&gt;=1000</formula>
    </cfRule>
  </conditionalFormatting>
  <conditionalFormatting sqref="E22:E29">
    <cfRule type="expression" dxfId="2673" priority="44">
      <formula>ABS(E$25-E$28)&gt;=1000</formula>
    </cfRule>
  </conditionalFormatting>
  <conditionalFormatting sqref="F22:F29">
    <cfRule type="expression" dxfId="2672" priority="43">
      <formula>ABS(F$25-F$28)&gt;=1000</formula>
    </cfRule>
  </conditionalFormatting>
  <conditionalFormatting sqref="G22:G29">
    <cfRule type="expression" dxfId="2671" priority="42">
      <formula>ABS(G$25-G$28)&gt;=1000</formula>
    </cfRule>
  </conditionalFormatting>
  <conditionalFormatting sqref="H22:H29">
    <cfRule type="expression" dxfId="2670" priority="41">
      <formula>ABS(H$25-H$28)&gt;=1000</formula>
    </cfRule>
  </conditionalFormatting>
  <conditionalFormatting sqref="I22 I24:I29">
    <cfRule type="expression" dxfId="2669" priority="40">
      <formula>ABS(I$25-I$28)&gt;=1000</formula>
    </cfRule>
  </conditionalFormatting>
  <conditionalFormatting sqref="J22:J29 K22">
    <cfRule type="expression" dxfId="2668" priority="39">
      <formula>ABS(J$25-J$28)&gt;=1000</formula>
    </cfRule>
  </conditionalFormatting>
  <conditionalFormatting sqref="K23:K29 L25 L28">
    <cfRule type="expression" dxfId="2667" priority="38">
      <formula>ABS(K$25-K$28)&gt;=1000</formula>
    </cfRule>
  </conditionalFormatting>
  <conditionalFormatting sqref="L22 L26:L27 L29 L24">
    <cfRule type="expression" dxfId="2666" priority="37">
      <formula>ABS(L$25-L$28)&gt;=1000</formula>
    </cfRule>
  </conditionalFormatting>
  <conditionalFormatting sqref="M22:M29">
    <cfRule type="expression" dxfId="2665" priority="36">
      <formula>ABS(M$25-M$28)&gt;=1000</formula>
    </cfRule>
  </conditionalFormatting>
  <conditionalFormatting sqref="N22:N29">
    <cfRule type="expression" dxfId="2664" priority="35">
      <formula>ABS(N$25-N$28)&gt;=1000</formula>
    </cfRule>
  </conditionalFormatting>
  <conditionalFormatting sqref="O22:O29">
    <cfRule type="expression" dxfId="2663" priority="34">
      <formula>ABS(O$25-O$28)&gt;=1000</formula>
    </cfRule>
  </conditionalFormatting>
  <conditionalFormatting sqref="P22:P29">
    <cfRule type="expression" dxfId="2662" priority="33">
      <formula>ABS(P$25-P$28)&gt;=1000</formula>
    </cfRule>
  </conditionalFormatting>
  <conditionalFormatting sqref="Q22:Q29">
    <cfRule type="expression" dxfId="2661" priority="32">
      <formula>ABS(Q$25-Q$28)&gt;=1000</formula>
    </cfRule>
  </conditionalFormatting>
  <conditionalFormatting sqref="R22:R29">
    <cfRule type="expression" dxfId="2660" priority="31">
      <formula>ABS(R$25-R$28)&gt;=1000</formula>
    </cfRule>
  </conditionalFormatting>
  <conditionalFormatting sqref="S22:S29">
    <cfRule type="expression" dxfId="2659" priority="30">
      <formula>ABS(S$25-S$28)&gt;=1000</formula>
    </cfRule>
  </conditionalFormatting>
  <conditionalFormatting sqref="T22:T29">
    <cfRule type="expression" dxfId="2658" priority="29">
      <formula>ABS(T$25-T$28)&gt;=1000</formula>
    </cfRule>
  </conditionalFormatting>
  <conditionalFormatting sqref="U22:U29">
    <cfRule type="expression" dxfId="2657" priority="28">
      <formula>ABS(U$25-U$28)&gt;=1000</formula>
    </cfRule>
  </conditionalFormatting>
  <conditionalFormatting sqref="V22:V29">
    <cfRule type="expression" dxfId="2656" priority="27">
      <formula>ABS(V$25-V$28)&gt;=1000</formula>
    </cfRule>
  </conditionalFormatting>
  <conditionalFormatting sqref="W22:W29">
    <cfRule type="expression" dxfId="2655" priority="26">
      <formula>ABS(W$25-W$28)&gt;=1000</formula>
    </cfRule>
  </conditionalFormatting>
  <conditionalFormatting sqref="X22:X29">
    <cfRule type="expression" dxfId="2654" priority="25">
      <formula>ABS(X$25-X$28)&gt;=1000</formula>
    </cfRule>
  </conditionalFormatting>
  <conditionalFormatting sqref="Y22:Y29">
    <cfRule type="expression" dxfId="2653" priority="24">
      <formula>ABS(Y$25-Y$28)&gt;=1000</formula>
    </cfRule>
  </conditionalFormatting>
  <conditionalFormatting sqref="I23">
    <cfRule type="expression" dxfId="2652" priority="23">
      <formula>ABS(I$25-I$28)&gt;=1000</formula>
    </cfRule>
  </conditionalFormatting>
  <conditionalFormatting sqref="Q14">
    <cfRule type="expression" dxfId="2651" priority="22">
      <formula>ABS(Q$16-Q$19)&gt;=1000</formula>
    </cfRule>
  </conditionalFormatting>
  <conditionalFormatting sqref="W14">
    <cfRule type="expression" dxfId="2650" priority="21">
      <formula>ABS(W$16-W$19)&gt;=1000</formula>
    </cfRule>
  </conditionalFormatting>
  <conditionalFormatting sqref="X14">
    <cfRule type="expression" dxfId="2649" priority="20">
      <formula>ABS(X$16-X$19)&gt;=1000</formula>
    </cfRule>
  </conditionalFormatting>
  <conditionalFormatting sqref="T10:Y10">
    <cfRule type="expression" dxfId="2648" priority="19">
      <formula>ABS(T$7-T$10)&gt;=1000</formula>
    </cfRule>
  </conditionalFormatting>
  <conditionalFormatting sqref="W19">
    <cfRule type="expression" dxfId="2647" priority="18">
      <formula>ABS(W$16-W$19)&gt;=1000</formula>
    </cfRule>
  </conditionalFormatting>
  <conditionalFormatting sqref="AC5">
    <cfRule type="expression" dxfId="2646" priority="17">
      <formula>ABS(AC$7-AC$10)&gt;=1000</formula>
    </cfRule>
  </conditionalFormatting>
  <conditionalFormatting sqref="M14">
    <cfRule type="expression" dxfId="2645" priority="16">
      <formula>ABS(M$16-M$19)&gt;=1000</formula>
    </cfRule>
  </conditionalFormatting>
  <conditionalFormatting sqref="M16">
    <cfRule type="expression" dxfId="2644" priority="15">
      <formula>ABS(M$16-M$19)&gt;=1000</formula>
    </cfRule>
  </conditionalFormatting>
  <conditionalFormatting sqref="M19">
    <cfRule type="expression" dxfId="2643" priority="14">
      <formula>ABS(M$16-M$19)&gt;=1000</formula>
    </cfRule>
  </conditionalFormatting>
  <conditionalFormatting sqref="K13:K20">
    <cfRule type="expression" dxfId="2642" priority="13">
      <formula>ABS(K$16-K$19)&gt;=1000</formula>
    </cfRule>
  </conditionalFormatting>
  <conditionalFormatting sqref="E5">
    <cfRule type="expression" dxfId="2641" priority="12">
      <formula>ABS(E$7-E$10)&gt;=1000</formula>
    </cfRule>
  </conditionalFormatting>
  <conditionalFormatting sqref="AB14:AC14">
    <cfRule type="expression" dxfId="2640" priority="11">
      <formula>ABS(AB$16-AB$19)&gt;=1000</formula>
    </cfRule>
  </conditionalFormatting>
  <conditionalFormatting sqref="M5">
    <cfRule type="expression" dxfId="2639" priority="10">
      <formula>ABS(M$7-M$10)&gt;=1000</formula>
    </cfRule>
  </conditionalFormatting>
  <conditionalFormatting sqref="N5">
    <cfRule type="expression" dxfId="2638" priority="9">
      <formula>ABS(N$7-N$10)&gt;=1000</formula>
    </cfRule>
  </conditionalFormatting>
  <conditionalFormatting sqref="O5">
    <cfRule type="expression" dxfId="2637" priority="8">
      <formula>ABS(O$7-O$10)&gt;=1000</formula>
    </cfRule>
  </conditionalFormatting>
  <conditionalFormatting sqref="P5">
    <cfRule type="expression" dxfId="2636" priority="7">
      <formula>ABS(P$7-P$10)&gt;=1000</formula>
    </cfRule>
  </conditionalFormatting>
  <conditionalFormatting sqref="L23">
    <cfRule type="expression" dxfId="2635" priority="6">
      <formula>ABS(L$25-L$28)&gt;=1000</formula>
    </cfRule>
  </conditionalFormatting>
  <conditionalFormatting sqref="Y14">
    <cfRule type="expression" dxfId="2634" priority="5">
      <formula>ABS(Y$16-Y$19)&gt;=1000</formula>
    </cfRule>
  </conditionalFormatting>
  <conditionalFormatting sqref="F14">
    <cfRule type="expression" dxfId="2633" priority="4">
      <formula>ABS(F$16-F$19)&gt;=1000</formula>
    </cfRule>
  </conditionalFormatting>
  <conditionalFormatting sqref="H14">
    <cfRule type="expression" dxfId="2632" priority="3">
      <formula>ABS(H$16-H$19)&gt;=1000</formula>
    </cfRule>
  </conditionalFormatting>
  <conditionalFormatting sqref="AD5">
    <cfRule type="expression" dxfId="2631" priority="2">
      <formula>ABS(AD$7-AD$10)&gt;=1000</formula>
    </cfRule>
  </conditionalFormatting>
  <conditionalFormatting sqref="AE5">
    <cfRule type="expression" dxfId="263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05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80">
    <pageSetUpPr fitToPage="1"/>
  </sheetPr>
  <dimension ref="A1:CU223"/>
  <sheetViews>
    <sheetView view="pageBreakPreview" topLeftCell="A4" zoomScale="59" zoomScaleNormal="100" zoomScaleSheetLayoutView="59" workbookViewId="0">
      <selection activeCell="T18" sqref="T1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46146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3" t="s" ph="1">
        <v>177</v>
      </c>
      <c r="D6" s="71">
        <v>7087</v>
      </c>
      <c r="E6" s="71">
        <v>7014</v>
      </c>
      <c r="F6" s="71">
        <v>5829</v>
      </c>
      <c r="G6" s="71">
        <v>5462</v>
      </c>
      <c r="H6" s="71">
        <v>6483</v>
      </c>
      <c r="I6" s="71">
        <v>0</v>
      </c>
      <c r="J6" s="71">
        <v>6.34</v>
      </c>
      <c r="K6" s="71">
        <v>62.7</v>
      </c>
      <c r="L6" s="71">
        <v>77.569999999999993</v>
      </c>
      <c r="M6" s="71">
        <v>490</v>
      </c>
      <c r="N6" s="71">
        <v>3168</v>
      </c>
      <c r="O6" s="71">
        <v>3390</v>
      </c>
      <c r="P6" s="71">
        <v>1322</v>
      </c>
      <c r="Q6" s="71">
        <v>6924</v>
      </c>
      <c r="R6" s="71">
        <v>7119</v>
      </c>
      <c r="S6" s="71">
        <v>5453</v>
      </c>
      <c r="T6" s="71">
        <v>3791</v>
      </c>
      <c r="U6" s="71">
        <v>0</v>
      </c>
      <c r="V6" s="71">
        <v>0</v>
      </c>
      <c r="W6" s="71">
        <v>7022</v>
      </c>
      <c r="X6" s="71">
        <v>7089</v>
      </c>
      <c r="Y6" s="71">
        <v>5170</v>
      </c>
      <c r="Z6" s="71">
        <v>3734</v>
      </c>
      <c r="AA6" s="71">
        <v>6654</v>
      </c>
      <c r="AB6" s="71">
        <v>5775</v>
      </c>
      <c r="AC6" s="71">
        <v>8336</v>
      </c>
      <c r="AD6" s="71">
        <v>2458</v>
      </c>
      <c r="AE6" s="71">
        <v>4200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222986.22269220001</v>
      </c>
      <c r="E7" s="73" ph="1">
        <f>E6*51.53*LOOKUP(E8,密度!$A$2:$A$50,密度!$B$2:$B$50)</f>
        <v>282747.79986599996</v>
      </c>
      <c r="F7" s="73" ph="1">
        <f>F6*33.183*LOOKUP(F8,密度!$A$2:$A$50,密度!$C$2:$C$50)</f>
        <v>214777.68425280001</v>
      </c>
      <c r="G7" s="73" ph="1">
        <f xml:space="preserve"> (G6+2)*51.53*LOOKUP(G8,密度!$A$2:$A$50,密度!$B$2:$B$50)</f>
        <v>220264.32541599998</v>
      </c>
      <c r="H7" s="73" ph="1">
        <f>(H6)*51.53*LOOKUP(H8,密度!$A$2:$A$50,密度!$B$2:$B$50)</f>
        <v>261342.170877</v>
      </c>
      <c r="I7" s="73" ph="1">
        <f>I6*290.8*1.0267</f>
        <v>0</v>
      </c>
      <c r="J7" s="73" ph="1">
        <f>J6*290.8*0.7892</f>
        <v>1455.0259424000001</v>
      </c>
      <c r="K7" s="73" ph="1">
        <f>K6*290.8*1.1126</f>
        <v>20286.213815999999</v>
      </c>
      <c r="L7" s="73" ph="1">
        <f>L6*290.8*0.777</f>
        <v>17527.065612000002</v>
      </c>
      <c r="M7" s="73" ph="1">
        <f>M6*33.183*LOOKUP(M8,密度!$A$2:$A$50,密度!$D$2:$D$50)</f>
        <v>16708.436892000002</v>
      </c>
      <c r="N7" s="73" ph="1">
        <f>N6*33.183*LOOKUP(N8,密度!$A$2:$A$50,密度!$E$2:$E$50)</f>
        <v>82332.916300800003</v>
      </c>
      <c r="O7" s="73" ph="1">
        <f>O6*20.428*LOOKUP(O8,密度!$A$2:$A$50,密度!$C$2:$C$50)</f>
        <v>76633.068071999995</v>
      </c>
      <c r="P7" s="73" ph="1">
        <f>P6*51.53*LOOKUP(P8,密度!$A$2:$A$50,密度!$B$2:$B$50)</f>
        <v>53231.046524000005</v>
      </c>
      <c r="Q7" s="73" ph="1">
        <f>Q6*1.5*1.5*3.1416*LOOKUP(W8,密度!$A$2:$A$50,密度!$L$2:$L$50)</f>
        <v>45859.578256800007</v>
      </c>
      <c r="R7" s="73" ph="1">
        <f>R6*1.5*1.5*3.1416*LOOKUP(R8,密度!$A$2:$A$50,密度!$L$2:$L$50)</f>
        <v>47100.796142400002</v>
      </c>
      <c r="S7" s="73" ph="1">
        <f>S6*1.5*1.5*3.1416*LOOKUP(S8,密度!$A$2:$A$50,密度!$L$2:$L$50)</f>
        <v>36232.371251999997</v>
      </c>
      <c r="T7" s="73" ph="1">
        <f>T6*1.5*1.5*3.1416*LOOKUP(T8,密度!$A$2:$A$50,密度!$L$2:$L$50)</f>
        <v>25216.035906599998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46508.659520399997</v>
      </c>
      <c r="X7" s="73" ph="1">
        <f>X6*1.5*1.5*3.1416*LOOKUP(X8,密度!$A$2:$A$50,密度!$L$2:$L$50)</f>
        <v>47553.730824599996</v>
      </c>
      <c r="Y7" s="73" ph="1">
        <f>Y6*1.5*1.5*3.1416*LOOKUP(Y8,密度!$A$2:$A$50,密度!$L$2:$L$50)</f>
        <v>34278.892955999996</v>
      </c>
      <c r="Z7" s="73" ph="1">
        <f>Z6*33.183*LOOKUP(Z8,密度!$A$2:$A$50,密度!$L$2:$L$50)</f>
        <v>116594.908002</v>
      </c>
      <c r="AA7" s="73" ph="1">
        <f>AA6*33.183*LOOKUP(AA8,密度!$A$2:$A$50,密度!$D$2:$D$50)</f>
        <v>227313.27261900002</v>
      </c>
      <c r="AB7" s="73" ph="1">
        <f>AB6*20.428*LOOKUP(AB8,密度!$A$2:$A$50,密度!$D$2:$D$50)</f>
        <v>121770.38874000001</v>
      </c>
      <c r="AC7" s="73" ph="1">
        <f>AC6*51.53*LOOKUP(AC8,密度!$A$2:$A$50,密度!$Q$2:$Q$50)</f>
        <v>408239.60655040003</v>
      </c>
      <c r="AD7" s="73" ph="1">
        <f>AD6*20.428*LOOKUP(AD8,密度!$A$2:$A$50,密度!$V$2:$V$50)</f>
        <v>48243.712659200006</v>
      </c>
      <c r="AE7" s="73" ph="1">
        <f>AE6*20.428</f>
        <v>85797.6</v>
      </c>
    </row>
    <row r="8" spans="1:99" ph="1">
      <c r="B8" s="241" ph="1"/>
      <c r="C8" s="68" t="s" ph="1">
        <v>179</v>
      </c>
      <c r="D8" s="74">
        <v>23</v>
      </c>
      <c r="E8" s="74">
        <v>22</v>
      </c>
      <c r="F8" s="74">
        <v>23</v>
      </c>
      <c r="G8" s="74">
        <v>22</v>
      </c>
      <c r="H8" s="74">
        <v>22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25</v>
      </c>
      <c r="O8" s="74">
        <v>28</v>
      </c>
      <c r="P8" s="74">
        <v>23</v>
      </c>
      <c r="Q8" s="74">
        <v>28</v>
      </c>
      <c r="R8" s="74">
        <v>26</v>
      </c>
      <c r="S8" s="74">
        <v>22</v>
      </c>
      <c r="T8" s="74">
        <v>21</v>
      </c>
      <c r="U8" s="74">
        <v>23</v>
      </c>
      <c r="V8" s="74">
        <v>28</v>
      </c>
      <c r="W8" s="74">
        <v>25</v>
      </c>
      <c r="X8" s="74">
        <v>13</v>
      </c>
      <c r="Y8" s="74">
        <v>24</v>
      </c>
      <c r="Z8" s="74">
        <v>21</v>
      </c>
      <c r="AA8" s="74">
        <v>22</v>
      </c>
      <c r="AB8" s="74">
        <v>19</v>
      </c>
      <c r="AC8" s="74">
        <v>20</v>
      </c>
      <c r="AD8" s="74">
        <v>23</v>
      </c>
      <c r="AE8" s="74">
        <v>24</v>
      </c>
    </row>
    <row r="9" spans="1:99" ht="26.4" ph="1">
      <c r="B9" s="241" ph="1">
        <v>0.66666666666666663</v>
      </c>
      <c r="C9" s="153" t="s" ph="1">
        <v>180</v>
      </c>
      <c r="D9" s="71">
        <v>7087</v>
      </c>
      <c r="E9" s="71">
        <v>6829</v>
      </c>
      <c r="F9" s="71">
        <v>5831</v>
      </c>
      <c r="G9" s="71">
        <v>5466</v>
      </c>
      <c r="H9" s="71">
        <v>6783</v>
      </c>
      <c r="I9" s="71">
        <v>0</v>
      </c>
      <c r="J9" s="71">
        <v>6.34</v>
      </c>
      <c r="K9" s="71">
        <v>62.65</v>
      </c>
      <c r="L9" s="71">
        <v>7.81</v>
      </c>
      <c r="M9" s="71">
        <v>489</v>
      </c>
      <c r="N9" s="71">
        <v>2923</v>
      </c>
      <c r="O9" s="71">
        <v>2377</v>
      </c>
      <c r="P9" s="71">
        <v>1162</v>
      </c>
      <c r="Q9" s="71">
        <v>6924</v>
      </c>
      <c r="R9" s="71">
        <v>7120</v>
      </c>
      <c r="S9" s="71">
        <v>6759</v>
      </c>
      <c r="T9" s="71">
        <v>6520</v>
      </c>
      <c r="U9" s="71">
        <v>1333</v>
      </c>
      <c r="V9" s="71">
        <v>0</v>
      </c>
      <c r="W9" s="71">
        <v>7025</v>
      </c>
      <c r="X9" s="71">
        <v>7089</v>
      </c>
      <c r="Y9" s="71">
        <v>5177</v>
      </c>
      <c r="Z9" s="71">
        <v>709</v>
      </c>
      <c r="AA9" s="71">
        <v>6656</v>
      </c>
      <c r="AB9" s="71">
        <v>5775</v>
      </c>
      <c r="AC9" s="71">
        <v>7501</v>
      </c>
      <c r="AD9" s="71">
        <v>2458</v>
      </c>
      <c r="AE9" s="71">
        <v>4200</v>
      </c>
    </row>
    <row r="10" spans="1:99" s="72" customFormat="1" ht="22.2" ph="1">
      <c r="B10" s="241" ph="1"/>
      <c r="C10" s="153" t="s" ph="1">
        <v>178</v>
      </c>
      <c r="D10" s="73" ph="1">
        <f>D9*33.183*LOOKUP(D11,密度!$A$2:$A$50,密度!$Q$2:$Q$50)</f>
        <v>222986.22269220001</v>
      </c>
      <c r="E10" s="73" ph="1">
        <f>E9*51.53*LOOKUP(E11,密度!$A$2:$A$50,密度!$B$2:$B$50)</f>
        <v>274973.38631799998</v>
      </c>
      <c r="F10" s="73" ph="1">
        <f>F9*33.183*LOOKUP(F11,密度!$A$2:$A$50,密度!$C$2:$C$50)</f>
        <v>214851.37705920002</v>
      </c>
      <c r="G10" s="73" ph="1">
        <f xml:space="preserve"> (G9+2)*51.53*LOOKUP(G11,密度!$A$2:$A$50,密度!$B$2:$B$50)</f>
        <v>219664.80478399998</v>
      </c>
      <c r="H10" s="73" ph="1">
        <f>(H9)*51.53*LOOKUP(H11,密度!$A$2:$A$50,密度!$B$2:$B$50)</f>
        <v>272492.02100399998</v>
      </c>
      <c r="I10" s="73" ph="1">
        <f>I9*290.8*1.0267</f>
        <v>0</v>
      </c>
      <c r="J10" s="73" ph="1">
        <f>J9*290.8*0.7892</f>
        <v>1455.0259424000001</v>
      </c>
      <c r="K10" s="73" ph="1">
        <f>K9*290.8*1.1126</f>
        <v>20270.036612</v>
      </c>
      <c r="L10" s="73" ph="1">
        <f>L9*290.8*0.777</f>
        <v>1764.6819960000003</v>
      </c>
      <c r="M10" s="73" ph="1">
        <f>M9*33.183*LOOKUP(M11,密度!$A$2:$A$50,密度!$D$2:$D$50)</f>
        <v>16645.130364600001</v>
      </c>
      <c r="N10" s="73" ph="1">
        <f>N9*33.183*LOOKUP(N11,密度!$A$2:$A$50,密度!$E$2:$E$50)</f>
        <v>75858.936228899998</v>
      </c>
      <c r="O10" s="73" ph="1">
        <f>O9*20.428*LOOKUP(O11,密度!$A$2:$A$50,密度!$C$2:$C$50)</f>
        <v>53660.734115599997</v>
      </c>
      <c r="P10" s="73" ph="1">
        <f>P9*51.53*LOOKUP(P11,密度!$A$2:$A$50,密度!$B$2:$B$50)</f>
        <v>46680.779655999999</v>
      </c>
      <c r="Q10" s="73" ph="1">
        <f>Q9*1.5*1.5*3.1416*LOOKUP(W11,密度!$A$2:$A$50,密度!$L$2:$L$50)</f>
        <v>45810.635270400002</v>
      </c>
      <c r="R10" s="73" ph="1">
        <f>R9*1.5*1.5*3.1416*LOOKUP(R11,密度!$A$2:$A$50,密度!$L$2:$L$50)</f>
        <v>47006.755488000003</v>
      </c>
      <c r="S10" s="73" ph="1">
        <f>S9*1.5*1.5*3.1416*LOOKUP(S11,密度!$A$2:$A$50,密度!$L$2:$L$50)</f>
        <v>45005.620690799995</v>
      </c>
      <c r="T10" s="73" ph="1">
        <f>T9*1.5*1.5*3.1416*LOOKUP(T11,密度!$A$2:$A$50,密度!$L$2:$L$50)</f>
        <v>43322.035679999994</v>
      </c>
      <c r="U10" s="73" ph="1">
        <f>U9*1.5*1.5*3.1416*LOOKUP(U11,密度!$A$2:$A$50,密度!$L$2:$L$50)</f>
        <v>8847.6747281999978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46478.872440000006</v>
      </c>
      <c r="X10" s="73" ph="1">
        <f>X9*1.5*1.5*3.1416*LOOKUP(X11,密度!$A$2:$A$50,密度!$L$2:$L$50)</f>
        <v>47453.512213799993</v>
      </c>
      <c r="Y10" s="73" ph="1">
        <f>Y9*1.5*1.5*3.1416*LOOKUP(Y11,密度!$A$2:$A$50,密度!$L$2:$L$50)</f>
        <v>34471.681952400002</v>
      </c>
      <c r="Z10" s="73" ph="1">
        <f>Z9*33.183*LOOKUP(Z11,密度!$A$2:$A$50,密度!$L$2:$L$50)</f>
        <v>22138.668926999999</v>
      </c>
      <c r="AA10" s="73" ph="1">
        <f>AA9*33.183*LOOKUP(AA11,密度!$A$2:$A$50,密度!$D$2:$D$50)</f>
        <v>227182.81697280001</v>
      </c>
      <c r="AB10" s="73" ph="1">
        <f>AB9*20.428*LOOKUP(AB11,密度!$A$2:$A$50,密度!$D$2:$D$50)</f>
        <v>121676.01138000003</v>
      </c>
      <c r="AC10" s="73" ph="1">
        <f>AC9*51.53*LOOKUP(AC11,密度!$A$2:$A$50,密度!$Q$2:$Q$50)</f>
        <v>367347.08358140005</v>
      </c>
      <c r="AD10" s="73" ph="1">
        <f>AD9*20.428*LOOKUP(AD11,密度!$A$2:$A$50,密度!$V$2:$V$50)</f>
        <v>48243.712659200006</v>
      </c>
      <c r="AE10" s="73" ph="1">
        <f>AE9*20.428</f>
        <v>85797.6</v>
      </c>
    </row>
    <row r="11" spans="1:99" ph="1">
      <c r="A11" s="64" t="s" ph="1">
        <v>162</v>
      </c>
      <c r="B11" s="241" ph="1"/>
      <c r="C11" s="153" t="s" ph="1">
        <v>179</v>
      </c>
      <c r="D11" s="74">
        <v>23</v>
      </c>
      <c r="E11" s="74">
        <v>23</v>
      </c>
      <c r="F11" s="74">
        <v>23</v>
      </c>
      <c r="G11" s="74">
        <v>25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26</v>
      </c>
      <c r="O11" s="74">
        <v>30</v>
      </c>
      <c r="P11" s="74">
        <v>25</v>
      </c>
      <c r="Q11" s="74">
        <v>28</v>
      </c>
      <c r="R11" s="74">
        <v>28</v>
      </c>
      <c r="S11" s="74">
        <v>20</v>
      </c>
      <c r="T11" s="74">
        <v>22</v>
      </c>
      <c r="U11" s="74">
        <v>23</v>
      </c>
      <c r="V11" s="74">
        <v>28</v>
      </c>
      <c r="W11" s="74">
        <v>26</v>
      </c>
      <c r="X11" s="74">
        <v>15</v>
      </c>
      <c r="Y11" s="74">
        <v>20</v>
      </c>
      <c r="Z11" s="74">
        <v>21</v>
      </c>
      <c r="AA11" s="74">
        <v>23</v>
      </c>
      <c r="AB11" s="74">
        <v>20</v>
      </c>
      <c r="AC11" s="74">
        <v>20</v>
      </c>
      <c r="AD11" s="74">
        <v>24</v>
      </c>
      <c r="AE11" s="74">
        <v>25</v>
      </c>
    </row>
    <row r="12" spans="1:99" ht="9.9" customHeight="1" ph="1"/>
    <row r="13" spans="1:99" s="72" customFormat="1" ht="29.25" customHeight="1" ph="1">
      <c r="B13" s="218" t="s" ph="1">
        <v>37</v>
      </c>
      <c r="C13" s="15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3" t="s" ph="1">
        <v>177</v>
      </c>
      <c r="D15" s="78">
        <v>0</v>
      </c>
      <c r="E15" s="78">
        <v>2370</v>
      </c>
      <c r="F15" s="78">
        <v>2093</v>
      </c>
      <c r="G15" s="78">
        <v>2561</v>
      </c>
      <c r="H15" s="78">
        <v>0</v>
      </c>
      <c r="I15" s="78">
        <v>5078</v>
      </c>
      <c r="J15" s="78">
        <v>1530</v>
      </c>
      <c r="K15" s="78">
        <v>5012</v>
      </c>
      <c r="L15" s="78">
        <v>3204</v>
      </c>
      <c r="M15" s="78">
        <v>4997</v>
      </c>
      <c r="N15" s="78">
        <v>1749</v>
      </c>
      <c r="O15" s="78">
        <v>4744</v>
      </c>
      <c r="P15" s="78">
        <v>656</v>
      </c>
      <c r="Q15" s="78">
        <v>984</v>
      </c>
      <c r="R15" s="78">
        <v>0</v>
      </c>
      <c r="S15" s="78">
        <v>6472</v>
      </c>
      <c r="T15" s="78">
        <v>3794</v>
      </c>
      <c r="U15" s="78">
        <v>1713</v>
      </c>
      <c r="V15" s="78">
        <v>1661</v>
      </c>
      <c r="W15" s="71">
        <v>-173</v>
      </c>
      <c r="X15" s="78">
        <v>-144</v>
      </c>
      <c r="Y15" s="106">
        <v>-9906</v>
      </c>
      <c r="Z15" s="78">
        <v>0</v>
      </c>
      <c r="AA15" s="78">
        <v>256</v>
      </c>
      <c r="AB15" s="78" ph="1">
        <v>1073</v>
      </c>
      <c r="AC15" s="78" ph="1">
        <v>0</v>
      </c>
      <c r="AD15" s="78">
        <v>5.7</v>
      </c>
      <c r="AE15" s="78">
        <v>54.29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3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15730.674497999998</v>
      </c>
      <c r="F16" s="73" ph="1">
        <f>F15*9.0746*LOOKUP(F17,密度!$A$2:$A$50,密度!$L$2:$L$50)</f>
        <v>17777.5769808</v>
      </c>
      <c r="G16" s="73" ph="1">
        <f>G15*9.0746*LOOKUP(G17,密度!$A$2:$A$50,密度!$B$2:$B$50)</f>
        <v>18078.435361740001</v>
      </c>
      <c r="H16" s="73" ph="1">
        <f>H15*9.0746*LOOKUP(H17,密度!$A$2:$A$50,密度!$L$2:$L$50)</f>
        <v>0</v>
      </c>
      <c r="I16" s="73" ph="1">
        <f>I15*9.0746*LOOKUP(I17,密度!$A$2:$A$50,密度!$U$2:$U$50)</f>
        <v>47325.000907599999</v>
      </c>
      <c r="J16" s="73" ph="1">
        <f>J15*9.0746*LOOKUP(J17,密度!$A$2:$A$50,密度!$L$2:$L$50)</f>
        <v>12995.553168000002</v>
      </c>
      <c r="K16" s="73" ph="1">
        <f>K15*9.0746*LOOKUP(K17,密度!$A$2:$A$50,密度!$C$2:$C$50)</f>
        <v>50466.710913919997</v>
      </c>
      <c r="L16" s="73" ph="1">
        <f>L15*9.0746*LOOKUP(L17,密度!$A$2:$A$50,密度!$E$2:$E$50)</f>
        <v>22771.554410880002</v>
      </c>
      <c r="M16" s="73" ph="1">
        <f>M15*9.0746*LOOKUP(M17,密度!$A$2:$A$50,密度!$M$2:$M$50)</f>
        <v>39591.397200220003</v>
      </c>
      <c r="N16" s="73" ph="1">
        <f>N15*9.0746*LOOKUP(N17,密度!$A$2:$A$50,密度!$M$2:$M$50)</f>
        <v>13919.2839258</v>
      </c>
      <c r="O16" s="73" ph="1">
        <f>O15*9.0746*LOOKUP(O17,密度!$A$2:$A$50,密度!$G$2:$G$50)</f>
        <v>41336.51628448</v>
      </c>
      <c r="P16" s="73" ph="1">
        <f ca="1">P15*9.0746*LOOKUP(P17,密度!$A$2:$A$51,密度!$Q$2:$Q$50)</f>
        <v>5644.5754323200008</v>
      </c>
      <c r="Q16" s="73" ph="1">
        <f>Q15*9.0746*LOOKUP(Q17,密度!$A$2:$A$50,密度!$Q$2:$Q$50)</f>
        <v>8466.8631484800007</v>
      </c>
      <c r="R16" s="73" ph="1">
        <f>MAX(R15*9.0746*LOOKUP(R17,密度!$A$2:$A$50,密度!$B$2:$B$50),0)</f>
        <v>0</v>
      </c>
      <c r="S16" s="73" ph="1">
        <f>S15*9.0746*LOOKUP(S17,密度!$A$2:$A$50,密度!$Q$2:$Q$50)</f>
        <v>55602.808195488004</v>
      </c>
      <c r="T16" s="73" ph="1">
        <f>T15*9.0746*LOOKUP(T17,密度!$A$2:$A$50,密度!$O$2:$O$50)</f>
        <v>32019.000132000005</v>
      </c>
      <c r="U16" s="73" ph="1">
        <f>U15*9.0746*LOOKUP(U17,密度!$A$2:$A$50,密度!$H$2:$H$50)</f>
        <v>14249.908809659999</v>
      </c>
      <c r="V16" s="73" ph="1">
        <f>MAX(5600*LOOKUP(V17,密度!$A$2:$A$50,密度!$Q$2:$Q$50)+V15*9.0476*LOOKUP(V17,密度!$A$2:$A$50,密度!$Q$2:$Q$50),0)</f>
        <v>19529.412932664003</v>
      </c>
      <c r="W16" s="73" ph="1">
        <f>MAX(5600*LOOKUP(W17,密度!$A$2:$A$50,密度!$Q$2:$Q$50)+W15*9.0476*LOOKUP(W17,密度!$A$2:$A$50,密度!$Q$2:$Q$50),0)</f>
        <v>3819.8736054480005</v>
      </c>
      <c r="X16" s="73" ph="1">
        <f>MAX(5600*LOOKUP(X17,密度!$A$2:$A$50,密度!$I$2:$I$50)+X15*9.0476*LOOKUP(X17,密度!$A$2:$A$50,密度!$I$2:$I$50),0)</f>
        <v>4488.79829376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1817.3592524800001</v>
      </c>
      <c r="AB16" s="73" ph="1">
        <f>AB15*9.0746*LOOKUP(AB17,密度!$A$2:$A$50,密度!$L$2:$L$50)</f>
        <v>9143.0860061999992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2414.7922896</v>
      </c>
      <c r="AE16" s="73" ph="1">
        <f>AE15*268.68*LOOKUP(AE17,密度!$A$2:$A$50,密度!B2:B50)+IF(AE15&lt;=0,0,1566*LOOKUP(AE17,密度!$A$2:$A$50,密度!B2:B50))</f>
        <v>12592.595961120001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23</v>
      </c>
      <c r="E17" s="74">
        <v>23</v>
      </c>
      <c r="F17" s="74">
        <v>26</v>
      </c>
      <c r="G17" s="74">
        <v>27</v>
      </c>
      <c r="H17" s="74">
        <v>20</v>
      </c>
      <c r="I17" s="74">
        <v>23</v>
      </c>
      <c r="J17" s="74">
        <v>26</v>
      </c>
      <c r="K17" s="74">
        <v>24</v>
      </c>
      <c r="L17" s="74">
        <v>25</v>
      </c>
      <c r="M17" s="74">
        <v>27</v>
      </c>
      <c r="N17" s="74">
        <v>23</v>
      </c>
      <c r="O17" s="74">
        <v>25</v>
      </c>
      <c r="P17" s="74">
        <v>23</v>
      </c>
      <c r="Q17" s="74">
        <v>23</v>
      </c>
      <c r="R17" s="74">
        <v>25</v>
      </c>
      <c r="S17" s="74">
        <v>25</v>
      </c>
      <c r="T17" s="74">
        <v>24</v>
      </c>
      <c r="U17" s="74">
        <v>23</v>
      </c>
      <c r="V17" s="74">
        <v>25</v>
      </c>
      <c r="W17" s="74">
        <v>25</v>
      </c>
      <c r="X17" s="74">
        <v>23</v>
      </c>
      <c r="Y17" s="108">
        <v>23</v>
      </c>
      <c r="Z17" s="74">
        <v>23</v>
      </c>
      <c r="AA17" s="74">
        <v>22</v>
      </c>
      <c r="AB17" s="74">
        <v>23</v>
      </c>
      <c r="AC17" s="74">
        <v>21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24</v>
      </c>
      <c r="E18" s="71">
        <v>3456</v>
      </c>
      <c r="F18" s="71">
        <v>2436</v>
      </c>
      <c r="G18" s="71">
        <v>2666</v>
      </c>
      <c r="H18" s="71">
        <v>0</v>
      </c>
      <c r="I18" s="71">
        <v>3480</v>
      </c>
      <c r="J18" s="71">
        <v>1685</v>
      </c>
      <c r="K18" s="71">
        <v>5012</v>
      </c>
      <c r="L18" s="71">
        <v>1234</v>
      </c>
      <c r="M18" s="71">
        <v>3054</v>
      </c>
      <c r="N18" s="71">
        <v>763</v>
      </c>
      <c r="O18" s="71">
        <v>4745</v>
      </c>
      <c r="P18" s="71">
        <v>656</v>
      </c>
      <c r="Q18" s="71">
        <v>979</v>
      </c>
      <c r="R18" s="71">
        <v>0</v>
      </c>
      <c r="S18" s="71">
        <v>6474</v>
      </c>
      <c r="T18" s="71">
        <v>3795</v>
      </c>
      <c r="U18" s="71">
        <v>1707</v>
      </c>
      <c r="V18" s="71">
        <v>1577</v>
      </c>
      <c r="W18" s="71">
        <v>-173</v>
      </c>
      <c r="X18" s="71">
        <v>-320</v>
      </c>
      <c r="Y18" s="109">
        <v>-9906</v>
      </c>
      <c r="Z18" s="71">
        <v>0</v>
      </c>
      <c r="AA18" s="71">
        <v>257</v>
      </c>
      <c r="AB18" s="71">
        <v>1861</v>
      </c>
      <c r="AC18" s="71">
        <v>19</v>
      </c>
      <c r="AD18" s="71">
        <v>29.24</v>
      </c>
      <c r="AE18" s="71">
        <v>84.62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3" t="s" ph="1">
        <v>178</v>
      </c>
      <c r="D19" s="73" ph="1">
        <f>D18*7.0686*LOOKUP(D20,密度!$A$2:$A$50,密度!$L$2:$L$50)</f>
        <v>158.7890304</v>
      </c>
      <c r="E19" s="73" ph="1">
        <f>E18*7.0686*LOOKUP(E20,密度!$A$2:$A$50,密度!$L$2:$L$50)</f>
        <v>22865.620377600004</v>
      </c>
      <c r="F19" s="73" ph="1">
        <f>F18*9.0746*LOOKUP(F20,密度!$A$2:$A$50,密度!$L$2:$L$50)</f>
        <v>20602.536259200002</v>
      </c>
      <c r="G19" s="73" ph="1">
        <f>G18*9.0746*LOOKUP(G20,密度!$A$2:$A$50,密度!$B$2:$B$50)</f>
        <v>18819.644152440003</v>
      </c>
      <c r="H19" s="73" ph="1">
        <f>H18*9.0746*LOOKUP(H20,密度!$A$2:$A$50,密度!$L$2:$L$50)</f>
        <v>0</v>
      </c>
      <c r="I19" s="73" ph="1">
        <f>I18*9.0746*LOOKUP(I20,密度!$A$2:$A$50,密度!$U$2:$U$50)</f>
        <v>32369.098199999997</v>
      </c>
      <c r="J19" s="73" ph="1">
        <f>J18*9.0746*LOOKUP(J20,密度!$A$2:$A$50,密度!$L$2:$L$50)</f>
        <v>14281.514734000002</v>
      </c>
      <c r="K19" s="73" ph="1">
        <f>K18*9.0746*LOOKUP(K20,密度!$A$2:$A$50,密度!$C$2:$C$50)</f>
        <v>50434.873587279995</v>
      </c>
      <c r="L19" s="73" ph="1">
        <f>L18*9.0746*LOOKUP(L20,密度!$A$2:$A$50,密度!$E$2:$E$50)</f>
        <v>8757.9999104399994</v>
      </c>
      <c r="M19" s="73" ph="1">
        <f>M18*9.0746*LOOKUP(M20,密度!$A$2:$A$50,密度!$M$2:$M$50)</f>
        <v>24166.458364800001</v>
      </c>
      <c r="N19" s="73" ph="1">
        <f>N18*9.0746*LOOKUP(N20,密度!$A$2:$A$50,密度!$M$2:$M$50)</f>
        <v>6072.2776646000002</v>
      </c>
      <c r="O19" s="73" ph="1">
        <f>O18*9.0746*LOOKUP(O20,密度!$A$2:$A$50,密度!$G$2:$G$50)</f>
        <v>41293.558942999996</v>
      </c>
      <c r="P19" s="73" ph="1">
        <f ca="1">P18*9.0746*LOOKUP(P20,密度!$A$2:$A$51,密度!$Q$2:$Q$50)</f>
        <v>5631.657557728</v>
      </c>
      <c r="Q19" s="73" ph="1">
        <f>Q18*9.0746*LOOKUP(Q20,密度!$A$2:$A$50,密度!$Q$2:$Q$50)</f>
        <v>8404.5621174019998</v>
      </c>
      <c r="R19" s="73" ph="1">
        <f>MAX(R18*9.0746*LOOKUP(R20,密度!$A$2:$A$50,密度!$B$2:$B$50),0)</f>
        <v>0</v>
      </c>
      <c r="S19" s="73" ph="1">
        <f>S18*9.0746*LOOKUP(S20,密度!$A$2:$A$50,密度!$Q$2:$Q$50)</f>
        <v>55536.567245328006</v>
      </c>
      <c r="T19" s="73" ph="1">
        <f>T18*9.0746*LOOKUP(T20,密度!$A$2:$A$50,密度!$O$2:$O$50)</f>
        <v>31889.687082000004</v>
      </c>
      <c r="U19" s="73" ph="1">
        <f>U18*9.0746*LOOKUP(U20,密度!$A$2:$A$50,密度!$H$2:$H$50)</f>
        <v>14169.016010339999</v>
      </c>
      <c r="V19" s="73" ph="1">
        <f>MAX(5600*LOOKUP(V20,密度!$A$2:$A$50,密度!$Q$2:$Q$50)+V18*9.0476*LOOKUP(V20,密度!$A$2:$A$50,密度!$Q$2:$Q$50),0)</f>
        <v>18795.785721156</v>
      </c>
      <c r="W19" s="73" ph="1">
        <f>MAX(5600*LOOKUP(W20,密度!$A$2:$A$50,密度!$Q$2:$Q$50)+W18*9.0476*LOOKUP(W20,密度!$A$2:$A$50,密度!$Q$2:$Q$50),0)</f>
        <v>3817.0089221560002</v>
      </c>
      <c r="X19" s="73" ph="1">
        <f>MAX(5600*LOOKUP(X20,密度!$A$2:$A$50,密度!$I$2:$I$50)+X18*9.0476*LOOKUP(X20,密度!$A$2:$A$50,密度!$I$2:$I$50),0)</f>
        <v>2822.1549312000006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1820.2604021</v>
      </c>
      <c r="AB19" s="73" ph="1">
        <f>AB18*9.0746*LOOKUP(AB20,密度!$A$2:$A$50,密度!$L$2:$L$50)</f>
        <v>15823.897272200002</v>
      </c>
      <c r="AC19" s="73" ph="1">
        <f>AC18*9.0746*LOOKUP(AC20,密度!$A$2:$A$50,密度!$L$2:$L$50)</f>
        <v>161.72752120000001</v>
      </c>
      <c r="AD19" s="73" ph="1">
        <f>AD18*268.68*LOOKUP(AD20,密度!$A$2:$A$50,密度!B5:B53)+IF(AD18&lt;=0,0,1566*LOOKUP(AD20,密度!$A$2:$A$50,密度!B5:B53))</f>
        <v>7321.0518864000005</v>
      </c>
      <c r="AE19" s="73" ph="1">
        <f>AE18*268.68*LOOKUP(AE20,密度!$A$2:$A$50,密度!B5:B53)+IF(AE18&lt;=0,0,1566*LOOKUP(AE20,密度!$A$2:$A$50,密度!B5:B53))</f>
        <v>18882.422143200001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26</v>
      </c>
      <c r="E20" s="81">
        <v>26</v>
      </c>
      <c r="F20" s="81">
        <v>30</v>
      </c>
      <c r="G20" s="81">
        <v>27</v>
      </c>
      <c r="H20" s="81">
        <v>23</v>
      </c>
      <c r="I20" s="81">
        <v>25</v>
      </c>
      <c r="J20" s="81">
        <v>28</v>
      </c>
      <c r="K20" s="81">
        <v>25</v>
      </c>
      <c r="L20" s="81">
        <v>26</v>
      </c>
      <c r="M20" s="81">
        <v>28</v>
      </c>
      <c r="N20" s="81">
        <v>23</v>
      </c>
      <c r="O20" s="81">
        <v>26</v>
      </c>
      <c r="P20" s="81">
        <v>26</v>
      </c>
      <c r="Q20" s="81">
        <v>26</v>
      </c>
      <c r="R20" s="81">
        <v>28</v>
      </c>
      <c r="S20" s="81">
        <v>27</v>
      </c>
      <c r="T20" s="81">
        <v>26</v>
      </c>
      <c r="U20" s="81">
        <v>25</v>
      </c>
      <c r="V20" s="81">
        <v>26</v>
      </c>
      <c r="W20" s="81">
        <v>26</v>
      </c>
      <c r="X20" s="81">
        <v>24</v>
      </c>
      <c r="Y20" s="110">
        <v>24</v>
      </c>
      <c r="Z20" s="81">
        <v>27</v>
      </c>
      <c r="AA20" s="81">
        <v>24</v>
      </c>
      <c r="AB20" s="81">
        <v>25</v>
      </c>
      <c r="AC20" s="81">
        <v>24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3" t="s" ph="1">
        <v>177</v>
      </c>
      <c r="D24" s="71">
        <v>54.16</v>
      </c>
      <c r="E24" s="71">
        <v>5.66</v>
      </c>
      <c r="F24" s="71">
        <v>3706</v>
      </c>
      <c r="G24" s="71">
        <v>3865</v>
      </c>
      <c r="H24" s="71">
        <v>1112</v>
      </c>
      <c r="I24" s="71">
        <v>405</v>
      </c>
      <c r="J24" s="71">
        <v>816</v>
      </c>
      <c r="K24" s="71">
        <v>248</v>
      </c>
      <c r="L24" s="71">
        <v>470</v>
      </c>
      <c r="M24" s="71">
        <v>367</v>
      </c>
      <c r="N24" s="71">
        <v>225</v>
      </c>
      <c r="O24" s="71">
        <v>5420</v>
      </c>
      <c r="P24" s="71">
        <v>1162</v>
      </c>
      <c r="Q24" s="90">
        <v>585</v>
      </c>
      <c r="R24" s="71">
        <v>5192</v>
      </c>
      <c r="S24" s="71">
        <v>751</v>
      </c>
      <c r="T24" s="71">
        <v>2115</v>
      </c>
      <c r="U24" s="71">
        <v>6581</v>
      </c>
      <c r="V24" s="71">
        <v>7767</v>
      </c>
      <c r="W24" s="71">
        <v>5643</v>
      </c>
      <c r="X24" s="71">
        <v>4058</v>
      </c>
      <c r="Y24" s="71">
        <v>6294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15259.279629312001</v>
      </c>
      <c r="E25" s="91" ph="1">
        <f>E24*268.68*LOOKUP(E26,密度!$A$2:$A$50,密度!$C$2:$C$50)+IF(E24&lt;=0,0,1566*LOOKUP(E26,密度!$A$2:$A$50,密度!$C$2:$C$50))</f>
        <v>3422.87356632</v>
      </c>
      <c r="F25" s="91" ph="1">
        <f>F24*11.702*LOOKUP(F26,密度!$A$2:$A$50,密度!$Q$2:$Q$50)</f>
        <v>41159.76687308</v>
      </c>
      <c r="G25" s="91" ph="1">
        <f>G24*18.322*LOOKUP(G26,密度!$A$2:$A$50,密度!$B$2:$B$50)</f>
        <v>55334.473741999995</v>
      </c>
      <c r="H25" s="91" ph="1">
        <f>H24*18.322*LOOKUP(H26,密度!$A$2:$A$50,密度!$B$2:$B$50)</f>
        <v>15920.293609599998</v>
      </c>
      <c r="I25" s="91" ph="1">
        <f>I24*18.322*LOOKUP(I26,密度!$A$2:$A$50,密度!$Q$2:$Q$50)</f>
        <v>7036.0327619999998</v>
      </c>
      <c r="J25" s="91" ph="1">
        <f>J24*18.322*LOOKUP(J26,密度!$A$2:$A$50,密度!$Q$2:$Q$50)</f>
        <v>14189.609215679999</v>
      </c>
      <c r="K25" s="91" ph="1">
        <f>K24*18.322*LOOKUP(K26,密度!$A$2:$A$50,密度!$Q$2:$Q$50)</f>
        <v>4305.1672443199996</v>
      </c>
      <c r="L25" s="91" ph="1">
        <f>L24*18.322*LOOKUP(L26,密度!$A$2:$A$50,密度!$Q$2:$Q$50)</f>
        <v>8158.9863098000005</v>
      </c>
      <c r="M25" s="91" ph="1">
        <f>M24*18.322*LOOKUP(M26,密度!$A$2:$A$50,密度!$Q$2:$Q$50)</f>
        <v>6370.9531397800001</v>
      </c>
      <c r="N25" s="91" ph="1">
        <f>N24*18.322*LOOKUP(N26,密度!$A$2:$A$50,密度!$Q$2:$Q$50)</f>
        <v>3908.9070900000002</v>
      </c>
      <c r="O25" s="91" ph="1">
        <f>O24*18.322*LOOKUP(O26,密度!$A$2:$A$50,密度!$C$2:$C$50)</f>
        <v>110338.05216399999</v>
      </c>
      <c r="P25" s="91" ph="1">
        <f>P24*11.702*LOOKUP(P26,密度!$A$2:$A$50,密度!$B$2:$B$50)</f>
        <v>10649.7374368</v>
      </c>
      <c r="Q25" s="92" ph="1">
        <f>Q24*18.322*LOOKUP(Q26,密度!$A$2:$A$50,密度!$B$2:$B$50)</f>
        <v>8394.6273839999994</v>
      </c>
      <c r="R25" s="91" ph="1">
        <f>R24*35.891*LOOKUP(R26,密度!$A$2:$A$50,密度!$C$2:$C$50)</f>
        <v>206769.60149119998</v>
      </c>
      <c r="S25" s="91" ph="1">
        <f>S24*35.891*LOOKUP(S26,密度!$A$2:$A$50,密度!$B$2:$B$50)</f>
        <v>21013.448323599998</v>
      </c>
      <c r="T25" s="91" ph="1">
        <f>T24*35.891*LOOKUP(T26,密度!$A$2:$A$50,密度!$Q$2:$Q$50)</f>
        <v>72044.914136849999</v>
      </c>
      <c r="U25" s="91" ph="1">
        <f>U24*35.891</f>
        <v>236198.671</v>
      </c>
      <c r="V25" s="91" ph="1">
        <f>V24*47.051*LOOKUP(V26,密度!$A$2:$A$50,密度!$B$2:$B$50)</f>
        <v>286545.51623970002</v>
      </c>
      <c r="W25" s="91" ph="1">
        <f>W24*47.051*LOOKUP(W26,密度!$A$2:$A$50,密度!$B$2:$B$50)</f>
        <v>207229.61293649999</v>
      </c>
      <c r="X25" s="91" ph="1">
        <f>X24*47.051*LOOKUP(X26,密度!$A$2:$A$61,密度!$I$2:$I$61)</f>
        <v>198799.3958696</v>
      </c>
      <c r="Y25" s="91" ph="1">
        <f>Y24*47.051*LOOKUP(Y26,密度!$A$2:$A$50,密度!$L$2:$L$50)</f>
        <v>277778.37637199997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22</v>
      </c>
      <c r="G26" s="74">
        <v>23</v>
      </c>
      <c r="H26" s="74">
        <v>23</v>
      </c>
      <c r="I26" s="74">
        <v>23</v>
      </c>
      <c r="J26" s="74">
        <v>22</v>
      </c>
      <c r="K26" s="74">
        <v>24</v>
      </c>
      <c r="L26" s="74">
        <v>24</v>
      </c>
      <c r="M26" s="74">
        <v>24</v>
      </c>
      <c r="N26" s="74">
        <v>23</v>
      </c>
      <c r="O26" s="74">
        <v>22</v>
      </c>
      <c r="P26" s="74">
        <v>21</v>
      </c>
      <c r="Q26" s="93">
        <v>21</v>
      </c>
      <c r="R26" s="74">
        <v>24</v>
      </c>
      <c r="S26" s="74">
        <v>25</v>
      </c>
      <c r="T26" s="74">
        <v>22</v>
      </c>
      <c r="U26" s="74">
        <v>25</v>
      </c>
      <c r="V26" s="74">
        <v>20</v>
      </c>
      <c r="W26" s="74">
        <v>24</v>
      </c>
      <c r="X26" s="74">
        <v>26</v>
      </c>
      <c r="Y26" s="74">
        <v>24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3" t="s" ph="1">
        <v>180</v>
      </c>
      <c r="D27" s="71">
        <v>21.98</v>
      </c>
      <c r="E27" s="71">
        <v>5.66</v>
      </c>
      <c r="F27" s="71">
        <v>2585</v>
      </c>
      <c r="G27" s="71">
        <v>3333</v>
      </c>
      <c r="H27" s="71">
        <v>721</v>
      </c>
      <c r="I27" s="71">
        <v>27</v>
      </c>
      <c r="J27" s="71">
        <v>215</v>
      </c>
      <c r="K27" s="71">
        <v>247</v>
      </c>
      <c r="L27" s="71">
        <v>468</v>
      </c>
      <c r="M27" s="71">
        <v>366</v>
      </c>
      <c r="N27" s="71">
        <v>223</v>
      </c>
      <c r="O27" s="71">
        <v>5419</v>
      </c>
      <c r="P27" s="71">
        <v>1161</v>
      </c>
      <c r="Q27" s="90">
        <v>770</v>
      </c>
      <c r="R27" s="71">
        <v>5192</v>
      </c>
      <c r="S27" s="71">
        <v>565</v>
      </c>
      <c r="T27" s="71">
        <v>2308</v>
      </c>
      <c r="U27" s="71">
        <v>6545</v>
      </c>
      <c r="V27" s="71">
        <v>7768</v>
      </c>
      <c r="W27" s="71">
        <v>5319</v>
      </c>
      <c r="X27" s="71">
        <v>3594</v>
      </c>
      <c r="Y27" s="71">
        <v>6296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3" t="s" ph="1">
        <v>178</v>
      </c>
      <c r="D28" s="91" ph="1">
        <f>D27*268.68*LOOKUP(D29,密度!$A$2:$A$50,密度!$Q$2:$Q$50)+IF(D27&lt;=0,0,1566*LOOKUP(D29,密度!$A$2:$A$50,密度!$Q$2:$Q$50))</f>
        <v>7073.649708336</v>
      </c>
      <c r="E28" s="91" ph="1">
        <f>E27*268.68*LOOKUP(E29,密度!$A$2:$A$50,密度!$C$2:$C$50)+IF(E27&lt;=0,0,1566*LOOKUP(E29,密度!$A$2:$A$50,密度!$C$2:$C$50))</f>
        <v>3422.87356632</v>
      </c>
      <c r="F28" s="91" ph="1">
        <f>F27*11.702*LOOKUP(F29,密度!$A$2:$A$50,密度!$Q$2:$Q$50)</f>
        <v>28682.737094</v>
      </c>
      <c r="G28" s="91" ph="1">
        <f>G27*18.322*LOOKUP(G29,密度!$A$2:$A$50,密度!$B$2:$B$50)</f>
        <v>47608.009389599996</v>
      </c>
      <c r="H28" s="91" ph="1">
        <f>H27*18.322*LOOKUP(H29,密度!$A$2:$A$50,密度!$B$2:$B$50)</f>
        <v>10310.531440999999</v>
      </c>
      <c r="I28" s="91" ph="1">
        <f>I27*18.322*LOOKUP(I29,密度!$A$2:$A$50,密度!$Q$2:$Q$50)</f>
        <v>468.70772417999996</v>
      </c>
      <c r="J28" s="91" ph="1">
        <f>J27*18.322*LOOKUP(J29,密度!$A$2:$A$50,密度!$Q$2:$Q$50)</f>
        <v>3735.1778860000004</v>
      </c>
      <c r="K28" s="91" ph="1">
        <f>K27*18.322*LOOKUP(K29,密度!$A$2:$A$50,密度!$Q$2:$Q$50)</f>
        <v>4284.50405916</v>
      </c>
      <c r="L28" s="91" ph="1">
        <f>L27*18.322*LOOKUP(L29,密度!$A$2:$A$50,密度!$Q$2:$Q$50)</f>
        <v>8118.0076910400003</v>
      </c>
      <c r="M28" s="91" ph="1">
        <f>M27*18.322*LOOKUP(M29,密度!$A$2:$A$50,密度!$Q$2:$Q$50)</f>
        <v>6353.5935944399998</v>
      </c>
      <c r="N28" s="91" ph="1">
        <f>N27*18.322*LOOKUP(N29,密度!$A$2:$A$50,密度!$Q$2:$Q$50)</f>
        <v>3877.79761654</v>
      </c>
      <c r="O28" s="91" ph="1">
        <f>O27*18.322*LOOKUP(O29,密度!$A$2:$A$50,密度!$C$2:$C$50)</f>
        <v>110317.69458979998</v>
      </c>
      <c r="P28" s="91" ph="1">
        <f>P27*11.702*LOOKUP(P29,密度!$A$2:$A$50,密度!$B$2:$B$50)</f>
        <v>10616.1175908</v>
      </c>
      <c r="Q28" s="92" ph="1">
        <f>Q27*18.322*LOOKUP(Q29,密度!$A$2:$A$50,密度!$B$2:$B$50)</f>
        <v>10998.550023999998</v>
      </c>
      <c r="R28" s="91" ph="1">
        <f>R27*35.891*LOOKUP(R29,密度!$A$2:$A$50,密度!$C$2:$C$50)</f>
        <v>206639.15924079999</v>
      </c>
      <c r="S28" s="91" ph="1">
        <f>S27*35.891*LOOKUP(S29,密度!$A$2:$A$50,密度!$B$2:$B$50)</f>
        <v>15809.052333999996</v>
      </c>
      <c r="T28" s="91" ph="1">
        <f>T27*35.891*LOOKUP(T29,密度!$A$2:$A$50,密度!$Q$2:$Q$50)</f>
        <v>78545.501029599996</v>
      </c>
      <c r="U28" s="91" ph="1">
        <f>U27*35.891</f>
        <v>234906.595</v>
      </c>
      <c r="V28" s="91" ph="1">
        <f>V27*47.051*LOOKUP(V29,密度!$A$2:$A$50,密度!$B$2:$B$50)</f>
        <v>286253.46597760002</v>
      </c>
      <c r="W28" s="91" ph="1">
        <f>W27*47.051*LOOKUP(W29,密度!$A$2:$A$50,密度!$B$2:$B$50)</f>
        <v>195781.7376387</v>
      </c>
      <c r="X28" s="91" ph="1">
        <f>X27*47.051*LOOKUP(X29,密度!$A$2:$A$61,密度!$I$2:$I$61)</f>
        <v>175696.24446599997</v>
      </c>
      <c r="Y28" s="91" ph="1">
        <f>Y27*47.051*LOOKUP(Y29,密度!$A$2:$A$50,密度!$L$2:$L$50)</f>
        <v>277570.41095200001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3" t="s" ph="1">
        <v>179</v>
      </c>
      <c r="D29" s="74">
        <v>25</v>
      </c>
      <c r="E29" s="74">
        <v>25</v>
      </c>
      <c r="F29" s="74">
        <v>23</v>
      </c>
      <c r="G29" s="74">
        <v>25</v>
      </c>
      <c r="H29" s="74">
        <v>24</v>
      </c>
      <c r="I29" s="74">
        <v>24</v>
      </c>
      <c r="J29" s="74">
        <v>23</v>
      </c>
      <c r="K29" s="74">
        <v>25</v>
      </c>
      <c r="L29" s="74">
        <v>25</v>
      </c>
      <c r="M29" s="74">
        <v>24</v>
      </c>
      <c r="N29" s="74">
        <v>22</v>
      </c>
      <c r="O29" s="74">
        <v>22</v>
      </c>
      <c r="P29" s="74">
        <v>23</v>
      </c>
      <c r="Q29" s="93">
        <v>25</v>
      </c>
      <c r="R29" s="74">
        <v>25</v>
      </c>
      <c r="S29" s="74">
        <v>25</v>
      </c>
      <c r="T29" s="74">
        <v>23</v>
      </c>
      <c r="U29" s="74">
        <v>25</v>
      </c>
      <c r="V29" s="74">
        <v>21</v>
      </c>
      <c r="W29" s="74">
        <v>22</v>
      </c>
      <c r="X29" s="74">
        <v>28</v>
      </c>
      <c r="Y29" s="74">
        <v>25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3" t="s" ph="1">
        <v>5</v>
      </c>
      <c r="F32" s="152" t="s" ph="1">
        <v>43</v>
      </c>
      <c r="G32" s="97" t="s" ph="1">
        <v>4</v>
      </c>
      <c r="H32" s="153" t="s" ph="1">
        <v>5</v>
      </c>
      <c r="I32" s="152" t="s" ph="1">
        <v>43</v>
      </c>
      <c r="J32" s="97" t="s" ph="1">
        <v>4</v>
      </c>
      <c r="K32" s="153" t="s" ph="1">
        <v>5</v>
      </c>
      <c r="L32" s="152" t="s" ph="1">
        <v>43</v>
      </c>
      <c r="M32" s="97" t="s" ph="1">
        <v>4</v>
      </c>
      <c r="N32" s="153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2" t="s" ph="1">
        <v>43</v>
      </c>
      <c r="AB32" s="97" t="s" ph="1">
        <v>85</v>
      </c>
      <c r="AC32" s="15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348858.82835280005</v>
      </c>
      <c r="E33" s="190" ph="1">
        <f>M10+I10</f>
        <v>16645.130364600001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16" ph="1">
        <f>N19</f>
        <v>6072.2776646000002</v>
      </c>
      <c r="H33" s="190" ph="1">
        <f>M19</f>
        <v>24166.458364800001</v>
      </c>
      <c r="I33" s="194" ph="1">
        <v>0</v>
      </c>
      <c r="J33" s="198" ph="1">
        <f>F10+O28</f>
        <v>325169.07164899999</v>
      </c>
      <c r="K33" s="190" ph="1">
        <f>O10+K10+E28+R28</f>
        <v>283992.80353471998</v>
      </c>
      <c r="L33" s="200" ph="1">
        <f>K19</f>
        <v>50434.873587279995</v>
      </c>
      <c r="M33" s="198" ph="1">
        <f>G10+H10+W28+S28+V28+E10+R19+P28+Q28</f>
        <v>1286589.1356710999</v>
      </c>
      <c r="N33" s="190" ph="1">
        <f>L10+P10++G28+H28+AD19+AE19</f>
        <v>132567.4765122</v>
      </c>
      <c r="O33" s="194" ph="1">
        <f>G19</f>
        <v>18819.644152440003</v>
      </c>
      <c r="P33" s="198" ph="1">
        <f>L19</f>
        <v>8757.9999104399994</v>
      </c>
      <c r="Q33" s="190" ph="1">
        <f>J10+N10</f>
        <v>77313.962171299994</v>
      </c>
      <c r="R33" s="194" ph="1">
        <f>BE23</f>
        <v>890</v>
      </c>
      <c r="S33" s="198" ph="1">
        <f>X28</f>
        <v>175696.24446599997</v>
      </c>
      <c r="T33" s="190" ph="1">
        <f>X19</f>
        <v>2822.1549312000006</v>
      </c>
      <c r="U33" s="179" ph="1">
        <f>BE21</f>
        <v>730</v>
      </c>
      <c r="V33" s="192" ph="1">
        <f ca="1">P19+Q19+S19+M28+N28+J28+D10+AC10+D19+E19+H19+J19+O19+V19+W19+K28+L28</f>
        <v>787487.4517695501</v>
      </c>
      <c r="W33" s="192" ph="1">
        <f>D28+F28+T28+I28</f>
        <v>114770.59555611599</v>
      </c>
      <c r="X33" s="194" ph="1">
        <f>BE29+BE31</f>
        <v>10200</v>
      </c>
      <c r="Y33" s="196" ph="1">
        <f>+Q10+R10+S10+T10+U10+V10+W10+X10+Y10</f>
        <v>318396.78846359998</v>
      </c>
      <c r="Z33" s="177" ph="1">
        <f>T19+U19+Y28+Z10</f>
        <v>345767.78297134</v>
      </c>
      <c r="AA33" s="179" ph="1">
        <f>BE19</f>
        <v>1440</v>
      </c>
      <c r="AB33" s="181" ph="1">
        <f>I19</f>
        <v>32369.098199999997</v>
      </c>
      <c r="AC33" s="183" ph="1">
        <f>AD10+AB19</f>
        <v>64067.609931400009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1" t="s" ph="1">
        <v>185</v>
      </c>
      <c r="AA36" s="151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342</v>
      </c>
      <c r="AI37" s="151" t="s" ph="1">
        <v>209</v>
      </c>
      <c r="AJ37" s="151" t="s" ph="1">
        <v>210</v>
      </c>
      <c r="AK37" s="151" t="s" ph="1">
        <v>211</v>
      </c>
      <c r="AM37" s="151" t="s" ph="1">
        <v>210</v>
      </c>
      <c r="AN37" s="151" t="s" ph="1">
        <v>211</v>
      </c>
      <c r="AO37" s="151" t="s" ph="1">
        <v>212</v>
      </c>
      <c r="AP37" s="151" t="s" ph="1">
        <v>210</v>
      </c>
      <c r="AQ37" s="151" t="s" ph="1">
        <v>211</v>
      </c>
      <c r="AR37" s="151" t="s" ph="1">
        <v>212</v>
      </c>
      <c r="AS37" s="151" t="s" ph="1">
        <v>210</v>
      </c>
      <c r="AT37" s="151" t="s" ph="1">
        <v>211</v>
      </c>
      <c r="AU37" s="151" t="s" ph="1">
        <v>212</v>
      </c>
      <c r="AV37" s="151" t="s" ph="1">
        <v>210</v>
      </c>
      <c r="AW37" s="151" t="s" ph="1">
        <v>211</v>
      </c>
      <c r="AX37" s="151" t="s" ph="1">
        <v>212</v>
      </c>
      <c r="AY37" s="151" t="s" ph="1">
        <v>211</v>
      </c>
      <c r="AZ37" s="151" t="s" ph="1">
        <v>213</v>
      </c>
      <c r="BD37" s="151" t="s" ph="1">
        <v>305</v>
      </c>
      <c r="BE37" s="15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599" priority="100">
      <formula>ABS(D$7-D$10)&gt;=1000</formula>
    </cfRule>
  </conditionalFormatting>
  <conditionalFormatting sqref="E4 E6:E11">
    <cfRule type="expression" dxfId="2598" priority="99">
      <formula>ABS(E$7-E$10)&gt;=1000</formula>
    </cfRule>
  </conditionalFormatting>
  <conditionalFormatting sqref="F4:F11">
    <cfRule type="expression" dxfId="2597" priority="98">
      <formula>ABS(F$7-F$10)&gt;=1000</formula>
    </cfRule>
  </conditionalFormatting>
  <conditionalFormatting sqref="G4:G11">
    <cfRule type="expression" dxfId="2596" priority="97">
      <formula>ABS(G$7-G$10)&gt;=1000</formula>
    </cfRule>
  </conditionalFormatting>
  <conditionalFormatting sqref="H4:H11">
    <cfRule type="expression" dxfId="2595" priority="96">
      <formula>ABS(H$7-H$10)&gt;=1000</formula>
    </cfRule>
  </conditionalFormatting>
  <conditionalFormatting sqref="I4:I11">
    <cfRule type="expression" dxfId="2594" priority="95">
      <formula>ABS(I$7-I$10)&gt;=1000</formula>
    </cfRule>
  </conditionalFormatting>
  <conditionalFormatting sqref="J4:J11">
    <cfRule type="expression" dxfId="2593" priority="94">
      <formula>ABS(J$7-J$10)&gt;=1000</formula>
    </cfRule>
  </conditionalFormatting>
  <conditionalFormatting sqref="K4:K11">
    <cfRule type="expression" dxfId="2592" priority="93">
      <formula>ABS(K$7-K$10)&gt;=1000</formula>
    </cfRule>
  </conditionalFormatting>
  <conditionalFormatting sqref="L4:L11">
    <cfRule type="expression" dxfId="2591" priority="92">
      <formula>ABS(L$7-L$10)&gt;=1000</formula>
    </cfRule>
  </conditionalFormatting>
  <conditionalFormatting sqref="M4 M6:M11">
    <cfRule type="expression" dxfId="2590" priority="91">
      <formula>ABS(M$7-M$10)&gt;=1000</formula>
    </cfRule>
  </conditionalFormatting>
  <conditionalFormatting sqref="N4 N6:N11">
    <cfRule type="expression" dxfId="2589" priority="90">
      <formula>ABS(N$7-N$10)&gt;=1000</formula>
    </cfRule>
  </conditionalFormatting>
  <conditionalFormatting sqref="O4 O6:O11">
    <cfRule type="expression" dxfId="2588" priority="89">
      <formula>ABS(O$7-O$10)&gt;=1000</formula>
    </cfRule>
  </conditionalFormatting>
  <conditionalFormatting sqref="P4 P6:P11">
    <cfRule type="expression" dxfId="2587" priority="88">
      <formula>ABS(P$7-P$10)&gt;=1000</formula>
    </cfRule>
  </conditionalFormatting>
  <conditionalFormatting sqref="Q4:Q11">
    <cfRule type="expression" dxfId="2586" priority="87">
      <formula>ABS(Q$7-Q$10)&gt;=1000</formula>
    </cfRule>
  </conditionalFormatting>
  <conditionalFormatting sqref="R4:R11">
    <cfRule type="expression" dxfId="2585" priority="86">
      <formula>ABS(R$7-R$10)&gt;=1000</formula>
    </cfRule>
  </conditionalFormatting>
  <conditionalFormatting sqref="S4:S11">
    <cfRule type="expression" dxfId="2584" priority="85">
      <formula>ABS(S$7-S$10)&gt;=1000</formula>
    </cfRule>
  </conditionalFormatting>
  <conditionalFormatting sqref="T4:T9 T11">
    <cfRule type="expression" dxfId="2583" priority="84">
      <formula>ABS(T$7-T$10)&gt;=1000</formula>
    </cfRule>
  </conditionalFormatting>
  <conditionalFormatting sqref="U4:U9 U11">
    <cfRule type="expression" dxfId="2582" priority="83">
      <formula>ABS(U$7-U$10)&gt;=1000</formula>
    </cfRule>
  </conditionalFormatting>
  <conditionalFormatting sqref="V4:V9 V11">
    <cfRule type="expression" dxfId="2581" priority="82">
      <formula>ABS(V$7-V$10)&gt;=1000</formula>
    </cfRule>
  </conditionalFormatting>
  <conditionalFormatting sqref="W4:W9 W11">
    <cfRule type="expression" dxfId="2580" priority="81">
      <formula>ABS(W$7-W$10)&gt;=1000</formula>
    </cfRule>
  </conditionalFormatting>
  <conditionalFormatting sqref="X4:X9 X11">
    <cfRule type="expression" dxfId="2579" priority="80">
      <formula>ABS(X$7-X$10)&gt;=1000</formula>
    </cfRule>
  </conditionalFormatting>
  <conditionalFormatting sqref="Y4:Y9 Y11">
    <cfRule type="expression" dxfId="2578" priority="79">
      <formula>ABS(Y$7-Y$10)&gt;=1000</formula>
    </cfRule>
  </conditionalFormatting>
  <conditionalFormatting sqref="Z4:Z11">
    <cfRule type="expression" dxfId="2577" priority="78">
      <formula>ABS(Z$7-Z$10)&gt;=1000</formula>
    </cfRule>
  </conditionalFormatting>
  <conditionalFormatting sqref="AA4:AA11">
    <cfRule type="expression" dxfId="2576" priority="77">
      <formula>ABS(AA$7-AA$10)&gt;=1000</formula>
    </cfRule>
  </conditionalFormatting>
  <conditionalFormatting sqref="AB4:AB11">
    <cfRule type="expression" dxfId="2575" priority="76">
      <formula>ABS(AB$7-AB$10)&gt;=1000</formula>
    </cfRule>
  </conditionalFormatting>
  <conditionalFormatting sqref="AC4 AC6:AC11">
    <cfRule type="expression" dxfId="2574" priority="75">
      <formula>ABS(AC$7-AC$10)&gt;=1000</formula>
    </cfRule>
  </conditionalFormatting>
  <conditionalFormatting sqref="AD4 AD6:AD11">
    <cfRule type="expression" dxfId="2573" priority="74">
      <formula>ABS(AD$7-AD$10)&gt;=1000</formula>
    </cfRule>
  </conditionalFormatting>
  <conditionalFormatting sqref="AE4 AE6:AE11">
    <cfRule type="expression" dxfId="2572" priority="73">
      <formula>ABS(AE$7-AE$10)&gt;=1000</formula>
    </cfRule>
  </conditionalFormatting>
  <conditionalFormatting sqref="D13:D20">
    <cfRule type="expression" dxfId="2571" priority="72">
      <formula>ABS(D$16-D$19)&gt;=1000</formula>
    </cfRule>
  </conditionalFormatting>
  <conditionalFormatting sqref="E13:E20">
    <cfRule type="expression" dxfId="2570" priority="71">
      <formula>ABS(E$16-E$19)&gt;=1000</formula>
    </cfRule>
  </conditionalFormatting>
  <conditionalFormatting sqref="F13 F15:F20">
    <cfRule type="expression" dxfId="2569" priority="70">
      <formula>ABS(F$16-F$19)&gt;=1000</formula>
    </cfRule>
  </conditionalFormatting>
  <conditionalFormatting sqref="G13:G20">
    <cfRule type="expression" dxfId="2568" priority="69">
      <formula>ABS(G$16-G$19)&gt;=1000</formula>
    </cfRule>
  </conditionalFormatting>
  <conditionalFormatting sqref="H13 H15:H20">
    <cfRule type="expression" dxfId="2567" priority="68">
      <formula>ABS(H$16-H$19)&gt;=1000</formula>
    </cfRule>
  </conditionalFormatting>
  <conditionalFormatting sqref="I13:I20">
    <cfRule type="expression" dxfId="2566" priority="67">
      <formula>ABS(I$16-I$19)&gt;=1000</formula>
    </cfRule>
  </conditionalFormatting>
  <conditionalFormatting sqref="J13:J20">
    <cfRule type="expression" dxfId="2565" priority="66">
      <formula>ABS(J$16-J$19)&gt;=1000</formula>
    </cfRule>
  </conditionalFormatting>
  <conditionalFormatting sqref="L13:L20">
    <cfRule type="expression" dxfId="2564" priority="65">
      <formula>ABS(L$16-L$19)&gt;=1000</formula>
    </cfRule>
  </conditionalFormatting>
  <conditionalFormatting sqref="M13 M15 M17:M18 M20">
    <cfRule type="expression" dxfId="2563" priority="64">
      <formula>ABS(M$16-M$19)&gt;=1000</formula>
    </cfRule>
  </conditionalFormatting>
  <conditionalFormatting sqref="N13:N20">
    <cfRule type="expression" dxfId="2562" priority="63">
      <formula>ABS(N$16-N$19)&gt;=1000</formula>
    </cfRule>
  </conditionalFormatting>
  <conditionalFormatting sqref="O13:O20">
    <cfRule type="expression" dxfId="2561" priority="62">
      <formula>ABS(O$16-O$19)&gt;=1000</formula>
    </cfRule>
  </conditionalFormatting>
  <conditionalFormatting sqref="P13:P20">
    <cfRule type="expression" dxfId="2560" priority="61">
      <formula>ABS(P$16-P$19)&gt;=1000</formula>
    </cfRule>
  </conditionalFormatting>
  <conditionalFormatting sqref="Q13 Q15:Q20">
    <cfRule type="expression" dxfId="2559" priority="60">
      <formula>ABS(Q$16-Q$19)&gt;=1000</formula>
    </cfRule>
  </conditionalFormatting>
  <conditionalFormatting sqref="R13:R20">
    <cfRule type="expression" dxfId="2558" priority="59">
      <formula>ABS(R$16-R$19)&gt;=1000</formula>
    </cfRule>
  </conditionalFormatting>
  <conditionalFormatting sqref="S13:S20">
    <cfRule type="expression" dxfId="2557" priority="58">
      <formula>ABS(S$16-S$19)&gt;=1000</formula>
    </cfRule>
  </conditionalFormatting>
  <conditionalFormatting sqref="T13:T20">
    <cfRule type="expression" dxfId="2556" priority="57">
      <formula>ABS(T$16-T$19)&gt;=1000</formula>
    </cfRule>
  </conditionalFormatting>
  <conditionalFormatting sqref="U13:U20">
    <cfRule type="expression" dxfId="2555" priority="56">
      <formula>ABS(U$16-U$19)&gt;=1000</formula>
    </cfRule>
  </conditionalFormatting>
  <conditionalFormatting sqref="V13:V20">
    <cfRule type="expression" dxfId="2554" priority="55">
      <formula>ABS(V$16-V$19)&gt;=1000</formula>
    </cfRule>
  </conditionalFormatting>
  <conditionalFormatting sqref="W13 W20 W15:W18">
    <cfRule type="expression" dxfId="2553" priority="54">
      <formula>ABS(W$16-W$19)&gt;=1000</formula>
    </cfRule>
  </conditionalFormatting>
  <conditionalFormatting sqref="X13 X15:X20 Y19">
    <cfRule type="expression" dxfId="2552" priority="53">
      <formula>ABS(X$16-X$19)&gt;=1000</formula>
    </cfRule>
  </conditionalFormatting>
  <conditionalFormatting sqref="Y13 Y15:Y18 Y20">
    <cfRule type="expression" dxfId="2551" priority="52">
      <formula>ABS(Y$16-Y$19)&gt;=1000</formula>
    </cfRule>
  </conditionalFormatting>
  <conditionalFormatting sqref="Z13:Z20">
    <cfRule type="expression" dxfId="2550" priority="51">
      <formula>ABS(Z$16-Z$19)&gt;=1000</formula>
    </cfRule>
  </conditionalFormatting>
  <conditionalFormatting sqref="AA13:AA20">
    <cfRule type="expression" dxfId="2549" priority="50">
      <formula>ABS(AA$16-AA$19)&gt;=1000</formula>
    </cfRule>
  </conditionalFormatting>
  <conditionalFormatting sqref="AB13 AB15:AB20">
    <cfRule type="expression" dxfId="2548" priority="49">
      <formula>ABS(AB$16-AB$19)&gt;=1000</formula>
    </cfRule>
  </conditionalFormatting>
  <conditionalFormatting sqref="AC13 AC15:AC20">
    <cfRule type="expression" dxfId="2547" priority="48">
      <formula>ABS(AC$16-AC$19)&gt;=1000</formula>
    </cfRule>
  </conditionalFormatting>
  <conditionalFormatting sqref="AD13:AD20">
    <cfRule type="expression" dxfId="2546" priority="47">
      <formula>ABS(AD$16-AD$19)&gt;=1000</formula>
    </cfRule>
  </conditionalFormatting>
  <conditionalFormatting sqref="AE13:AE20">
    <cfRule type="expression" dxfId="2545" priority="46">
      <formula>ABS(AE$16-AE$19)&gt;=1000</formula>
    </cfRule>
  </conditionalFormatting>
  <conditionalFormatting sqref="D22:D29">
    <cfRule type="expression" dxfId="2544" priority="45">
      <formula>ABS(D$25-D$28)&gt;=1000</formula>
    </cfRule>
  </conditionalFormatting>
  <conditionalFormatting sqref="E22:E29">
    <cfRule type="expression" dxfId="2543" priority="44">
      <formula>ABS(E$25-E$28)&gt;=1000</formula>
    </cfRule>
  </conditionalFormatting>
  <conditionalFormatting sqref="F22:F29">
    <cfRule type="expression" dxfId="2542" priority="43">
      <formula>ABS(F$25-F$28)&gt;=1000</formula>
    </cfRule>
  </conditionalFormatting>
  <conditionalFormatting sqref="G22:G29">
    <cfRule type="expression" dxfId="2541" priority="42">
      <formula>ABS(G$25-G$28)&gt;=1000</formula>
    </cfRule>
  </conditionalFormatting>
  <conditionalFormatting sqref="H22:H29">
    <cfRule type="expression" dxfId="2540" priority="41">
      <formula>ABS(H$25-H$28)&gt;=1000</formula>
    </cfRule>
  </conditionalFormatting>
  <conditionalFormatting sqref="I22 I24:I29">
    <cfRule type="expression" dxfId="2539" priority="40">
      <formula>ABS(I$25-I$28)&gt;=1000</formula>
    </cfRule>
  </conditionalFormatting>
  <conditionalFormatting sqref="J22:J29 K22">
    <cfRule type="expression" dxfId="2538" priority="39">
      <formula>ABS(J$25-J$28)&gt;=1000</formula>
    </cfRule>
  </conditionalFormatting>
  <conditionalFormatting sqref="K23:K29 L25 L28">
    <cfRule type="expression" dxfId="2537" priority="38">
      <formula>ABS(K$25-K$28)&gt;=1000</formula>
    </cfRule>
  </conditionalFormatting>
  <conditionalFormatting sqref="L22 L26:L27 L29 L24">
    <cfRule type="expression" dxfId="2536" priority="37">
      <formula>ABS(L$25-L$28)&gt;=1000</formula>
    </cfRule>
  </conditionalFormatting>
  <conditionalFormatting sqref="M22:M29">
    <cfRule type="expression" dxfId="2535" priority="36">
      <formula>ABS(M$25-M$28)&gt;=1000</formula>
    </cfRule>
  </conditionalFormatting>
  <conditionalFormatting sqref="N22:N29">
    <cfRule type="expression" dxfId="2534" priority="35">
      <formula>ABS(N$25-N$28)&gt;=1000</formula>
    </cfRule>
  </conditionalFormatting>
  <conditionalFormatting sqref="O22:O29">
    <cfRule type="expression" dxfId="2533" priority="34">
      <formula>ABS(O$25-O$28)&gt;=1000</formula>
    </cfRule>
  </conditionalFormatting>
  <conditionalFormatting sqref="P22:P29">
    <cfRule type="expression" dxfId="2532" priority="33">
      <formula>ABS(P$25-P$28)&gt;=1000</formula>
    </cfRule>
  </conditionalFormatting>
  <conditionalFormatting sqref="Q22:Q29">
    <cfRule type="expression" dxfId="2531" priority="32">
      <formula>ABS(Q$25-Q$28)&gt;=1000</formula>
    </cfRule>
  </conditionalFormatting>
  <conditionalFormatting sqref="R22:R29">
    <cfRule type="expression" dxfId="2530" priority="31">
      <formula>ABS(R$25-R$28)&gt;=1000</formula>
    </cfRule>
  </conditionalFormatting>
  <conditionalFormatting sqref="S22:S29">
    <cfRule type="expression" dxfId="2529" priority="30">
      <formula>ABS(S$25-S$28)&gt;=1000</formula>
    </cfRule>
  </conditionalFormatting>
  <conditionalFormatting sqref="T22:T29">
    <cfRule type="expression" dxfId="2528" priority="29">
      <formula>ABS(T$25-T$28)&gt;=1000</formula>
    </cfRule>
  </conditionalFormatting>
  <conditionalFormatting sqref="U22:U29">
    <cfRule type="expression" dxfId="2527" priority="28">
      <formula>ABS(U$25-U$28)&gt;=1000</formula>
    </cfRule>
  </conditionalFormatting>
  <conditionalFormatting sqref="V22:V29">
    <cfRule type="expression" dxfId="2526" priority="27">
      <formula>ABS(V$25-V$28)&gt;=1000</formula>
    </cfRule>
  </conditionalFormatting>
  <conditionalFormatting sqref="W22:W29">
    <cfRule type="expression" dxfId="2525" priority="26">
      <formula>ABS(W$25-W$28)&gt;=1000</formula>
    </cfRule>
  </conditionalFormatting>
  <conditionalFormatting sqref="X22:X29">
    <cfRule type="expression" dxfId="2524" priority="25">
      <formula>ABS(X$25-X$28)&gt;=1000</formula>
    </cfRule>
  </conditionalFormatting>
  <conditionalFormatting sqref="Y22:Y29">
    <cfRule type="expression" dxfId="2523" priority="24">
      <formula>ABS(Y$25-Y$28)&gt;=1000</formula>
    </cfRule>
  </conditionalFormatting>
  <conditionalFormatting sqref="I23">
    <cfRule type="expression" dxfId="2522" priority="23">
      <formula>ABS(I$25-I$28)&gt;=1000</formula>
    </cfRule>
  </conditionalFormatting>
  <conditionalFormatting sqref="Q14">
    <cfRule type="expression" dxfId="2521" priority="22">
      <formula>ABS(Q$16-Q$19)&gt;=1000</formula>
    </cfRule>
  </conditionalFormatting>
  <conditionalFormatting sqref="W14">
    <cfRule type="expression" dxfId="2520" priority="21">
      <formula>ABS(W$16-W$19)&gt;=1000</formula>
    </cfRule>
  </conditionalFormatting>
  <conditionalFormatting sqref="X14">
    <cfRule type="expression" dxfId="2519" priority="20">
      <formula>ABS(X$16-X$19)&gt;=1000</formula>
    </cfRule>
  </conditionalFormatting>
  <conditionalFormatting sqref="T10:Y10">
    <cfRule type="expression" dxfId="2518" priority="19">
      <formula>ABS(T$7-T$10)&gt;=1000</formula>
    </cfRule>
  </conditionalFormatting>
  <conditionalFormatting sqref="W19">
    <cfRule type="expression" dxfId="2517" priority="18">
      <formula>ABS(W$16-W$19)&gt;=1000</formula>
    </cfRule>
  </conditionalFormatting>
  <conditionalFormatting sqref="AC5">
    <cfRule type="expression" dxfId="2516" priority="17">
      <formula>ABS(AC$7-AC$10)&gt;=1000</formula>
    </cfRule>
  </conditionalFormatting>
  <conditionalFormatting sqref="M14">
    <cfRule type="expression" dxfId="2515" priority="16">
      <formula>ABS(M$16-M$19)&gt;=1000</formula>
    </cfRule>
  </conditionalFormatting>
  <conditionalFormatting sqref="M16">
    <cfRule type="expression" dxfId="2514" priority="15">
      <formula>ABS(M$16-M$19)&gt;=1000</formula>
    </cfRule>
  </conditionalFormatting>
  <conditionalFormatting sqref="M19">
    <cfRule type="expression" dxfId="2513" priority="14">
      <formula>ABS(M$16-M$19)&gt;=1000</formula>
    </cfRule>
  </conditionalFormatting>
  <conditionalFormatting sqref="K13:K20">
    <cfRule type="expression" dxfId="2512" priority="13">
      <formula>ABS(K$16-K$19)&gt;=1000</formula>
    </cfRule>
  </conditionalFormatting>
  <conditionalFormatting sqref="E5">
    <cfRule type="expression" dxfId="2511" priority="12">
      <formula>ABS(E$7-E$10)&gt;=1000</formula>
    </cfRule>
  </conditionalFormatting>
  <conditionalFormatting sqref="AB14:AC14">
    <cfRule type="expression" dxfId="2510" priority="11">
      <formula>ABS(AB$16-AB$19)&gt;=1000</formula>
    </cfRule>
  </conditionalFormatting>
  <conditionalFormatting sqref="M5">
    <cfRule type="expression" dxfId="2509" priority="10">
      <formula>ABS(M$7-M$10)&gt;=1000</formula>
    </cfRule>
  </conditionalFormatting>
  <conditionalFormatting sqref="N5">
    <cfRule type="expression" dxfId="2508" priority="9">
      <formula>ABS(N$7-N$10)&gt;=1000</formula>
    </cfRule>
  </conditionalFormatting>
  <conditionalFormatting sqref="O5">
    <cfRule type="expression" dxfId="2507" priority="8">
      <formula>ABS(O$7-O$10)&gt;=1000</formula>
    </cfRule>
  </conditionalFormatting>
  <conditionalFormatting sqref="P5">
    <cfRule type="expression" dxfId="2506" priority="7">
      <formula>ABS(P$7-P$10)&gt;=1000</formula>
    </cfRule>
  </conditionalFormatting>
  <conditionalFormatting sqref="L23">
    <cfRule type="expression" dxfId="2505" priority="6">
      <formula>ABS(L$25-L$28)&gt;=1000</formula>
    </cfRule>
  </conditionalFormatting>
  <conditionalFormatting sqref="Y14">
    <cfRule type="expression" dxfId="2504" priority="5">
      <formula>ABS(Y$16-Y$19)&gt;=1000</formula>
    </cfRule>
  </conditionalFormatting>
  <conditionalFormatting sqref="F14">
    <cfRule type="expression" dxfId="2503" priority="4">
      <formula>ABS(F$16-F$19)&gt;=1000</formula>
    </cfRule>
  </conditionalFormatting>
  <conditionalFormatting sqref="H14">
    <cfRule type="expression" dxfId="2502" priority="3">
      <formula>ABS(H$16-H$19)&gt;=1000</formula>
    </cfRule>
  </conditionalFormatting>
  <conditionalFormatting sqref="AD5">
    <cfRule type="expression" dxfId="2501" priority="2">
      <formula>ABS(AD$7-AD$10)&gt;=1000</formula>
    </cfRule>
  </conditionalFormatting>
  <conditionalFormatting sqref="AE5">
    <cfRule type="expression" dxfId="250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26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81">
    <pageSetUpPr fitToPage="1"/>
  </sheetPr>
  <dimension ref="A1:CU223"/>
  <sheetViews>
    <sheetView view="pageBreakPreview" zoomScale="59" zoomScaleNormal="100" zoomScaleSheetLayoutView="59" workbookViewId="0">
      <selection activeCell="T18" sqref="T1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46147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3" t="s" ph="1">
        <v>177</v>
      </c>
      <c r="D6" s="71">
        <v>7084</v>
      </c>
      <c r="E6" s="71">
        <v>6678</v>
      </c>
      <c r="F6" s="71">
        <v>5828</v>
      </c>
      <c r="G6" s="71">
        <v>6342</v>
      </c>
      <c r="H6" s="71">
        <v>7176</v>
      </c>
      <c r="I6" s="71">
        <v>0</v>
      </c>
      <c r="J6" s="71">
        <v>6.35</v>
      </c>
      <c r="K6" s="71">
        <v>62.61</v>
      </c>
      <c r="L6" s="71">
        <v>7.7</v>
      </c>
      <c r="M6" s="71">
        <v>489</v>
      </c>
      <c r="N6" s="71">
        <v>2918</v>
      </c>
      <c r="O6" s="71">
        <v>2376</v>
      </c>
      <c r="P6" s="71">
        <v>1387</v>
      </c>
      <c r="Q6" s="71">
        <v>6910</v>
      </c>
      <c r="R6" s="71">
        <v>7108</v>
      </c>
      <c r="S6" s="71">
        <v>6747</v>
      </c>
      <c r="T6" s="71">
        <v>7141</v>
      </c>
      <c r="U6" s="71">
        <v>3369</v>
      </c>
      <c r="V6" s="71">
        <v>0</v>
      </c>
      <c r="W6" s="71">
        <v>0</v>
      </c>
      <c r="X6" s="71">
        <v>4208</v>
      </c>
      <c r="Y6" s="71">
        <v>5161</v>
      </c>
      <c r="Z6" s="71">
        <v>872</v>
      </c>
      <c r="AA6" s="71">
        <v>6650</v>
      </c>
      <c r="AB6" s="71">
        <v>5776</v>
      </c>
      <c r="AC6" s="71">
        <v>7491</v>
      </c>
      <c r="AD6" s="71">
        <v>2455</v>
      </c>
      <c r="AE6" s="71">
        <v>4212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222891.8303304</v>
      </c>
      <c r="E7" s="73" ph="1">
        <f>E6*51.53*LOOKUP(E8,密度!$A$2:$A$50,密度!$B$2:$B$50)</f>
        <v>269202.99508200004</v>
      </c>
      <c r="F7" s="73" ph="1">
        <f>F6*33.183*LOOKUP(F8,密度!$A$2:$A$50,密度!$C$2:$C$50)</f>
        <v>214740.83784960001</v>
      </c>
      <c r="G7" s="73" ph="1">
        <f xml:space="preserve"> (G6+2)*51.53*LOOKUP(G8,密度!$A$2:$A$50,密度!$B$2:$B$50)</f>
        <v>256327.24551200002</v>
      </c>
      <c r="H7" s="73" ph="1">
        <f>(H6)*51.53*LOOKUP(H8,密度!$A$2:$A$50,密度!$B$2:$B$50)</f>
        <v>289943.93344800005</v>
      </c>
      <c r="I7" s="73" ph="1">
        <f>I6*290.8*1.0267</f>
        <v>0</v>
      </c>
      <c r="J7" s="73" ph="1">
        <f>J6*290.8*0.7892</f>
        <v>1457.3209360000001</v>
      </c>
      <c r="K7" s="73" ph="1">
        <f>K6*290.8*1.1126</f>
        <v>20257.094848800003</v>
      </c>
      <c r="L7" s="73" ph="1">
        <f>L6*290.8*0.777</f>
        <v>1739.8273200000003</v>
      </c>
      <c r="M7" s="73" ph="1">
        <f>M6*33.183*LOOKUP(M8,密度!$A$2:$A$50,密度!$D$2:$D$50)</f>
        <v>16721.394853499998</v>
      </c>
      <c r="N7" s="73" ph="1">
        <f>N6*33.183*LOOKUP(N8,密度!$A$2:$A$50,密度!$E$2:$E$50)</f>
        <v>75951.878493600001</v>
      </c>
      <c r="O7" s="73" ph="1">
        <f>O6*20.428*LOOKUP(O8,密度!$A$2:$A$50,密度!$C$2:$C$50)</f>
        <v>53783.769916800004</v>
      </c>
      <c r="P7" s="73" ph="1">
        <f>P6*51.53*LOOKUP(P8,密度!$A$2:$A$50,密度!$B$2:$B$50)</f>
        <v>55976.956552000003</v>
      </c>
      <c r="Q7" s="73" ph="1">
        <f>Q6*1.5*1.5*3.1416*LOOKUP(W8,密度!$A$2:$A$50,密度!$L$2:$L$50)</f>
        <v>45815.696387999997</v>
      </c>
      <c r="R7" s="73" ph="1">
        <f>R6*1.5*1.5*3.1416*LOOKUP(R8,密度!$A$2:$A$50,密度!$L$2:$L$50)</f>
        <v>47028.017836800005</v>
      </c>
      <c r="S7" s="73" ph="1">
        <f>S6*1.5*1.5*3.1416*LOOKUP(S8,密度!$A$2:$A$50,密度!$L$2:$L$50)</f>
        <v>44830.333547999995</v>
      </c>
      <c r="T7" s="73" ph="1">
        <f>T6*1.5*1.5*3.1416*LOOKUP(T8,密度!$A$2:$A$50,密度!$L$2:$L$50)</f>
        <v>47498.737116600001</v>
      </c>
      <c r="U7" s="73" ph="1">
        <f>U6*1.5*1.5*3.1416*LOOKUP(U8,密度!$A$2:$A$50,密度!$L$2:$L$50)</f>
        <v>22361.452482599998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28197.946022399999</v>
      </c>
      <c r="Y7" s="73" ph="1">
        <f>Y6*1.5*1.5*3.1416*LOOKUP(Y8,密度!$A$2:$A$50,密度!$L$2:$L$50)</f>
        <v>34255.700879399999</v>
      </c>
      <c r="Z7" s="73" ph="1">
        <f>Z6*33.183*LOOKUP(Z8,密度!$A$2:$A$50,密度!$L$2:$L$50)</f>
        <v>27228.377015999999</v>
      </c>
      <c r="AA7" s="73" ph="1">
        <f>AA6*33.183*LOOKUP(AA8,密度!$A$2:$A$50,密度!$D$2:$D$50)</f>
        <v>227176.62502500002</v>
      </c>
      <c r="AB7" s="73" ph="1">
        <f>AB6*20.428*LOOKUP(AB8,密度!$A$2:$A$50,密度!$D$2:$D$50)</f>
        <v>121992.06113920001</v>
      </c>
      <c r="AC7" s="73" ph="1">
        <f>AC6*51.53*LOOKUP(AC8,密度!$A$2:$A$50,密度!$Q$2:$Q$50)</f>
        <v>367185.4623129</v>
      </c>
      <c r="AD7" s="73" ph="1">
        <f>AD6*20.428*LOOKUP(AD8,密度!$A$2:$A$50,密度!$V$2:$V$50)</f>
        <v>48184.830992000003</v>
      </c>
      <c r="AE7" s="73" ph="1">
        <f>AE6*20.428</f>
        <v>86042.736000000004</v>
      </c>
    </row>
    <row r="8" spans="1:99" ph="1">
      <c r="B8" s="241" ph="1"/>
      <c r="C8" s="68" t="s" ph="1">
        <v>179</v>
      </c>
      <c r="D8" s="74">
        <v>23</v>
      </c>
      <c r="E8" s="74">
        <v>22</v>
      </c>
      <c r="F8" s="74">
        <v>23</v>
      </c>
      <c r="G8" s="74">
        <v>20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21</v>
      </c>
      <c r="N8" s="74">
        <v>24</v>
      </c>
      <c r="O8" s="74">
        <v>26</v>
      </c>
      <c r="P8" s="74">
        <v>21</v>
      </c>
      <c r="Q8" s="74">
        <v>28</v>
      </c>
      <c r="R8" s="74">
        <v>26</v>
      </c>
      <c r="S8" s="74">
        <v>22</v>
      </c>
      <c r="T8" s="74">
        <v>21</v>
      </c>
      <c r="U8" s="74">
        <v>23</v>
      </c>
      <c r="V8" s="74">
        <v>27</v>
      </c>
      <c r="W8" s="74">
        <v>24</v>
      </c>
      <c r="X8" s="74">
        <v>14</v>
      </c>
      <c r="Y8" s="74">
        <v>23</v>
      </c>
      <c r="Z8" s="74">
        <v>21</v>
      </c>
      <c r="AA8" s="74">
        <v>22</v>
      </c>
      <c r="AB8" s="74">
        <v>17</v>
      </c>
      <c r="AC8" s="74">
        <v>19</v>
      </c>
      <c r="AD8" s="74">
        <v>21</v>
      </c>
      <c r="AE8" s="74">
        <v>23</v>
      </c>
    </row>
    <row r="9" spans="1:99" ht="26.4" ph="1">
      <c r="B9" s="241" ph="1">
        <v>0.66666666666666663</v>
      </c>
      <c r="C9" s="153" t="s" ph="1">
        <v>180</v>
      </c>
      <c r="D9" s="71">
        <v>7081</v>
      </c>
      <c r="E9" s="71">
        <v>6759</v>
      </c>
      <c r="F9" s="71">
        <v>5829</v>
      </c>
      <c r="G9" s="71">
        <v>5906</v>
      </c>
      <c r="H9" s="71">
        <v>7346</v>
      </c>
      <c r="I9" s="71">
        <v>0</v>
      </c>
      <c r="J9" s="71">
        <v>6.36</v>
      </c>
      <c r="K9" s="71">
        <v>55.84</v>
      </c>
      <c r="L9" s="71">
        <v>72.739999999999995</v>
      </c>
      <c r="M9" s="71">
        <v>489</v>
      </c>
      <c r="N9" s="71">
        <v>2584</v>
      </c>
      <c r="O9" s="71">
        <v>3162</v>
      </c>
      <c r="P9" s="71">
        <v>1004</v>
      </c>
      <c r="Q9" s="71">
        <v>6908</v>
      </c>
      <c r="R9" s="71">
        <v>7107</v>
      </c>
      <c r="S9" s="71">
        <v>6745</v>
      </c>
      <c r="T9" s="71">
        <v>7139</v>
      </c>
      <c r="U9" s="71">
        <v>6265</v>
      </c>
      <c r="V9" s="71">
        <v>2908</v>
      </c>
      <c r="W9" s="71">
        <v>0</v>
      </c>
      <c r="X9" s="71">
        <v>0</v>
      </c>
      <c r="Y9" s="71">
        <v>4471</v>
      </c>
      <c r="Z9" s="71">
        <v>1976</v>
      </c>
      <c r="AA9" s="71">
        <v>6647</v>
      </c>
      <c r="AB9" s="71">
        <v>5775</v>
      </c>
      <c r="AC9" s="71">
        <v>6664</v>
      </c>
      <c r="AD9" s="71">
        <v>2455</v>
      </c>
      <c r="AE9" s="71">
        <v>4142</v>
      </c>
    </row>
    <row r="10" spans="1:99" s="72" customFormat="1" ht="22.2" ph="1">
      <c r="B10" s="241" ph="1"/>
      <c r="C10" s="153" t="s" ph="1">
        <v>178</v>
      </c>
      <c r="D10" s="73" ph="1">
        <f>D9*33.183*LOOKUP(D11,密度!$A$2:$A$50,密度!$Q$2:$Q$50)</f>
        <v>222797.43796860002</v>
      </c>
      <c r="E10" s="73" ph="1">
        <f>E9*51.53*LOOKUP(E11,密度!$A$2:$A$50,密度!$B$2:$B$50)</f>
        <v>272154.79837800004</v>
      </c>
      <c r="F10" s="73" ph="1">
        <f>F9*33.183*LOOKUP(F11,密度!$A$2:$A$50,密度!$C$2:$C$50)</f>
        <v>214777.68425280001</v>
      </c>
      <c r="G10" s="73" ph="1">
        <f xml:space="preserve"> (G9+2)*51.53*LOOKUP(G11,密度!$A$2:$A$50,密度!$B$2:$B$50)</f>
        <v>237340.83150399997</v>
      </c>
      <c r="H10" s="73" ph="1">
        <f>(H9)*51.53*LOOKUP(H11,密度!$A$2:$A$50,密度!$B$2:$B$50)</f>
        <v>295109.30064799997</v>
      </c>
      <c r="I10" s="73" ph="1">
        <f>I9*290.8*1.0267</f>
        <v>0</v>
      </c>
      <c r="J10" s="73" ph="1">
        <f>J9*290.8*0.7892</f>
        <v>1459.6159296000001</v>
      </c>
      <c r="K10" s="73" ph="1">
        <f>K9*290.8*1.1126</f>
        <v>18066.701427200001</v>
      </c>
      <c r="L10" s="73" ph="1">
        <f>L9*290.8*0.777</f>
        <v>16435.719384</v>
      </c>
      <c r="M10" s="73" ph="1">
        <f>M9*33.183*LOOKUP(M11,密度!$A$2:$A$50,密度!$D$2:$D$50)</f>
        <v>16645.130364600001</v>
      </c>
      <c r="N10" s="73" ph="1">
        <f>N9*33.183*LOOKUP(N11,密度!$A$2:$A$50,密度!$E$2:$E$50)</f>
        <v>67061.064391200009</v>
      </c>
      <c r="O10" s="73" ph="1">
        <f>O9*20.428*LOOKUP(O11,密度!$A$2:$A$50,密度!$C$2:$C$50)</f>
        <v>71382.095613600002</v>
      </c>
      <c r="P10" s="73" ph="1">
        <f>P9*51.53*LOOKUP(P11,密度!$A$2:$A$50,密度!$B$2:$B$50)</f>
        <v>40333.479152</v>
      </c>
      <c r="Q10" s="73" ph="1">
        <f>Q9*1.5*1.5*3.1416*LOOKUP(W11,密度!$A$2:$A$50,密度!$L$2:$L$50)</f>
        <v>45704.775916800005</v>
      </c>
      <c r="R10" s="73" ph="1">
        <f>R9*1.5*1.5*3.1416*LOOKUP(R11,密度!$A$2:$A$50,密度!$L$2:$L$50)</f>
        <v>46920.928546800002</v>
      </c>
      <c r="S10" s="73" ph="1">
        <f>S9*1.5*1.5*3.1416*LOOKUP(S11,密度!$A$2:$A$50,密度!$L$2:$L$50)</f>
        <v>44912.399993999999</v>
      </c>
      <c r="T10" s="73" ph="1">
        <f>T9*1.5*1.5*3.1416*LOOKUP(T11,密度!$A$2:$A$50,密度!$L$2:$L$50)</f>
        <v>47434.971275999997</v>
      </c>
      <c r="U10" s="73" ph="1">
        <f>U9*1.5*1.5*3.1416*LOOKUP(U11,密度!$A$2:$A$50,密度!$L$2:$L$50)</f>
        <v>41583.407481000002</v>
      </c>
      <c r="V10" s="73" ph="1">
        <f>V9*1.5*1.5*3.1416*LOOKUP(V11,密度!$A$2:$A$50,密度!$L$2:$L$50)</f>
        <v>19198.826539199999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29770.695385199997</v>
      </c>
      <c r="Z10" s="73" ph="1">
        <f>Z9*33.183*LOOKUP(Z11,密度!$A$2:$A$50,密度!$L$2:$L$50)</f>
        <v>61701.001127999989</v>
      </c>
      <c r="AA10" s="73" ph="1">
        <f>AA9*33.183*LOOKUP(AA11,密度!$A$2:$A$50,密度!$D$2:$D$50)</f>
        <v>226875.62866859999</v>
      </c>
      <c r="AB10" s="73" ph="1">
        <f>AB9*20.428*LOOKUP(AB11,密度!$A$2:$A$50,密度!$D$2:$D$50)</f>
        <v>121676.01138000003</v>
      </c>
      <c r="AC10" s="73" ph="1">
        <f>AC9*51.53*LOOKUP(AC11,密度!$A$2:$A$50,密度!$Q$2:$Q$50)</f>
        <v>326356.61444959999</v>
      </c>
      <c r="AD10" s="73" ph="1">
        <f>AD9*20.428*LOOKUP(AD11,密度!$A$2:$A$50,密度!$V$2:$V$50)</f>
        <v>48184.830992000003</v>
      </c>
      <c r="AE10" s="73" ph="1">
        <f>AE9*20.428</f>
        <v>84612.775999999998</v>
      </c>
    </row>
    <row r="11" spans="1:99" ph="1">
      <c r="A11" s="64" t="s" ph="1">
        <v>162</v>
      </c>
      <c r="B11" s="241" ph="1"/>
      <c r="C11" s="153" t="s" ph="1">
        <v>179</v>
      </c>
      <c r="D11" s="74">
        <v>23</v>
      </c>
      <c r="E11" s="74">
        <v>23</v>
      </c>
      <c r="F11" s="74">
        <v>23</v>
      </c>
      <c r="G11" s="74">
        <v>25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26</v>
      </c>
      <c r="O11" s="74">
        <v>30</v>
      </c>
      <c r="P11" s="74">
        <v>25</v>
      </c>
      <c r="Q11" s="74">
        <v>28</v>
      </c>
      <c r="R11" s="74">
        <v>28</v>
      </c>
      <c r="S11" s="74">
        <v>20</v>
      </c>
      <c r="T11" s="74">
        <v>22</v>
      </c>
      <c r="U11" s="74">
        <v>23</v>
      </c>
      <c r="V11" s="74">
        <v>28</v>
      </c>
      <c r="W11" s="74">
        <v>26</v>
      </c>
      <c r="X11" s="74">
        <v>15</v>
      </c>
      <c r="Y11" s="74">
        <v>20</v>
      </c>
      <c r="Z11" s="74">
        <v>21</v>
      </c>
      <c r="AA11" s="74">
        <v>23</v>
      </c>
      <c r="AB11" s="74">
        <v>20</v>
      </c>
      <c r="AC11" s="74">
        <v>20</v>
      </c>
      <c r="AD11" s="74">
        <v>24</v>
      </c>
      <c r="AE11" s="74">
        <v>25</v>
      </c>
    </row>
    <row r="12" spans="1:99" ht="9.9" customHeight="1" ph="1"/>
    <row r="13" spans="1:99" s="72" customFormat="1" ht="29.25" customHeight="1" ph="1">
      <c r="B13" s="218" t="s" ph="1">
        <v>37</v>
      </c>
      <c r="C13" s="15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3" t="s" ph="1">
        <v>177</v>
      </c>
      <c r="D15" s="78">
        <v>22</v>
      </c>
      <c r="E15" s="78">
        <v>3448</v>
      </c>
      <c r="F15" s="78">
        <v>2563</v>
      </c>
      <c r="G15" s="78">
        <v>1386</v>
      </c>
      <c r="H15" s="78">
        <v>0</v>
      </c>
      <c r="I15" s="78">
        <v>2436</v>
      </c>
      <c r="J15" s="78">
        <v>1680</v>
      </c>
      <c r="K15" s="78">
        <v>5009</v>
      </c>
      <c r="L15" s="78">
        <v>1221</v>
      </c>
      <c r="M15" s="78">
        <v>3501</v>
      </c>
      <c r="N15" s="78">
        <v>289</v>
      </c>
      <c r="O15" s="78">
        <v>4736</v>
      </c>
      <c r="P15" s="78">
        <v>655</v>
      </c>
      <c r="Q15" s="78">
        <v>900</v>
      </c>
      <c r="R15" s="78">
        <v>0</v>
      </c>
      <c r="S15" s="78">
        <v>6459</v>
      </c>
      <c r="T15" s="78">
        <v>3788</v>
      </c>
      <c r="U15" s="78">
        <v>1705</v>
      </c>
      <c r="V15" s="78">
        <v>-817</v>
      </c>
      <c r="W15" s="71">
        <v>-173</v>
      </c>
      <c r="X15" s="78">
        <v>-318</v>
      </c>
      <c r="Y15" s="106">
        <v>-9903</v>
      </c>
      <c r="Z15" s="78">
        <v>0</v>
      </c>
      <c r="AA15" s="78">
        <v>255</v>
      </c>
      <c r="AB15" s="78" ph="1">
        <v>2667</v>
      </c>
      <c r="AC15" s="78" ph="1">
        <v>22</v>
      </c>
      <c r="AD15" s="78">
        <v>5.76</v>
      </c>
      <c r="AE15" s="78">
        <v>54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3" t="s" ph="1">
        <v>178</v>
      </c>
      <c r="D16" s="73" ph="1">
        <f>D15*7.0686*LOOKUP(D17,密度!$A$2:$A$50,密度!$L$2:$L$50)</f>
        <v>146.48966639999998</v>
      </c>
      <c r="E16" s="73" ph="1">
        <f>E15*7.0686*LOOKUP(E17,密度!$A$2:$A$50,密度!$L$2:$L$50)</f>
        <v>22958.925897599998</v>
      </c>
      <c r="F16" s="73" ph="1">
        <f>F15*9.0746*LOOKUP(F17,密度!$A$2:$A$50,密度!$L$2:$L$50)</f>
        <v>21769.675012800002</v>
      </c>
      <c r="G16" s="73" ph="1">
        <f>G15*9.0746*LOOKUP(G17,密度!$A$2:$A$50,密度!$B$2:$B$50)</f>
        <v>9816.6572657999986</v>
      </c>
      <c r="H16" s="73" ph="1">
        <f>H15*9.0746*LOOKUP(H17,密度!$A$2:$A$50,密度!$L$2:$L$50)</f>
        <v>0</v>
      </c>
      <c r="I16" s="73" ph="1">
        <f>I15*9.0746*LOOKUP(I17,密度!$A$2:$A$50,密度!$U$2:$U$50)</f>
        <v>22724.685916800001</v>
      </c>
      <c r="J16" s="73" ph="1">
        <f>J15*9.0746*LOOKUP(J17,密度!$A$2:$A$50,密度!$L$2:$L$50)</f>
        <v>14300.117663999999</v>
      </c>
      <c r="K16" s="73" ph="1">
        <f>K15*9.0746*LOOKUP(K17,密度!$A$2:$A$50,密度!$C$2:$C$50)</f>
        <v>50504.685392539999</v>
      </c>
      <c r="L16" s="73" ph="1">
        <f>L15*9.0746*LOOKUP(L17,密度!$A$2:$A$50,密度!$E$2:$E$50)</f>
        <v>8731.1082408000002</v>
      </c>
      <c r="M16" s="73" ph="1">
        <f>M15*9.0746*LOOKUP(M17,密度!$A$2:$A$50,密度!$M$2:$M$50)</f>
        <v>27827.495932140002</v>
      </c>
      <c r="N16" s="73" ph="1">
        <f>N15*9.0746*LOOKUP(N17,密度!$A$2:$A$50,密度!$M$2:$M$50)</f>
        <v>2308.6390398200001</v>
      </c>
      <c r="O16" s="73" ph="1">
        <f>O15*9.0746*LOOKUP(O17,密度!$A$2:$A$50,密度!$G$2:$G$50)</f>
        <v>41352.763448320002</v>
      </c>
      <c r="P16" s="73" ph="1">
        <f ca="1">P15*9.0746*LOOKUP(P17,密度!$A$2:$A$51,密度!$Q$2:$Q$50)</f>
        <v>5648.9285179400003</v>
      </c>
      <c r="Q16" s="73" ph="1">
        <f>Q15*9.0746*LOOKUP(Q17,密度!$A$2:$A$50,密度!$Q$2:$Q$50)</f>
        <v>7761.8865132000001</v>
      </c>
      <c r="R16" s="73" ph="1">
        <f>MAX(R15*9.0746*LOOKUP(R17,密度!$A$2:$A$50,密度!$B$2:$B$50),0)</f>
        <v>0</v>
      </c>
      <c r="S16" s="73" ph="1">
        <f>S15*9.0746*LOOKUP(S17,密度!$A$2:$A$50,密度!$Q$2:$Q$50)</f>
        <v>55576.696215480006</v>
      </c>
      <c r="T16" s="73" ph="1">
        <f>T15*9.0746*LOOKUP(T17,密度!$A$2:$A$50,密度!$O$2:$O$50)</f>
        <v>31968.363864000006</v>
      </c>
      <c r="U16" s="73" ph="1">
        <f>U15*9.0746*LOOKUP(U17,密度!$A$2:$A$50,密度!$H$2:$H$50)</f>
        <v>14229.7759021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3829.3553036679996</v>
      </c>
      <c r="X16" s="73" ph="1">
        <f>MAX(5600*LOOKUP(X17,密度!$A$2:$A$50,密度!$I$2:$I$50)+X15*9.0476*LOOKUP(X17,密度!$A$2:$A$50,密度!$I$2:$I$50),0)</f>
        <v>2844.3028987200005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1816.2766527000001</v>
      </c>
      <c r="AB16" s="73" ph="1">
        <f>AB15*9.0746*LOOKUP(AB17,密度!$A$2:$A$50,密度!$L$2:$L$50)</f>
        <v>22580.427000600001</v>
      </c>
      <c r="AC16" s="73" ph="1">
        <f>AC15*9.0746*LOOKUP(AC17,密度!$A$2:$A$50,密度!$L$2:$L$50)</f>
        <v>188.26165159999999</v>
      </c>
      <c r="AD16" s="73" ph="1">
        <f>AD15*268.68*LOOKUP(AD17,密度!$A$2:$A$50,密度!B2:B50)+IF(AD15&lt;=0,0,1566*LOOKUP(AD17,密度!$A$2:$A$50,密度!B2:B50))</f>
        <v>2427.3600652799996</v>
      </c>
      <c r="AE16" s="73" ph="1">
        <f>AE15*268.68*LOOKUP(AE17,密度!$A$2:$A$50,密度!B2:B50)+IF(AE15&lt;=0,0,1566*LOOKUP(AE17,密度!$A$2:$A$50,密度!B2:B50))</f>
        <v>12531.851712000001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20</v>
      </c>
      <c r="E17" s="74">
        <v>20</v>
      </c>
      <c r="F17" s="74">
        <v>26</v>
      </c>
      <c r="G17" s="74">
        <v>24</v>
      </c>
      <c r="H17" s="74">
        <v>17</v>
      </c>
      <c r="I17" s="74">
        <v>20</v>
      </c>
      <c r="J17" s="74">
        <v>24</v>
      </c>
      <c r="K17" s="74">
        <v>22</v>
      </c>
      <c r="L17" s="74">
        <v>21</v>
      </c>
      <c r="M17" s="74">
        <v>24</v>
      </c>
      <c r="N17" s="74">
        <v>20</v>
      </c>
      <c r="O17" s="74">
        <v>23</v>
      </c>
      <c r="P17" s="74">
        <v>20</v>
      </c>
      <c r="Q17" s="74">
        <v>20</v>
      </c>
      <c r="R17" s="74">
        <v>22</v>
      </c>
      <c r="S17" s="74">
        <v>23</v>
      </c>
      <c r="T17" s="74">
        <v>23</v>
      </c>
      <c r="U17" s="74">
        <v>20</v>
      </c>
      <c r="V17" s="74">
        <v>22</v>
      </c>
      <c r="W17" s="74">
        <v>22</v>
      </c>
      <c r="X17" s="74">
        <v>23</v>
      </c>
      <c r="Y17" s="108">
        <v>23</v>
      </c>
      <c r="Z17" s="74">
        <v>21</v>
      </c>
      <c r="AA17" s="74">
        <v>19</v>
      </c>
      <c r="AB17" s="74">
        <v>29</v>
      </c>
      <c r="AC17" s="74">
        <v>19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505</v>
      </c>
      <c r="E18" s="71">
        <v>5890</v>
      </c>
      <c r="F18" s="71">
        <v>2560</v>
      </c>
      <c r="G18" s="71">
        <v>384</v>
      </c>
      <c r="H18" s="71">
        <v>0</v>
      </c>
      <c r="I18" s="71">
        <v>2931</v>
      </c>
      <c r="J18" s="71">
        <v>1800</v>
      </c>
      <c r="K18" s="71">
        <v>5008</v>
      </c>
      <c r="L18" s="71">
        <v>1221</v>
      </c>
      <c r="M18" s="71">
        <v>544</v>
      </c>
      <c r="N18" s="71">
        <v>289</v>
      </c>
      <c r="O18" s="71">
        <v>4734</v>
      </c>
      <c r="P18" s="71">
        <v>314</v>
      </c>
      <c r="Q18" s="71">
        <v>18</v>
      </c>
      <c r="R18" s="71">
        <v>0</v>
      </c>
      <c r="S18" s="71">
        <v>6454</v>
      </c>
      <c r="T18" s="71">
        <v>3787</v>
      </c>
      <c r="U18" s="71">
        <v>1704</v>
      </c>
      <c r="V18" s="71">
        <v>-817</v>
      </c>
      <c r="W18" s="71">
        <v>-173</v>
      </c>
      <c r="X18" s="71">
        <v>-319</v>
      </c>
      <c r="Y18" s="109">
        <v>-9904</v>
      </c>
      <c r="Z18" s="71">
        <v>0</v>
      </c>
      <c r="AA18" s="71">
        <v>274</v>
      </c>
      <c r="AB18" s="71">
        <v>4858</v>
      </c>
      <c r="AC18" s="71">
        <v>24</v>
      </c>
      <c r="AD18" s="71">
        <v>28.74</v>
      </c>
      <c r="AE18" s="71">
        <v>85.25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3" t="s" ph="1">
        <v>178</v>
      </c>
      <c r="D19" s="73" ph="1">
        <f>D18*7.0686*LOOKUP(D20,密度!$A$2:$A$50,密度!$L$2:$L$50)</f>
        <v>3341.1858480000001</v>
      </c>
      <c r="E19" s="73" ph="1">
        <f>E18*7.0686*LOOKUP(E20,密度!$A$2:$A$50,密度!$L$2:$L$50)</f>
        <v>38969.474543999997</v>
      </c>
      <c r="F19" s="73" ph="1">
        <f>F18*9.0746*LOOKUP(F20,密度!$A$2:$A$50,密度!$L$2:$L$50)</f>
        <v>21651.269632000003</v>
      </c>
      <c r="G19" s="73" ph="1">
        <f>G18*9.0746*LOOKUP(G20,密度!$A$2:$A$50,密度!$B$2:$B$50)</f>
        <v>2710.7064345600002</v>
      </c>
      <c r="H19" s="73" ph="1">
        <f>H18*9.0746*LOOKUP(H20,密度!$A$2:$A$50,密度!$L$2:$L$50)</f>
        <v>0</v>
      </c>
      <c r="I19" s="73" ph="1">
        <f>I18*9.0746*LOOKUP(I20,密度!$A$2:$A$50,密度!$U$2:$U$50)</f>
        <v>27262.593914999998</v>
      </c>
      <c r="J19" s="73" ph="1">
        <f>J18*9.0746*LOOKUP(J20,密度!$A$2:$A$50,密度!$L$2:$L$50)</f>
        <v>15256.217520000002</v>
      </c>
      <c r="K19" s="73" ph="1">
        <f>K18*9.0746*LOOKUP(K20,密度!$A$2:$A$50,密度!$C$2:$C$50)</f>
        <v>50394.622291519998</v>
      </c>
      <c r="L19" s="73" ph="1">
        <f>L18*9.0746*LOOKUP(L20,密度!$A$2:$A$50,密度!$E$2:$E$50)</f>
        <v>8665.73572986</v>
      </c>
      <c r="M19" s="73" ph="1">
        <f>M18*9.0746*LOOKUP(M20,密度!$A$2:$A$50,密度!$M$2:$M$50)</f>
        <v>4304.6998528000004</v>
      </c>
      <c r="N19" s="73" ph="1">
        <f>N18*9.0746*LOOKUP(N20,密度!$A$2:$A$50,密度!$M$2:$M$50)</f>
        <v>2299.9845938000003</v>
      </c>
      <c r="O19" s="73" ph="1">
        <f>O18*9.0746*LOOKUP(O20,密度!$A$2:$A$50,密度!$G$2:$G$50)</f>
        <v>41197.830987599998</v>
      </c>
      <c r="P19" s="73" ph="1">
        <f ca="1">P18*9.0746*LOOKUP(P20,密度!$A$2:$A$51,密度!$Q$2:$Q$50)</f>
        <v>2695.640965132</v>
      </c>
      <c r="Q19" s="73" ph="1">
        <f>Q18*9.0746*LOOKUP(Q20,密度!$A$2:$A$50,密度!$Q$2:$Q$50)</f>
        <v>154.52718908400001</v>
      </c>
      <c r="R19" s="73" ph="1">
        <f>MAX(R18*9.0746*LOOKUP(R20,密度!$A$2:$A$50,密度!$B$2:$B$50),0)</f>
        <v>0</v>
      </c>
      <c r="S19" s="73" ph="1">
        <f>S18*9.0746*LOOKUP(S20,密度!$A$2:$A$50,密度!$Q$2:$Q$50)</f>
        <v>55364.999227888002</v>
      </c>
      <c r="T19" s="73" ph="1">
        <f>T18*9.0746*LOOKUP(T20,密度!$A$2:$A$50,密度!$O$2:$O$50)</f>
        <v>31822.462445200006</v>
      </c>
      <c r="U19" s="73" ph="1">
        <f>U18*9.0746*LOOKUP(U20,密度!$A$2:$A$50,密度!$H$2:$H$50)</f>
        <v>14144.114400480001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3817.0089221560002</v>
      </c>
      <c r="X19" s="73" ph="1">
        <f>MAX(5600*LOOKUP(X20,密度!$A$2:$A$50,密度!$I$2:$I$50)+X18*9.0476*LOOKUP(X20,密度!$A$2:$A$50,密度!$I$2:$I$50),0)</f>
        <v>2831.595197040001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1940.6667321999998</v>
      </c>
      <c r="AB19" s="73" ph="1">
        <f>AB18*9.0746*LOOKUP(AB20,密度!$A$2:$A$50,密度!$L$2:$L$50)</f>
        <v>41307.089171600004</v>
      </c>
      <c r="AC19" s="73" ph="1">
        <f>AC18*9.0746*LOOKUP(AC20,密度!$A$2:$A$50,密度!$L$2:$L$50)</f>
        <v>204.28739519999999</v>
      </c>
      <c r="AD19" s="73" ph="1">
        <f>AD18*268.68*LOOKUP(AD20,密度!$A$2:$A$50,密度!B5:B53)+IF(AD18&lt;=0,0,1566*LOOKUP(AD20,密度!$A$2:$A$50,密度!B5:B53))</f>
        <v>7216.6697064</v>
      </c>
      <c r="AE19" s="73" ph="1">
        <f>AE18*268.68*LOOKUP(AE20,密度!$A$2:$A$50,密度!B5:B53)+IF(AE18&lt;=0,0,1566*LOOKUP(AE20,密度!$A$2:$A$50,密度!B5:B53))</f>
        <v>19013.94369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26</v>
      </c>
      <c r="E20" s="81">
        <v>26</v>
      </c>
      <c r="F20" s="81">
        <v>30</v>
      </c>
      <c r="G20" s="81">
        <v>27</v>
      </c>
      <c r="H20" s="81">
        <v>23</v>
      </c>
      <c r="I20" s="81">
        <v>25</v>
      </c>
      <c r="J20" s="81">
        <v>28</v>
      </c>
      <c r="K20" s="81">
        <v>25</v>
      </c>
      <c r="L20" s="81">
        <v>26</v>
      </c>
      <c r="M20" s="81">
        <v>28</v>
      </c>
      <c r="N20" s="81">
        <v>23</v>
      </c>
      <c r="O20" s="81">
        <v>26</v>
      </c>
      <c r="P20" s="81">
        <v>26</v>
      </c>
      <c r="Q20" s="81">
        <v>26</v>
      </c>
      <c r="R20" s="81">
        <v>28</v>
      </c>
      <c r="S20" s="81">
        <v>27</v>
      </c>
      <c r="T20" s="81">
        <v>26</v>
      </c>
      <c r="U20" s="81">
        <v>25</v>
      </c>
      <c r="V20" s="81">
        <v>26</v>
      </c>
      <c r="W20" s="81">
        <v>26</v>
      </c>
      <c r="X20" s="81">
        <v>24</v>
      </c>
      <c r="Y20" s="110">
        <v>24</v>
      </c>
      <c r="Z20" s="81">
        <v>27</v>
      </c>
      <c r="AA20" s="81">
        <v>24</v>
      </c>
      <c r="AB20" s="81">
        <v>25</v>
      </c>
      <c r="AC20" s="81">
        <v>24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3" t="s" ph="1">
        <v>177</v>
      </c>
      <c r="D24" s="71">
        <v>4.51</v>
      </c>
      <c r="E24" s="71">
        <v>5.65</v>
      </c>
      <c r="F24" s="71">
        <v>2981</v>
      </c>
      <c r="G24" s="71">
        <v>3857</v>
      </c>
      <c r="H24" s="71">
        <v>1863</v>
      </c>
      <c r="I24" s="71">
        <v>1032</v>
      </c>
      <c r="J24" s="71">
        <v>218</v>
      </c>
      <c r="K24" s="71">
        <v>248</v>
      </c>
      <c r="L24" s="71">
        <v>469</v>
      </c>
      <c r="M24" s="71">
        <v>365</v>
      </c>
      <c r="N24" s="71">
        <v>225</v>
      </c>
      <c r="O24" s="71">
        <v>5418</v>
      </c>
      <c r="P24" s="71">
        <v>1161</v>
      </c>
      <c r="Q24" s="90">
        <v>817</v>
      </c>
      <c r="R24" s="71">
        <v>5191</v>
      </c>
      <c r="S24" s="71">
        <v>566</v>
      </c>
      <c r="T24" s="71">
        <v>2307</v>
      </c>
      <c r="U24" s="71">
        <v>6698</v>
      </c>
      <c r="V24" s="71">
        <v>7765</v>
      </c>
      <c r="W24" s="71">
        <v>4709</v>
      </c>
      <c r="X24" s="71">
        <v>3594</v>
      </c>
      <c r="Y24" s="71">
        <v>7470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2629.8040054319999</v>
      </c>
      <c r="E25" s="91" ph="1">
        <f>E24*268.68*LOOKUP(E26,密度!$A$2:$A$50,密度!$C$2:$C$50)+IF(E24&lt;=0,0,1566*LOOKUP(E26,密度!$A$2:$A$50,密度!$C$2:$C$50))</f>
        <v>3419.8941738000003</v>
      </c>
      <c r="F25" s="91" ph="1">
        <f>F24*11.702*LOOKUP(F26,密度!$A$2:$A$50,密度!$Q$2:$Q$50)</f>
        <v>33107.734767579997</v>
      </c>
      <c r="G25" s="91" ph="1">
        <f>G24*18.322*LOOKUP(G26,密度!$A$2:$A$50,密度!$B$2:$B$50)</f>
        <v>55219.939255599995</v>
      </c>
      <c r="H25" s="91" ph="1">
        <f>H24*18.322*LOOKUP(H26,密度!$A$2:$A$50,密度!$B$2:$B$50)</f>
        <v>26672.218520399998</v>
      </c>
      <c r="I25" s="91" ph="1">
        <f>I24*18.322*LOOKUP(I26,密度!$A$2:$A$50,密度!$Q$2:$Q$50)</f>
        <v>17928.853852800003</v>
      </c>
      <c r="J25" s="91" ph="1">
        <f>J24*18.322*LOOKUP(J26,密度!$A$2:$A$50,密度!$Q$2:$Q$50)</f>
        <v>3790.8514816399997</v>
      </c>
      <c r="K25" s="91" ph="1">
        <f>K24*18.322*LOOKUP(K26,密度!$A$2:$A$50,密度!$Q$2:$Q$50)</f>
        <v>4305.1672443199996</v>
      </c>
      <c r="L25" s="91" ph="1">
        <f>L24*18.322*LOOKUP(L26,密度!$A$2:$A$50,密度!$Q$2:$Q$50)</f>
        <v>8141.6267644600002</v>
      </c>
      <c r="M25" s="91" ph="1">
        <f>M24*18.322*LOOKUP(M26,密度!$A$2:$A$50,密度!$Q$2:$Q$50)</f>
        <v>6336.2340490999995</v>
      </c>
      <c r="N25" s="91" ph="1">
        <f>N24*18.322*LOOKUP(N26,密度!$A$2:$A$50,密度!$Q$2:$Q$50)</f>
        <v>3908.9070900000002</v>
      </c>
      <c r="O25" s="91" ph="1">
        <f>O24*18.322*LOOKUP(O26,密度!$A$2:$A$50,密度!$C$2:$C$50)</f>
        <v>110297.33701559999</v>
      </c>
      <c r="P25" s="91" ph="1">
        <f>P24*11.702*LOOKUP(P26,密度!$A$2:$A$50,密度!$B$2:$B$50)</f>
        <v>10640.572430400001</v>
      </c>
      <c r="Q25" s="92" ph="1">
        <f>Q24*18.322*LOOKUP(Q26,密度!$A$2:$A$50,密度!$B$2:$B$50)</f>
        <v>11723.778756799999</v>
      </c>
      <c r="R25" s="91" ph="1">
        <f>R24*35.891*LOOKUP(R26,密度!$A$2:$A$50,密度!$C$2:$C$50)</f>
        <v>206729.77683759996</v>
      </c>
      <c r="S25" s="91" ph="1">
        <f>S24*35.891*LOOKUP(S26,密度!$A$2:$A$50,密度!$B$2:$B$50)</f>
        <v>15837.0329576</v>
      </c>
      <c r="T25" s="91" ph="1">
        <f>T24*35.891*LOOKUP(T26,密度!$A$2:$A$50,密度!$Q$2:$Q$50)</f>
        <v>78585.161661329999</v>
      </c>
      <c r="U25" s="91" ph="1">
        <f>U24*35.891</f>
        <v>240397.91799999998</v>
      </c>
      <c r="V25" s="91" ph="1">
        <f>V24*47.051*LOOKUP(V26,密度!$A$2:$A$50,密度!$B$2:$B$50)</f>
        <v>286471.73086150002</v>
      </c>
      <c r="W25" s="91" ph="1">
        <f>W24*47.051*LOOKUP(W26,密度!$A$2:$A$50,密度!$B$2:$B$50)</f>
        <v>172930.04559950001</v>
      </c>
      <c r="X25" s="91" ph="1">
        <f>X24*47.051*LOOKUP(X26,密度!$A$2:$A$61,密度!$I$2:$I$61)</f>
        <v>176254.27873620001</v>
      </c>
      <c r="Y25" s="91" ph="1">
        <f>Y24*47.051*LOOKUP(Y26,密度!$A$2:$A$50,密度!$L$2:$L$50)</f>
        <v>330031.24083000002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22</v>
      </c>
      <c r="G26" s="74">
        <v>23</v>
      </c>
      <c r="H26" s="74">
        <v>23</v>
      </c>
      <c r="I26" s="74">
        <v>23</v>
      </c>
      <c r="J26" s="74">
        <v>22</v>
      </c>
      <c r="K26" s="74">
        <v>24</v>
      </c>
      <c r="L26" s="74">
        <v>24</v>
      </c>
      <c r="M26" s="74">
        <v>24</v>
      </c>
      <c r="N26" s="74">
        <v>23</v>
      </c>
      <c r="O26" s="74">
        <v>22</v>
      </c>
      <c r="P26" s="74">
        <v>21</v>
      </c>
      <c r="Q26" s="93">
        <v>21</v>
      </c>
      <c r="R26" s="74">
        <v>24</v>
      </c>
      <c r="S26" s="74">
        <v>25</v>
      </c>
      <c r="T26" s="74">
        <v>22</v>
      </c>
      <c r="U26" s="74">
        <v>25</v>
      </c>
      <c r="V26" s="74">
        <v>20</v>
      </c>
      <c r="W26" s="74">
        <v>24</v>
      </c>
      <c r="X26" s="74">
        <v>25</v>
      </c>
      <c r="Y26" s="74">
        <v>23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3" t="s" ph="1">
        <v>180</v>
      </c>
      <c r="D27" s="71">
        <v>4.26</v>
      </c>
      <c r="E27" s="71">
        <v>5.64</v>
      </c>
      <c r="F27" s="71">
        <v>0</v>
      </c>
      <c r="G27" s="71">
        <v>3362</v>
      </c>
      <c r="H27" s="71">
        <v>1551</v>
      </c>
      <c r="I27" s="71">
        <v>1648</v>
      </c>
      <c r="J27" s="71">
        <v>217</v>
      </c>
      <c r="K27" s="71">
        <v>248</v>
      </c>
      <c r="L27" s="71">
        <v>468</v>
      </c>
      <c r="M27" s="71">
        <v>2589</v>
      </c>
      <c r="N27" s="71">
        <v>225</v>
      </c>
      <c r="O27" s="71">
        <v>5417</v>
      </c>
      <c r="P27" s="71">
        <v>1161</v>
      </c>
      <c r="Q27" s="90">
        <v>2094</v>
      </c>
      <c r="R27" s="71">
        <v>5039</v>
      </c>
      <c r="S27" s="71">
        <v>565</v>
      </c>
      <c r="T27" s="71">
        <v>2307</v>
      </c>
      <c r="U27" s="71">
        <v>6813</v>
      </c>
      <c r="V27" s="71">
        <v>8718</v>
      </c>
      <c r="W27" s="71">
        <v>4388</v>
      </c>
      <c r="X27" s="71">
        <v>3473</v>
      </c>
      <c r="Y27" s="71">
        <v>5322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3" t="s" ph="1">
        <v>178</v>
      </c>
      <c r="D28" s="91" ph="1">
        <f>D27*268.68*LOOKUP(D29,密度!$A$2:$A$50,密度!$Q$2:$Q$50)+IF(D27&lt;=0,0,1566*LOOKUP(D29,密度!$A$2:$A$50,密度!$Q$2:$Q$50))</f>
        <v>2566.2114796320002</v>
      </c>
      <c r="E28" s="91" ph="1">
        <f>E27*268.68*LOOKUP(E29,密度!$A$2:$A$50,密度!$C$2:$C$50)+IF(E27&lt;=0,0,1566*LOOKUP(E29,密度!$A$2:$A$50,密度!$C$2:$C$50))</f>
        <v>3416.9147812800002</v>
      </c>
      <c r="F28" s="91" ph="1">
        <f>F27*11.702*LOOKUP(F29,密度!$A$2:$A$50,密度!$Q$2:$Q$50)</f>
        <v>0</v>
      </c>
      <c r="G28" s="91" ph="1">
        <f>G27*18.322*LOOKUP(G29,密度!$A$2:$A$50,密度!$B$2:$B$50)</f>
        <v>48022.240494399994</v>
      </c>
      <c r="H28" s="91" ph="1">
        <f>H27*18.322*LOOKUP(H29,密度!$A$2:$A$50,密度!$B$2:$B$50)</f>
        <v>22179.797870999999</v>
      </c>
      <c r="I28" s="91" ph="1">
        <f>I27*18.322*LOOKUP(I29,密度!$A$2:$A$50,密度!$Q$2:$Q$50)</f>
        <v>28608.530720319999</v>
      </c>
      <c r="J28" s="91" ph="1">
        <f>J27*18.322*LOOKUP(J29,密度!$A$2:$A$50,密度!$Q$2:$Q$50)</f>
        <v>3769.9237268000002</v>
      </c>
      <c r="K28" s="91" ph="1">
        <f>K27*18.322*LOOKUP(K29,密度!$A$2:$A$50,密度!$Q$2:$Q$50)</f>
        <v>4301.8502294399996</v>
      </c>
      <c r="L28" s="91" ph="1">
        <f>L27*18.322*LOOKUP(L29,密度!$A$2:$A$50,密度!$Q$2:$Q$50)</f>
        <v>8118.0076910400003</v>
      </c>
      <c r="M28" s="91" ph="1">
        <f>M27*18.322*LOOKUP(M29,密度!$A$2:$A$50,密度!$Q$2:$Q$50)</f>
        <v>44943.862885259994</v>
      </c>
      <c r="N28" s="91" ph="1">
        <f>N27*18.322*LOOKUP(N29,密度!$A$2:$A$50,密度!$Q$2:$Q$50)</f>
        <v>3912.5760704999998</v>
      </c>
      <c r="O28" s="91" ph="1">
        <f>O27*18.322*LOOKUP(O29,密度!$A$2:$A$50,密度!$C$2:$C$50)</f>
        <v>110276.97944139999</v>
      </c>
      <c r="P28" s="91" ph="1">
        <f>P27*11.702*LOOKUP(P29,密度!$A$2:$A$50,密度!$B$2:$B$50)</f>
        <v>10616.1175908</v>
      </c>
      <c r="Q28" s="92" ph="1">
        <f>Q27*18.322*LOOKUP(Q29,密度!$A$2:$A$50,密度!$B$2:$B$50)</f>
        <v>29910.342532799994</v>
      </c>
      <c r="R28" s="91" ph="1">
        <f>R27*35.891*LOOKUP(R29,密度!$A$2:$A$50,密度!$C$2:$C$50)</f>
        <v>200549.83116609999</v>
      </c>
      <c r="S28" s="91" ph="1">
        <f>S27*35.891*LOOKUP(S29,密度!$A$2:$A$50,密度!$B$2:$B$50)</f>
        <v>15809.052333999996</v>
      </c>
      <c r="T28" s="91" ph="1">
        <f>T27*35.891*LOOKUP(T29,密度!$A$2:$A$50,密度!$Q$2:$Q$50)</f>
        <v>78511.469183399997</v>
      </c>
      <c r="U28" s="91" ph="1">
        <f>U27*35.891</f>
        <v>244525.383</v>
      </c>
      <c r="V28" s="91" ph="1">
        <f>V27*47.051*LOOKUP(V29,密度!$A$2:$A$50,密度!$B$2:$B$50)</f>
        <v>321261.29201760003</v>
      </c>
      <c r="W28" s="91" ph="1">
        <f>W27*47.051*LOOKUP(W29,密度!$A$2:$A$50,密度!$B$2:$B$50)</f>
        <v>161513.49215239999</v>
      </c>
      <c r="X28" s="91" ph="1">
        <f>X27*47.051*LOOKUP(X29,密度!$A$2:$A$61,密度!$I$2:$I$61)</f>
        <v>169781.03979699998</v>
      </c>
      <c r="Y28" s="91" ph="1">
        <f>Y27*47.051*LOOKUP(Y29,密度!$A$2:$A$50,密度!$L$2:$L$50)</f>
        <v>234629.88041400004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3" t="s" ph="1">
        <v>179</v>
      </c>
      <c r="D29" s="74">
        <v>25</v>
      </c>
      <c r="E29" s="74">
        <v>25</v>
      </c>
      <c r="F29" s="74">
        <v>23</v>
      </c>
      <c r="G29" s="74">
        <v>25</v>
      </c>
      <c r="H29" s="74">
        <v>24</v>
      </c>
      <c r="I29" s="74">
        <v>24</v>
      </c>
      <c r="J29" s="74">
        <v>23</v>
      </c>
      <c r="K29" s="74">
        <v>25</v>
      </c>
      <c r="L29" s="74">
        <v>25</v>
      </c>
      <c r="M29" s="74">
        <v>24</v>
      </c>
      <c r="N29" s="74">
        <v>22</v>
      </c>
      <c r="O29" s="74">
        <v>22</v>
      </c>
      <c r="P29" s="74">
        <v>23</v>
      </c>
      <c r="Q29" s="93">
        <v>25</v>
      </c>
      <c r="R29" s="74">
        <v>25</v>
      </c>
      <c r="S29" s="74">
        <v>25</v>
      </c>
      <c r="T29" s="74">
        <v>23</v>
      </c>
      <c r="U29" s="74">
        <v>25</v>
      </c>
      <c r="V29" s="74">
        <v>21</v>
      </c>
      <c r="W29" s="74">
        <v>22</v>
      </c>
      <c r="X29" s="74">
        <v>28</v>
      </c>
      <c r="Y29" s="74">
        <v>25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3" t="s" ph="1">
        <v>5</v>
      </c>
      <c r="F32" s="152" t="s" ph="1">
        <v>43</v>
      </c>
      <c r="G32" s="97" t="s" ph="1">
        <v>4</v>
      </c>
      <c r="H32" s="153" t="s" ph="1">
        <v>5</v>
      </c>
      <c r="I32" s="152" t="s" ph="1">
        <v>43</v>
      </c>
      <c r="J32" s="97" t="s" ph="1">
        <v>4</v>
      </c>
      <c r="K32" s="153" t="s" ph="1">
        <v>5</v>
      </c>
      <c r="L32" s="152" t="s" ph="1">
        <v>43</v>
      </c>
      <c r="M32" s="97" t="s" ph="1">
        <v>4</v>
      </c>
      <c r="N32" s="153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2" t="s" ph="1">
        <v>43</v>
      </c>
      <c r="AB32" s="97" t="s" ph="1">
        <v>85</v>
      </c>
      <c r="AC32" s="15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348551.64004860003</v>
      </c>
      <c r="E33" s="190" ph="1">
        <f>M10+I10</f>
        <v>16645.130364600001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[[#This Row],[F25]]</f>
        <v>3880</v>
      </c>
      <c r="G33" s="216" ph="1">
        <f>N19</f>
        <v>2299.9845938000003</v>
      </c>
      <c r="H33" s="190" ph="1">
        <f>M19</f>
        <v>4304.6998528000004</v>
      </c>
      <c r="I33" s="194" ph="1">
        <v>0</v>
      </c>
      <c r="J33" s="198" ph="1">
        <f>F10+O28</f>
        <v>325054.66369419999</v>
      </c>
      <c r="K33" s="190" ph="1">
        <f>O10+K10+E28+R28</f>
        <v>293415.54298818001</v>
      </c>
      <c r="L33" s="200" ph="1">
        <f>K19</f>
        <v>50394.622291519998</v>
      </c>
      <c r="M33" s="198" ph="1">
        <f>G10+H10+W28+S28+V28+E10+R19+P28+Q28</f>
        <v>1343715.2271576</v>
      </c>
      <c r="N33" s="190" ph="1">
        <f>L10+P10++G28+H28+AD19+AE19</f>
        <v>153201.85029779997</v>
      </c>
      <c r="O33" s="194" ph="1">
        <f>G19</f>
        <v>2710.7064345600002</v>
      </c>
      <c r="P33" s="198" ph="1">
        <f>L19</f>
        <v>8665.73572986</v>
      </c>
      <c r="Q33" s="190" ph="1">
        <f>J10+N10</f>
        <v>68520.680320800006</v>
      </c>
      <c r="R33" s="194" ph="1">
        <f>BE23</f>
        <v>890</v>
      </c>
      <c r="S33" s="198" ph="1">
        <f>X28</f>
        <v>169781.03979699998</v>
      </c>
      <c r="T33" s="190" ph="1">
        <f>X19</f>
        <v>2831.595197040001</v>
      </c>
      <c r="U33" s="179" ph="1">
        <f>BE21</f>
        <v>730</v>
      </c>
      <c r="V33" s="192" ph="1">
        <f ca="1">P19+Q19+S19+M28+N28+J28+D10+AC10+D19+E19+H19+J19+O19+V19+W19+K28+L28</f>
        <v>774997.15822510002</v>
      </c>
      <c r="W33" s="192" ph="1">
        <f>D28+F28+T28+I28</f>
        <v>109686.211383352</v>
      </c>
      <c r="X33" s="194" ph="1">
        <f>BE29+BE31</f>
        <v>10200</v>
      </c>
      <c r="Y33" s="196" ph="1">
        <f>+Q10+R10+S10+T10+U10+V10+W10+X10+Y10</f>
        <v>275526.00513900002</v>
      </c>
      <c r="Z33" s="177" ph="1">
        <f>T19+U19+Y28+Z10</f>
        <v>342297.45838768</v>
      </c>
      <c r="AA33" s="179" ph="1">
        <f>BE19</f>
        <v>1440</v>
      </c>
      <c r="AB33" s="181" ph="1">
        <f>I19</f>
        <v>27262.593914999998</v>
      </c>
      <c r="AC33" s="183" ph="1">
        <f>AD10+AB19</f>
        <v>89491.920163600007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1" t="s" ph="1">
        <v>185</v>
      </c>
      <c r="AA36" s="151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342</v>
      </c>
      <c r="AI37" s="151" t="s" ph="1">
        <v>209</v>
      </c>
      <c r="AJ37" s="151" t="s" ph="1">
        <v>210</v>
      </c>
      <c r="AK37" s="151" t="s" ph="1">
        <v>211</v>
      </c>
      <c r="AM37" s="151" t="s" ph="1">
        <v>210</v>
      </c>
      <c r="AN37" s="151" t="s" ph="1">
        <v>211</v>
      </c>
      <c r="AO37" s="151" t="s" ph="1">
        <v>212</v>
      </c>
      <c r="AP37" s="151" t="s" ph="1">
        <v>210</v>
      </c>
      <c r="AQ37" s="151" t="s" ph="1">
        <v>211</v>
      </c>
      <c r="AR37" s="151" t="s" ph="1">
        <v>212</v>
      </c>
      <c r="AS37" s="151" t="s" ph="1">
        <v>210</v>
      </c>
      <c r="AT37" s="151" t="s" ph="1">
        <v>211</v>
      </c>
      <c r="AU37" s="151" t="s" ph="1">
        <v>212</v>
      </c>
      <c r="AV37" s="151" t="s" ph="1">
        <v>210</v>
      </c>
      <c r="AW37" s="151" t="s" ph="1">
        <v>211</v>
      </c>
      <c r="AX37" s="151" t="s" ph="1">
        <v>212</v>
      </c>
      <c r="AY37" s="151" t="s" ph="1">
        <v>211</v>
      </c>
      <c r="AZ37" s="151" t="s" ph="1">
        <v>213</v>
      </c>
      <c r="BD37" s="151" t="s" ph="1">
        <v>305</v>
      </c>
      <c r="BE37" s="15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469" priority="100">
      <formula>ABS(D$7-D$10)&gt;=1000</formula>
    </cfRule>
  </conditionalFormatting>
  <conditionalFormatting sqref="E4 E6:E11">
    <cfRule type="expression" dxfId="2468" priority="99">
      <formula>ABS(E$7-E$10)&gt;=1000</formula>
    </cfRule>
  </conditionalFormatting>
  <conditionalFormatting sqref="F4:F11">
    <cfRule type="expression" dxfId="2467" priority="98">
      <formula>ABS(F$7-F$10)&gt;=1000</formula>
    </cfRule>
  </conditionalFormatting>
  <conditionalFormatting sqref="G4:G11">
    <cfRule type="expression" dxfId="2466" priority="97">
      <formula>ABS(G$7-G$10)&gt;=1000</formula>
    </cfRule>
  </conditionalFormatting>
  <conditionalFormatting sqref="H4:H11">
    <cfRule type="expression" dxfId="2465" priority="96">
      <formula>ABS(H$7-H$10)&gt;=1000</formula>
    </cfRule>
  </conditionalFormatting>
  <conditionalFormatting sqref="I4:I11">
    <cfRule type="expression" dxfId="2464" priority="95">
      <formula>ABS(I$7-I$10)&gt;=1000</formula>
    </cfRule>
  </conditionalFormatting>
  <conditionalFormatting sqref="J4:J11">
    <cfRule type="expression" dxfId="2463" priority="94">
      <formula>ABS(J$7-J$10)&gt;=1000</formula>
    </cfRule>
  </conditionalFormatting>
  <conditionalFormatting sqref="K4:K11">
    <cfRule type="expression" dxfId="2462" priority="93">
      <formula>ABS(K$7-K$10)&gt;=1000</formula>
    </cfRule>
  </conditionalFormatting>
  <conditionalFormatting sqref="L4:L11">
    <cfRule type="expression" dxfId="2461" priority="92">
      <formula>ABS(L$7-L$10)&gt;=1000</formula>
    </cfRule>
  </conditionalFormatting>
  <conditionalFormatting sqref="M4 M6:M11">
    <cfRule type="expression" dxfId="2460" priority="91">
      <formula>ABS(M$7-M$10)&gt;=1000</formula>
    </cfRule>
  </conditionalFormatting>
  <conditionalFormatting sqref="N4 N6:N11">
    <cfRule type="expression" dxfId="2459" priority="90">
      <formula>ABS(N$7-N$10)&gt;=1000</formula>
    </cfRule>
  </conditionalFormatting>
  <conditionalFormatting sqref="O4 O6:O11">
    <cfRule type="expression" dxfId="2458" priority="89">
      <formula>ABS(O$7-O$10)&gt;=1000</formula>
    </cfRule>
  </conditionalFormatting>
  <conditionalFormatting sqref="P4 P6:P11">
    <cfRule type="expression" dxfId="2457" priority="88">
      <formula>ABS(P$7-P$10)&gt;=1000</formula>
    </cfRule>
  </conditionalFormatting>
  <conditionalFormatting sqref="Q4:Q11">
    <cfRule type="expression" dxfId="2456" priority="87">
      <formula>ABS(Q$7-Q$10)&gt;=1000</formula>
    </cfRule>
  </conditionalFormatting>
  <conditionalFormatting sqref="R4:R11">
    <cfRule type="expression" dxfId="2455" priority="86">
      <formula>ABS(R$7-R$10)&gt;=1000</formula>
    </cfRule>
  </conditionalFormatting>
  <conditionalFormatting sqref="S4:S11">
    <cfRule type="expression" dxfId="2454" priority="85">
      <formula>ABS(S$7-S$10)&gt;=1000</formula>
    </cfRule>
  </conditionalFormatting>
  <conditionalFormatting sqref="T4:T9 T11">
    <cfRule type="expression" dxfId="2453" priority="84">
      <formula>ABS(T$7-T$10)&gt;=1000</formula>
    </cfRule>
  </conditionalFormatting>
  <conditionalFormatting sqref="U4:U9 U11">
    <cfRule type="expression" dxfId="2452" priority="83">
      <formula>ABS(U$7-U$10)&gt;=1000</formula>
    </cfRule>
  </conditionalFormatting>
  <conditionalFormatting sqref="V4:V9 V11">
    <cfRule type="expression" dxfId="2451" priority="82">
      <formula>ABS(V$7-V$10)&gt;=1000</formula>
    </cfRule>
  </conditionalFormatting>
  <conditionalFormatting sqref="W4:W9 W11">
    <cfRule type="expression" dxfId="2450" priority="81">
      <formula>ABS(W$7-W$10)&gt;=1000</formula>
    </cfRule>
  </conditionalFormatting>
  <conditionalFormatting sqref="X4:X9 X11">
    <cfRule type="expression" dxfId="2449" priority="80">
      <formula>ABS(X$7-X$10)&gt;=1000</formula>
    </cfRule>
  </conditionalFormatting>
  <conditionalFormatting sqref="Y4:Y9 Y11">
    <cfRule type="expression" dxfId="2448" priority="79">
      <formula>ABS(Y$7-Y$10)&gt;=1000</formula>
    </cfRule>
  </conditionalFormatting>
  <conditionalFormatting sqref="Z4:Z11">
    <cfRule type="expression" dxfId="2447" priority="78">
      <formula>ABS(Z$7-Z$10)&gt;=1000</formula>
    </cfRule>
  </conditionalFormatting>
  <conditionalFormatting sqref="AA4:AA11">
    <cfRule type="expression" dxfId="2446" priority="77">
      <formula>ABS(AA$7-AA$10)&gt;=1000</formula>
    </cfRule>
  </conditionalFormatting>
  <conditionalFormatting sqref="AB4:AB11">
    <cfRule type="expression" dxfId="2445" priority="76">
      <formula>ABS(AB$7-AB$10)&gt;=1000</formula>
    </cfRule>
  </conditionalFormatting>
  <conditionalFormatting sqref="AC4 AC6:AC11">
    <cfRule type="expression" dxfId="2444" priority="75">
      <formula>ABS(AC$7-AC$10)&gt;=1000</formula>
    </cfRule>
  </conditionalFormatting>
  <conditionalFormatting sqref="AD4 AD6:AD11">
    <cfRule type="expression" dxfId="2443" priority="74">
      <formula>ABS(AD$7-AD$10)&gt;=1000</formula>
    </cfRule>
  </conditionalFormatting>
  <conditionalFormatting sqref="AE4 AE6:AE11">
    <cfRule type="expression" dxfId="2442" priority="73">
      <formula>ABS(AE$7-AE$10)&gt;=1000</formula>
    </cfRule>
  </conditionalFormatting>
  <conditionalFormatting sqref="D13:D20">
    <cfRule type="expression" dxfId="2441" priority="72">
      <formula>ABS(D$16-D$19)&gt;=1000</formula>
    </cfRule>
  </conditionalFormatting>
  <conditionalFormatting sqref="E13:E20">
    <cfRule type="expression" dxfId="2440" priority="71">
      <formula>ABS(E$16-E$19)&gt;=1000</formula>
    </cfRule>
  </conditionalFormatting>
  <conditionalFormatting sqref="F13 F15:F20">
    <cfRule type="expression" dxfId="2439" priority="70">
      <formula>ABS(F$16-F$19)&gt;=1000</formula>
    </cfRule>
  </conditionalFormatting>
  <conditionalFormatting sqref="G13:G20">
    <cfRule type="expression" dxfId="2438" priority="69">
      <formula>ABS(G$16-G$19)&gt;=1000</formula>
    </cfRule>
  </conditionalFormatting>
  <conditionalFormatting sqref="H13 H15:H20">
    <cfRule type="expression" dxfId="2437" priority="68">
      <formula>ABS(H$16-H$19)&gt;=1000</formula>
    </cfRule>
  </conditionalFormatting>
  <conditionalFormatting sqref="I13:I20">
    <cfRule type="expression" dxfId="2436" priority="67">
      <formula>ABS(I$16-I$19)&gt;=1000</formula>
    </cfRule>
  </conditionalFormatting>
  <conditionalFormatting sqref="J13:J20">
    <cfRule type="expression" dxfId="2435" priority="66">
      <formula>ABS(J$16-J$19)&gt;=1000</formula>
    </cfRule>
  </conditionalFormatting>
  <conditionalFormatting sqref="L13:L20">
    <cfRule type="expression" dxfId="2434" priority="65">
      <formula>ABS(L$16-L$19)&gt;=1000</formula>
    </cfRule>
  </conditionalFormatting>
  <conditionalFormatting sqref="M13 M15 M17:M18 M20">
    <cfRule type="expression" dxfId="2433" priority="64">
      <formula>ABS(M$16-M$19)&gt;=1000</formula>
    </cfRule>
  </conditionalFormatting>
  <conditionalFormatting sqref="N13:N20">
    <cfRule type="expression" dxfId="2432" priority="63">
      <formula>ABS(N$16-N$19)&gt;=1000</formula>
    </cfRule>
  </conditionalFormatting>
  <conditionalFormatting sqref="O13:O20">
    <cfRule type="expression" dxfId="2431" priority="62">
      <formula>ABS(O$16-O$19)&gt;=1000</formula>
    </cfRule>
  </conditionalFormatting>
  <conditionalFormatting sqref="P13:P20">
    <cfRule type="expression" dxfId="2430" priority="61">
      <formula>ABS(P$16-P$19)&gt;=1000</formula>
    </cfRule>
  </conditionalFormatting>
  <conditionalFormatting sqref="Q13 Q15:Q20">
    <cfRule type="expression" dxfId="2429" priority="60">
      <formula>ABS(Q$16-Q$19)&gt;=1000</formula>
    </cfRule>
  </conditionalFormatting>
  <conditionalFormatting sqref="R13:R20">
    <cfRule type="expression" dxfId="2428" priority="59">
      <formula>ABS(R$16-R$19)&gt;=1000</formula>
    </cfRule>
  </conditionalFormatting>
  <conditionalFormatting sqref="S13:S20">
    <cfRule type="expression" dxfId="2427" priority="58">
      <formula>ABS(S$16-S$19)&gt;=1000</formula>
    </cfRule>
  </conditionalFormatting>
  <conditionalFormatting sqref="T13:T20">
    <cfRule type="expression" dxfId="2426" priority="57">
      <formula>ABS(T$16-T$19)&gt;=1000</formula>
    </cfRule>
  </conditionalFormatting>
  <conditionalFormatting sqref="U13:U20">
    <cfRule type="expression" dxfId="2425" priority="56">
      <formula>ABS(U$16-U$19)&gt;=1000</formula>
    </cfRule>
  </conditionalFormatting>
  <conditionalFormatting sqref="V13:V20">
    <cfRule type="expression" dxfId="2424" priority="55">
      <formula>ABS(V$16-V$19)&gt;=1000</formula>
    </cfRule>
  </conditionalFormatting>
  <conditionalFormatting sqref="W13 W20 W15:W18">
    <cfRule type="expression" dxfId="2423" priority="54">
      <formula>ABS(W$16-W$19)&gt;=1000</formula>
    </cfRule>
  </conditionalFormatting>
  <conditionalFormatting sqref="X13 X15:X20 Y19">
    <cfRule type="expression" dxfId="2422" priority="53">
      <formula>ABS(X$16-X$19)&gt;=1000</formula>
    </cfRule>
  </conditionalFormatting>
  <conditionalFormatting sqref="Y13 Y15:Y18 Y20">
    <cfRule type="expression" dxfId="2421" priority="52">
      <formula>ABS(Y$16-Y$19)&gt;=1000</formula>
    </cfRule>
  </conditionalFormatting>
  <conditionalFormatting sqref="Z13:Z20">
    <cfRule type="expression" dxfId="2420" priority="51">
      <formula>ABS(Z$16-Z$19)&gt;=1000</formula>
    </cfRule>
  </conditionalFormatting>
  <conditionalFormatting sqref="AA13:AA20">
    <cfRule type="expression" dxfId="2419" priority="50">
      <formula>ABS(AA$16-AA$19)&gt;=1000</formula>
    </cfRule>
  </conditionalFormatting>
  <conditionalFormatting sqref="AB13 AB15:AB20">
    <cfRule type="expression" dxfId="2418" priority="49">
      <formula>ABS(AB$16-AB$19)&gt;=1000</formula>
    </cfRule>
  </conditionalFormatting>
  <conditionalFormatting sqref="AC13 AC15:AC20">
    <cfRule type="expression" dxfId="2417" priority="48">
      <formula>ABS(AC$16-AC$19)&gt;=1000</formula>
    </cfRule>
  </conditionalFormatting>
  <conditionalFormatting sqref="AD13:AD20">
    <cfRule type="expression" dxfId="2416" priority="47">
      <formula>ABS(AD$16-AD$19)&gt;=1000</formula>
    </cfRule>
  </conditionalFormatting>
  <conditionalFormatting sqref="AE13:AE20">
    <cfRule type="expression" dxfId="2415" priority="46">
      <formula>ABS(AE$16-AE$19)&gt;=1000</formula>
    </cfRule>
  </conditionalFormatting>
  <conditionalFormatting sqref="D22:D29">
    <cfRule type="expression" dxfId="2414" priority="45">
      <formula>ABS(D$25-D$28)&gt;=1000</formula>
    </cfRule>
  </conditionalFormatting>
  <conditionalFormatting sqref="E22:E29">
    <cfRule type="expression" dxfId="2413" priority="44">
      <formula>ABS(E$25-E$28)&gt;=1000</formula>
    </cfRule>
  </conditionalFormatting>
  <conditionalFormatting sqref="F22:F29">
    <cfRule type="expression" dxfId="2412" priority="43">
      <formula>ABS(F$25-F$28)&gt;=1000</formula>
    </cfRule>
  </conditionalFormatting>
  <conditionalFormatting sqref="G22:G29">
    <cfRule type="expression" dxfId="2411" priority="42">
      <formula>ABS(G$25-G$28)&gt;=1000</formula>
    </cfRule>
  </conditionalFormatting>
  <conditionalFormatting sqref="H22:H29">
    <cfRule type="expression" dxfId="2410" priority="41">
      <formula>ABS(H$25-H$28)&gt;=1000</formula>
    </cfRule>
  </conditionalFormatting>
  <conditionalFormatting sqref="I22 I24:I29">
    <cfRule type="expression" dxfId="2409" priority="40">
      <formula>ABS(I$25-I$28)&gt;=1000</formula>
    </cfRule>
  </conditionalFormatting>
  <conditionalFormatting sqref="J22:J29 K22">
    <cfRule type="expression" dxfId="2408" priority="39">
      <formula>ABS(J$25-J$28)&gt;=1000</formula>
    </cfRule>
  </conditionalFormatting>
  <conditionalFormatting sqref="K23:K29 L25 L28">
    <cfRule type="expression" dxfId="2407" priority="38">
      <formula>ABS(K$25-K$28)&gt;=1000</formula>
    </cfRule>
  </conditionalFormatting>
  <conditionalFormatting sqref="L22 L26:L27 L29 L24">
    <cfRule type="expression" dxfId="2406" priority="37">
      <formula>ABS(L$25-L$28)&gt;=1000</formula>
    </cfRule>
  </conditionalFormatting>
  <conditionalFormatting sqref="M22:M29">
    <cfRule type="expression" dxfId="2405" priority="36">
      <formula>ABS(M$25-M$28)&gt;=1000</formula>
    </cfRule>
  </conditionalFormatting>
  <conditionalFormatting sqref="N22:N29">
    <cfRule type="expression" dxfId="2404" priority="35">
      <formula>ABS(N$25-N$28)&gt;=1000</formula>
    </cfRule>
  </conditionalFormatting>
  <conditionalFormatting sqref="O22:O29">
    <cfRule type="expression" dxfId="2403" priority="34">
      <formula>ABS(O$25-O$28)&gt;=1000</formula>
    </cfRule>
  </conditionalFormatting>
  <conditionalFormatting sqref="P22:P29">
    <cfRule type="expression" dxfId="2402" priority="33">
      <formula>ABS(P$25-P$28)&gt;=1000</formula>
    </cfRule>
  </conditionalFormatting>
  <conditionalFormatting sqref="Q22:Q29">
    <cfRule type="expression" dxfId="2401" priority="32">
      <formula>ABS(Q$25-Q$28)&gt;=1000</formula>
    </cfRule>
  </conditionalFormatting>
  <conditionalFormatting sqref="R22:R29">
    <cfRule type="expression" dxfId="2400" priority="31">
      <formula>ABS(R$25-R$28)&gt;=1000</formula>
    </cfRule>
  </conditionalFormatting>
  <conditionalFormatting sqref="S22:S29">
    <cfRule type="expression" dxfId="2399" priority="30">
      <formula>ABS(S$25-S$28)&gt;=1000</formula>
    </cfRule>
  </conditionalFormatting>
  <conditionalFormatting sqref="T22:T29">
    <cfRule type="expression" dxfId="2398" priority="29">
      <formula>ABS(T$25-T$28)&gt;=1000</formula>
    </cfRule>
  </conditionalFormatting>
  <conditionalFormatting sqref="U22:U29">
    <cfRule type="expression" dxfId="2397" priority="28">
      <formula>ABS(U$25-U$28)&gt;=1000</formula>
    </cfRule>
  </conditionalFormatting>
  <conditionalFormatting sqref="V22:V29">
    <cfRule type="expression" dxfId="2396" priority="27">
      <formula>ABS(V$25-V$28)&gt;=1000</formula>
    </cfRule>
  </conditionalFormatting>
  <conditionalFormatting sqref="W22:W29">
    <cfRule type="expression" dxfId="2395" priority="26">
      <formula>ABS(W$25-W$28)&gt;=1000</formula>
    </cfRule>
  </conditionalFormatting>
  <conditionalFormatting sqref="X22:X29">
    <cfRule type="expression" dxfId="2394" priority="25">
      <formula>ABS(X$25-X$28)&gt;=1000</formula>
    </cfRule>
  </conditionalFormatting>
  <conditionalFormatting sqref="Y22:Y29">
    <cfRule type="expression" dxfId="2393" priority="24">
      <formula>ABS(Y$25-Y$28)&gt;=1000</formula>
    </cfRule>
  </conditionalFormatting>
  <conditionalFormatting sqref="I23">
    <cfRule type="expression" dxfId="2392" priority="23">
      <formula>ABS(I$25-I$28)&gt;=1000</formula>
    </cfRule>
  </conditionalFormatting>
  <conditionalFormatting sqref="Q14">
    <cfRule type="expression" dxfId="2391" priority="22">
      <formula>ABS(Q$16-Q$19)&gt;=1000</formula>
    </cfRule>
  </conditionalFormatting>
  <conditionalFormatting sqref="W14">
    <cfRule type="expression" dxfId="2390" priority="21">
      <formula>ABS(W$16-W$19)&gt;=1000</formula>
    </cfRule>
  </conditionalFormatting>
  <conditionalFormatting sqref="X14">
    <cfRule type="expression" dxfId="2389" priority="20">
      <formula>ABS(X$16-X$19)&gt;=1000</formula>
    </cfRule>
  </conditionalFormatting>
  <conditionalFormatting sqref="T10:Y10">
    <cfRule type="expression" dxfId="2388" priority="19">
      <formula>ABS(T$7-T$10)&gt;=1000</formula>
    </cfRule>
  </conditionalFormatting>
  <conditionalFormatting sqref="W19">
    <cfRule type="expression" dxfId="2387" priority="18">
      <formula>ABS(W$16-W$19)&gt;=1000</formula>
    </cfRule>
  </conditionalFormatting>
  <conditionalFormatting sqref="AC5">
    <cfRule type="expression" dxfId="2386" priority="17">
      <formula>ABS(AC$7-AC$10)&gt;=1000</formula>
    </cfRule>
  </conditionalFormatting>
  <conditionalFormatting sqref="M14">
    <cfRule type="expression" dxfId="2385" priority="16">
      <formula>ABS(M$16-M$19)&gt;=1000</formula>
    </cfRule>
  </conditionalFormatting>
  <conditionalFormatting sqref="M16">
    <cfRule type="expression" dxfId="2384" priority="15">
      <formula>ABS(M$16-M$19)&gt;=1000</formula>
    </cfRule>
  </conditionalFormatting>
  <conditionalFormatting sqref="M19">
    <cfRule type="expression" dxfId="2383" priority="14">
      <formula>ABS(M$16-M$19)&gt;=1000</formula>
    </cfRule>
  </conditionalFormatting>
  <conditionalFormatting sqref="K13:K20">
    <cfRule type="expression" dxfId="2382" priority="13">
      <formula>ABS(K$16-K$19)&gt;=1000</formula>
    </cfRule>
  </conditionalFormatting>
  <conditionalFormatting sqref="E5">
    <cfRule type="expression" dxfId="2381" priority="12">
      <formula>ABS(E$7-E$10)&gt;=1000</formula>
    </cfRule>
  </conditionalFormatting>
  <conditionalFormatting sqref="AB14:AC14">
    <cfRule type="expression" dxfId="2380" priority="11">
      <formula>ABS(AB$16-AB$19)&gt;=1000</formula>
    </cfRule>
  </conditionalFormatting>
  <conditionalFormatting sqref="M5">
    <cfRule type="expression" dxfId="2379" priority="10">
      <formula>ABS(M$7-M$10)&gt;=1000</formula>
    </cfRule>
  </conditionalFormatting>
  <conditionalFormatting sqref="N5">
    <cfRule type="expression" dxfId="2378" priority="9">
      <formula>ABS(N$7-N$10)&gt;=1000</formula>
    </cfRule>
  </conditionalFormatting>
  <conditionalFormatting sqref="O5">
    <cfRule type="expression" dxfId="2377" priority="8">
      <formula>ABS(O$7-O$10)&gt;=1000</formula>
    </cfRule>
  </conditionalFormatting>
  <conditionalFormatting sqref="P5">
    <cfRule type="expression" dxfId="2376" priority="7">
      <formula>ABS(P$7-P$10)&gt;=1000</formula>
    </cfRule>
  </conditionalFormatting>
  <conditionalFormatting sqref="L23">
    <cfRule type="expression" dxfId="2375" priority="6">
      <formula>ABS(L$25-L$28)&gt;=1000</formula>
    </cfRule>
  </conditionalFormatting>
  <conditionalFormatting sqref="Y14">
    <cfRule type="expression" dxfId="2374" priority="5">
      <formula>ABS(Y$16-Y$19)&gt;=1000</formula>
    </cfRule>
  </conditionalFormatting>
  <conditionalFormatting sqref="F14">
    <cfRule type="expression" dxfId="2373" priority="4">
      <formula>ABS(F$16-F$19)&gt;=1000</formula>
    </cfRule>
  </conditionalFormatting>
  <conditionalFormatting sqref="H14">
    <cfRule type="expression" dxfId="2372" priority="3">
      <formula>ABS(H$16-H$19)&gt;=1000</formula>
    </cfRule>
  </conditionalFormatting>
  <conditionalFormatting sqref="AD5">
    <cfRule type="expression" dxfId="2371" priority="2">
      <formula>ABS(AD$7-AD$10)&gt;=1000</formula>
    </cfRule>
  </conditionalFormatting>
  <conditionalFormatting sqref="AE5">
    <cfRule type="expression" dxfId="237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36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82">
    <pageSetUpPr fitToPage="1"/>
  </sheetPr>
  <dimension ref="A1:CU223"/>
  <sheetViews>
    <sheetView view="pageBreakPreview" zoomScale="59" zoomScaleNormal="100" zoomScaleSheetLayoutView="59" workbookViewId="0">
      <selection activeCell="B2" sqref="B2:AE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46148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3" t="s" ph="1">
        <v>177</v>
      </c>
      <c r="D6" s="71">
        <v>7084</v>
      </c>
      <c r="E6" s="71">
        <v>6885</v>
      </c>
      <c r="F6" s="71">
        <v>5825</v>
      </c>
      <c r="G6" s="71">
        <v>5939</v>
      </c>
      <c r="H6" s="71">
        <v>7399</v>
      </c>
      <c r="I6" s="71">
        <v>0</v>
      </c>
      <c r="J6" s="71">
        <v>6.33</v>
      </c>
      <c r="K6" s="71">
        <v>7.42</v>
      </c>
      <c r="L6" s="71">
        <v>0</v>
      </c>
      <c r="M6" s="71">
        <v>488</v>
      </c>
      <c r="N6" s="71">
        <v>2578</v>
      </c>
      <c r="O6" s="71">
        <v>3160</v>
      </c>
      <c r="P6" s="71">
        <v>1240</v>
      </c>
      <c r="Q6" s="71">
        <v>1648</v>
      </c>
      <c r="R6" s="71">
        <v>7097</v>
      </c>
      <c r="S6" s="71">
        <v>6736</v>
      </c>
      <c r="T6" s="71">
        <v>7130</v>
      </c>
      <c r="U6" s="71">
        <v>6251</v>
      </c>
      <c r="V6" s="71">
        <v>2904</v>
      </c>
      <c r="W6" s="71">
        <v>0</v>
      </c>
      <c r="X6" s="71">
        <v>0</v>
      </c>
      <c r="Y6" s="71">
        <v>0</v>
      </c>
      <c r="Z6" s="71">
        <v>3903</v>
      </c>
      <c r="AA6" s="71">
        <v>6642</v>
      </c>
      <c r="AB6" s="71">
        <v>5775</v>
      </c>
      <c r="AC6" s="71">
        <v>6656</v>
      </c>
      <c r="AD6" s="71">
        <v>2452</v>
      </c>
      <c r="AE6" s="71">
        <v>4142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222891.8303304</v>
      </c>
      <c r="E7" s="73" ph="1">
        <f>E6*51.53*LOOKUP(E8,密度!$A$2:$A$50,密度!$B$2:$B$50)</f>
        <v>277547.56231499999</v>
      </c>
      <c r="F7" s="73" ph="1">
        <f>F6*33.183*LOOKUP(F8,密度!$A$2:$A$50,密度!$C$2:$C$50)</f>
        <v>214630.29864000002</v>
      </c>
      <c r="G7" s="73" ph="1">
        <f xml:space="preserve"> (G6+2)*51.53*LOOKUP(G8,密度!$A$2:$A$50,密度!$B$2:$B$50)</f>
        <v>239768.63653599998</v>
      </c>
      <c r="H7" s="73" ph="1">
        <f>(H6)*51.53*LOOKUP(H8,密度!$A$2:$A$50,密度!$B$2:$B$50)</f>
        <v>298611.03210400004</v>
      </c>
      <c r="I7" s="73" ph="1">
        <f>I6*290.8*1.0267</f>
        <v>0</v>
      </c>
      <c r="J7" s="73" ph="1">
        <f>J6*290.8*0.7892</f>
        <v>1452.7309488000001</v>
      </c>
      <c r="K7" s="73" ph="1">
        <f>K6*290.8*1.1126</f>
        <v>2400.6970735999998</v>
      </c>
      <c r="L7" s="73" ph="1">
        <f>L6*290.8*0.777</f>
        <v>0</v>
      </c>
      <c r="M7" s="73" ph="1">
        <f>M6*33.183*LOOKUP(M8,密度!$A$2:$A$50,密度!$D$2:$D$50)</f>
        <v>16671.006468000003</v>
      </c>
      <c r="N7" s="73" ph="1">
        <f>N6*33.183*LOOKUP(N8,密度!$A$2:$A$50,密度!$E$2:$E$50)</f>
        <v>67204.760054400002</v>
      </c>
      <c r="O7" s="73" ph="1">
        <f>O6*20.428*LOOKUP(O8,密度!$A$2:$A$50,密度!$C$2:$C$50)</f>
        <v>71582.245072000005</v>
      </c>
      <c r="P7" s="73" ph="1">
        <f>P6*51.53*LOOKUP(P8,密度!$A$2:$A$50,密度!$B$2:$B$50)</f>
        <v>49986.779560000003</v>
      </c>
      <c r="Q7" s="73" ph="1">
        <f>Q6*1.5*1.5*3.1416*LOOKUP(W8,密度!$A$2:$A$50,密度!$L$2:$L$50)</f>
        <v>10961.758684799999</v>
      </c>
      <c r="R7" s="73" ph="1">
        <f>R6*1.5*1.5*3.1416*LOOKUP(R8,密度!$A$2:$A$50,密度!$L$2:$L$50)</f>
        <v>46955.239531200001</v>
      </c>
      <c r="S7" s="73" ph="1">
        <f>S6*1.5*1.5*3.1416*LOOKUP(S8,密度!$A$2:$A$50,密度!$L$2:$L$50)</f>
        <v>44900.086492799994</v>
      </c>
      <c r="T7" s="73" ph="1">
        <f>T6*1.5*1.5*3.1416*LOOKUP(T8,密度!$A$2:$A$50,密度!$L$2:$L$50)</f>
        <v>47627.166510000003</v>
      </c>
      <c r="U7" s="73" ph="1">
        <f>U6*1.5*1.5*3.1416*LOOKUP(U8,密度!$A$2:$A$50,密度!$L$2:$L$50)</f>
        <v>41490.483665399996</v>
      </c>
      <c r="V7" s="73" ph="1">
        <f>V6*1.5*1.5*3.1416*LOOKUP(V8,密度!$A$2:$A$50,密度!$L$2:$L$50)</f>
        <v>19233.999892800002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121871.96730899999</v>
      </c>
      <c r="AA7" s="73" ph="1">
        <f>AA6*33.183*LOOKUP(AA8,密度!$A$2:$A$50,密度!$D$2:$D$50)</f>
        <v>226903.32983700003</v>
      </c>
      <c r="AB7" s="73" ph="1">
        <f>AB6*20.428*LOOKUP(AB8,密度!$A$2:$A$50,密度!$D$2:$D$50)</f>
        <v>122077.11516</v>
      </c>
      <c r="AC7" s="73" ph="1">
        <f>AC6*51.53*LOOKUP(AC8,密度!$A$2:$A$50,密度!$Q$2:$Q$50)</f>
        <v>326256.3659264</v>
      </c>
      <c r="AD7" s="73" ph="1">
        <f>AD6*20.428*LOOKUP(AD8,密度!$A$2:$A$50,密度!$V$2:$V$50)</f>
        <v>48286.235584000002</v>
      </c>
      <c r="AE7" s="73" ph="1">
        <f>AE6*20.428</f>
        <v>84612.775999999998</v>
      </c>
    </row>
    <row r="8" spans="1:99" ph="1">
      <c r="B8" s="241" ph="1"/>
      <c r="C8" s="68" t="s" ph="1">
        <v>179</v>
      </c>
      <c r="D8" s="74">
        <v>23</v>
      </c>
      <c r="E8" s="74">
        <v>22</v>
      </c>
      <c r="F8" s="74">
        <v>23</v>
      </c>
      <c r="G8" s="74">
        <v>21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23</v>
      </c>
      <c r="O8" s="74">
        <v>25</v>
      </c>
      <c r="P8" s="74">
        <v>22</v>
      </c>
      <c r="Q8" s="74">
        <v>28</v>
      </c>
      <c r="R8" s="74">
        <v>26</v>
      </c>
      <c r="S8" s="74">
        <v>19</v>
      </c>
      <c r="T8" s="74">
        <v>17</v>
      </c>
      <c r="U8" s="74">
        <v>23</v>
      </c>
      <c r="V8" s="74">
        <v>25</v>
      </c>
      <c r="W8" s="74">
        <v>21</v>
      </c>
      <c r="X8" s="74">
        <v>15</v>
      </c>
      <c r="Y8" s="74">
        <v>24</v>
      </c>
      <c r="Z8" s="74">
        <v>21</v>
      </c>
      <c r="AA8" s="74">
        <v>22</v>
      </c>
      <c r="AB8" s="74">
        <v>16</v>
      </c>
      <c r="AC8" s="74">
        <v>19</v>
      </c>
      <c r="AD8" s="74">
        <v>20</v>
      </c>
      <c r="AE8" s="74">
        <v>23</v>
      </c>
    </row>
    <row r="9" spans="1:99" ht="26.4" ph="1">
      <c r="B9" s="241" ph="1">
        <v>0.66666666666666663</v>
      </c>
      <c r="C9" s="153" t="s" ph="1">
        <v>180</v>
      </c>
      <c r="D9" s="71">
        <v>7080</v>
      </c>
      <c r="E9" s="71">
        <v>7054</v>
      </c>
      <c r="F9" s="71">
        <v>5828</v>
      </c>
      <c r="G9" s="71">
        <v>5071</v>
      </c>
      <c r="H9" s="71">
        <v>7399</v>
      </c>
      <c r="I9" s="71">
        <v>0</v>
      </c>
      <c r="J9" s="71">
        <v>6.38</v>
      </c>
      <c r="K9" s="71">
        <v>7.38</v>
      </c>
      <c r="L9" s="71">
        <v>21.31</v>
      </c>
      <c r="M9" s="71">
        <v>488</v>
      </c>
      <c r="N9" s="71">
        <v>2583</v>
      </c>
      <c r="O9" s="71">
        <v>3162</v>
      </c>
      <c r="P9" s="71">
        <v>604</v>
      </c>
      <c r="Q9" s="71">
        <v>0</v>
      </c>
      <c r="R9" s="71">
        <v>4093</v>
      </c>
      <c r="S9" s="71">
        <v>6746</v>
      </c>
      <c r="T9" s="71">
        <v>7139</v>
      </c>
      <c r="U9" s="71">
        <v>7028</v>
      </c>
      <c r="V9" s="71">
        <v>6744</v>
      </c>
      <c r="W9" s="71">
        <v>0</v>
      </c>
      <c r="X9" s="71">
        <v>0</v>
      </c>
      <c r="Y9" s="71">
        <v>0</v>
      </c>
      <c r="Z9" s="71">
        <v>4931</v>
      </c>
      <c r="AA9" s="71">
        <v>6647</v>
      </c>
      <c r="AB9" s="71">
        <v>5775</v>
      </c>
      <c r="AC9" s="71">
        <v>5832</v>
      </c>
      <c r="AD9" s="71">
        <v>1440</v>
      </c>
      <c r="AE9" s="71">
        <v>4154</v>
      </c>
    </row>
    <row r="10" spans="1:99" s="72" customFormat="1" ht="22.2" ph="1">
      <c r="B10" s="241" ph="1"/>
      <c r="C10" s="153" t="s" ph="1">
        <v>178</v>
      </c>
      <c r="D10" s="73" ph="1">
        <f>D9*33.183*LOOKUP(D11,密度!$A$2:$A$50,密度!$Q$2:$Q$50)</f>
        <v>222594.47083079998</v>
      </c>
      <c r="E10" s="73" ph="1">
        <f>E9*51.53*LOOKUP(E11,密度!$A$2:$A$50,密度!$B$2:$B$50)</f>
        <v>283705.98991</v>
      </c>
      <c r="F10" s="73" ph="1">
        <f>F9*33.183*LOOKUP(F11,密度!$A$2:$A$50,密度!$C$2:$C$50)</f>
        <v>214586.12543039999</v>
      </c>
      <c r="G10" s="73" ph="1">
        <f xml:space="preserve"> (G9+2)*51.53*LOOKUP(G11,密度!$A$2:$A$50,密度!$B$2:$B$50)</f>
        <v>203796.55352399999</v>
      </c>
      <c r="H10" s="73" ph="1">
        <f>(H9)*51.53*LOOKUP(H11,密度!$A$2:$A$50,密度!$B$2:$B$50)</f>
        <v>297238.45841200004</v>
      </c>
      <c r="I10" s="73" ph="1">
        <f>I9*290.8*1.0267</f>
        <v>0</v>
      </c>
      <c r="J10" s="73" ph="1">
        <f>J9*290.8*0.7892</f>
        <v>1464.2059168000001</v>
      </c>
      <c r="K10" s="73" ph="1">
        <f>K9*290.8*1.1126</f>
        <v>2387.7553104000003</v>
      </c>
      <c r="L10" s="73" ph="1">
        <f>L9*290.8*0.777</f>
        <v>4815.0285960000001</v>
      </c>
      <c r="M10" s="73" ph="1">
        <f>M9*33.183*LOOKUP(M11,密度!$A$2:$A$50,密度!$D$2:$D$50)</f>
        <v>16549.556688000001</v>
      </c>
      <c r="N10" s="73" ph="1">
        <f>N9*33.183*LOOKUP(N11,密度!$A$2:$A$50,密度!$E$2:$E$50)</f>
        <v>67035.111966900004</v>
      </c>
      <c r="O10" s="73" ph="1">
        <f>O9*20.428*LOOKUP(O11,密度!$A$2:$A$50,密度!$C$2:$C$50)</f>
        <v>71382.095613600002</v>
      </c>
      <c r="P10" s="73" ph="1">
        <f>P9*51.53*LOOKUP(P11,密度!$A$2:$A$50,密度!$B$2:$B$50)</f>
        <v>24264.363952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27022.282333200001</v>
      </c>
      <c r="S10" s="73" ph="1">
        <f>S9*1.5*1.5*3.1416*LOOKUP(S11,密度!$A$2:$A$50,密度!$L$2:$L$50)</f>
        <v>44776.004288399999</v>
      </c>
      <c r="T10" s="73" ph="1">
        <f>T9*1.5*1.5*3.1416*LOOKUP(T11,密度!$A$2:$A$50,密度!$L$2:$L$50)</f>
        <v>47535.896746799997</v>
      </c>
      <c r="U10" s="73" ph="1">
        <f>U9*1.5*1.5*3.1416*LOOKUP(U11,密度!$A$2:$A$50,密度!$L$2:$L$50)</f>
        <v>46548.399189600001</v>
      </c>
      <c r="V10" s="73" ph="1">
        <f>V9*1.5*1.5*3.1416*LOOKUP(V11,密度!$A$2:$A$50,密度!$L$2:$L$50)</f>
        <v>44524.376265599996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153153.349128</v>
      </c>
      <c r="AA10" s="73" ph="1">
        <f>AA9*33.183*LOOKUP(AA11,密度!$A$2:$A$50,密度!$D$2:$D$50)</f>
        <v>226875.62866859999</v>
      </c>
      <c r="AB10" s="73" ph="1">
        <f>AB9*20.428*LOOKUP(AB11,密度!$A$2:$A$50,密度!$D$2:$D$50)</f>
        <v>121676.01138000003</v>
      </c>
      <c r="AC10" s="73" ph="1">
        <f>AC9*51.53*LOOKUP(AC11,密度!$A$2:$A$50,密度!$Q$2:$Q$50)</f>
        <v>284955.87067200005</v>
      </c>
      <c r="AD10" s="73" ph="1">
        <f>AD9*20.428*LOOKUP(AD11,密度!$A$2:$A$50,密度!$V$2:$V$50)</f>
        <v>28169.068031999999</v>
      </c>
      <c r="AE10" s="73" ph="1">
        <f>AE9*20.428</f>
        <v>84857.911999999997</v>
      </c>
    </row>
    <row r="11" spans="1:99" ph="1">
      <c r="A11" s="64" t="s" ph="1">
        <v>162</v>
      </c>
      <c r="B11" s="241" ph="1"/>
      <c r="C11" s="153" t="s" ph="1">
        <v>179</v>
      </c>
      <c r="D11" s="74">
        <v>24</v>
      </c>
      <c r="E11" s="74">
        <v>24</v>
      </c>
      <c r="F11" s="74">
        <v>24</v>
      </c>
      <c r="G11" s="74">
        <v>25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26</v>
      </c>
      <c r="O11" s="74">
        <v>30</v>
      </c>
      <c r="P11" s="74">
        <v>25</v>
      </c>
      <c r="Q11" s="74">
        <v>33</v>
      </c>
      <c r="R11" s="74">
        <v>28</v>
      </c>
      <c r="S11" s="74">
        <v>23</v>
      </c>
      <c r="T11" s="74">
        <v>20</v>
      </c>
      <c r="U11" s="74">
        <v>25</v>
      </c>
      <c r="V11" s="74">
        <v>28</v>
      </c>
      <c r="W11" s="74">
        <v>32</v>
      </c>
      <c r="X11" s="74">
        <v>21</v>
      </c>
      <c r="Y11" s="74">
        <v>26</v>
      </c>
      <c r="Z11" s="74">
        <v>26</v>
      </c>
      <c r="AA11" s="74">
        <v>23</v>
      </c>
      <c r="AB11" s="74">
        <v>20</v>
      </c>
      <c r="AC11" s="74">
        <v>23</v>
      </c>
      <c r="AD11" s="74">
        <v>27</v>
      </c>
      <c r="AE11" s="74">
        <v>25</v>
      </c>
    </row>
    <row r="12" spans="1:99" ht="9.9" customHeight="1" ph="1"/>
    <row r="13" spans="1:99" s="72" customFormat="1" ht="29.25" customHeight="1" ph="1">
      <c r="B13" s="218" t="s" ph="1">
        <v>37</v>
      </c>
      <c r="C13" s="15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3" t="s" ph="1">
        <v>177</v>
      </c>
      <c r="D15" s="78">
        <v>1211</v>
      </c>
      <c r="E15" s="78">
        <v>6063</v>
      </c>
      <c r="F15" s="78">
        <v>2551</v>
      </c>
      <c r="G15" s="78">
        <v>273</v>
      </c>
      <c r="H15" s="78">
        <v>0</v>
      </c>
      <c r="I15" s="78">
        <v>1910</v>
      </c>
      <c r="J15" s="78">
        <v>2334</v>
      </c>
      <c r="K15" s="78">
        <v>5003</v>
      </c>
      <c r="L15" s="78">
        <v>1217</v>
      </c>
      <c r="M15" s="78">
        <v>542</v>
      </c>
      <c r="N15" s="78">
        <v>288</v>
      </c>
      <c r="O15" s="78">
        <v>4719</v>
      </c>
      <c r="P15" s="78">
        <v>0</v>
      </c>
      <c r="Q15" s="78">
        <v>10</v>
      </c>
      <c r="R15" s="78">
        <v>0</v>
      </c>
      <c r="S15" s="78">
        <v>6446</v>
      </c>
      <c r="T15" s="78">
        <v>3782</v>
      </c>
      <c r="U15" s="78">
        <v>1702</v>
      </c>
      <c r="V15" s="78">
        <v>-817</v>
      </c>
      <c r="W15" s="71">
        <v>-173</v>
      </c>
      <c r="X15" s="78">
        <v>-319</v>
      </c>
      <c r="Y15" s="106">
        <v>-9904</v>
      </c>
      <c r="Z15" s="78">
        <v>0</v>
      </c>
      <c r="AA15" s="78">
        <v>272</v>
      </c>
      <c r="AB15" s="78" ph="1">
        <v>5874</v>
      </c>
      <c r="AC15" s="78" ph="1">
        <v>0</v>
      </c>
      <c r="AD15" s="78">
        <v>5.55</v>
      </c>
      <c r="AE15" s="78">
        <v>54.14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3" t="s" ph="1">
        <v>178</v>
      </c>
      <c r="D16" s="73" ph="1">
        <f>D15*7.0686*LOOKUP(D17,密度!$A$2:$A$50,密度!$L$2:$L$50)</f>
        <v>8063.5902731999995</v>
      </c>
      <c r="E16" s="73" ph="1">
        <f>E15*7.0686*LOOKUP(E17,密度!$A$2:$A$50,密度!$L$2:$L$50)</f>
        <v>40371.220335599995</v>
      </c>
      <c r="F16" s="73" ph="1">
        <f>F15*9.0746*LOOKUP(F17,密度!$A$2:$A$50,密度!$L$2:$L$50)</f>
        <v>21690.898410199999</v>
      </c>
      <c r="G16" s="73" ph="1">
        <f>G15*9.0746*LOOKUP(G17,密度!$A$2:$A$50,密度!$B$2:$B$50)</f>
        <v>1942.50252378</v>
      </c>
      <c r="H16" s="73" ph="1">
        <f>H15*9.0746*LOOKUP(H17,密度!$A$2:$A$50,密度!$L$2:$L$50)</f>
        <v>0</v>
      </c>
      <c r="I16" s="73" ph="1">
        <f>I15*9.0746*LOOKUP(I17,密度!$A$2:$A$50,密度!$U$2:$U$50)</f>
        <v>17817.795608</v>
      </c>
      <c r="J16" s="73" ph="1">
        <f>J15*9.0746*LOOKUP(J17,密度!$A$2:$A$50,密度!$L$2:$L$50)</f>
        <v>19888.129299599997</v>
      </c>
      <c r="K16" s="73" ph="1">
        <f>K15*9.0746*LOOKUP(K17,密度!$A$2:$A$50,密度!$C$2:$C$50)</f>
        <v>50480.508843220006</v>
      </c>
      <c r="L16" s="73" ph="1">
        <f>L15*9.0746*LOOKUP(L17,密度!$A$2:$A$50,密度!$E$2:$E$50)</f>
        <v>8715.7576474400012</v>
      </c>
      <c r="M16" s="73" ph="1">
        <f>M15*9.0746*LOOKUP(M17,密度!$A$2:$A$50,密度!$M$2:$M$50)</f>
        <v>4318.3843496</v>
      </c>
      <c r="N16" s="73" ph="1">
        <f>N15*9.0746*LOOKUP(N17,密度!$A$2:$A$50,密度!$M$2:$M$50)</f>
        <v>2300.65066944</v>
      </c>
      <c r="O16" s="73" ph="1">
        <f>O15*9.0746*LOOKUP(O17,密度!$A$2:$A$50,密度!$G$2:$G$50)</f>
        <v>41204.326586280004</v>
      </c>
      <c r="P16" s="73" ph="1">
        <f ca="1">P15*9.0746*LOOKUP(P17,密度!$A$2:$A$51,密度!$Q$2:$Q$50)</f>
        <v>0</v>
      </c>
      <c r="Q16" s="73" ph="1">
        <f>Q15*9.0746*LOOKUP(Q17,密度!$A$2:$A$50,密度!$Q$2:$Q$50)</f>
        <v>86.243183480000013</v>
      </c>
      <c r="R16" s="73" ph="1">
        <f>MAX(R15*9.0746*LOOKUP(R17,密度!$A$2:$A$50,密度!$B$2:$B$50),0)</f>
        <v>0</v>
      </c>
      <c r="S16" s="73" ph="1">
        <f>S15*9.0746*LOOKUP(S17,密度!$A$2:$A$50,密度!$Q$2:$Q$50)</f>
        <v>55516.897686844</v>
      </c>
      <c r="T16" s="73" ph="1">
        <f>T15*9.0746*LOOKUP(T17,密度!$A$2:$A$50,密度!$O$2:$O$50)</f>
        <v>31917.727596000001</v>
      </c>
      <c r="U16" s="73" ph="1">
        <f>U15*9.0746*LOOKUP(U17,密度!$A$2:$A$50,密度!$H$2:$H$50)</f>
        <v>14204.738173239999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3829.3553036679996</v>
      </c>
      <c r="X16" s="73" ph="1">
        <f>MAX(5600*LOOKUP(X17,密度!$A$2:$A$50,密度!$I$2:$I$50)+X15*9.0476*LOOKUP(X17,密度!$A$2:$A$50,密度!$I$2:$I$50),0)</f>
        <v>2834.8517757600007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1935.3871299200002</v>
      </c>
      <c r="AB16" s="73" ph="1">
        <f>AB15*9.0746*LOOKUP(AB17,密度!$A$2:$A$50,密度!$L$2:$L$50)</f>
        <v>50212.556776799996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2383.3728504000001</v>
      </c>
      <c r="AE16" s="73" ph="1">
        <f>AE15*268.68*LOOKUP(AE17,密度!$A$2:$A$50,密度!B2:B50)+IF(AE15&lt;=0,0,1566*LOOKUP(AE17,密度!$A$2:$A$50,密度!B2:B50))</f>
        <v>12561.176521920001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20</v>
      </c>
      <c r="E17" s="74">
        <v>20</v>
      </c>
      <c r="F17" s="74">
        <v>25</v>
      </c>
      <c r="G17" s="74">
        <v>20</v>
      </c>
      <c r="H17" s="74">
        <v>17</v>
      </c>
      <c r="I17" s="74">
        <v>20</v>
      </c>
      <c r="J17" s="74">
        <v>23</v>
      </c>
      <c r="K17" s="74">
        <v>21</v>
      </c>
      <c r="L17" s="74">
        <v>20</v>
      </c>
      <c r="M17" s="74">
        <v>22</v>
      </c>
      <c r="N17" s="74">
        <v>20</v>
      </c>
      <c r="O17" s="74">
        <v>23</v>
      </c>
      <c r="P17" s="74">
        <v>20</v>
      </c>
      <c r="Q17" s="74">
        <v>20</v>
      </c>
      <c r="R17" s="74">
        <v>21</v>
      </c>
      <c r="S17" s="74">
        <v>22</v>
      </c>
      <c r="T17" s="74">
        <v>22</v>
      </c>
      <c r="U17" s="74">
        <v>20</v>
      </c>
      <c r="V17" s="74">
        <v>22</v>
      </c>
      <c r="W17" s="74">
        <v>22</v>
      </c>
      <c r="X17" s="74">
        <v>23</v>
      </c>
      <c r="Y17" s="108">
        <v>23</v>
      </c>
      <c r="Z17" s="74">
        <v>22</v>
      </c>
      <c r="AA17" s="74">
        <v>20</v>
      </c>
      <c r="AB17" s="74">
        <v>20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3426</v>
      </c>
      <c r="E18" s="71">
        <v>5902</v>
      </c>
      <c r="F18" s="71">
        <v>2552</v>
      </c>
      <c r="G18" s="71">
        <v>3127</v>
      </c>
      <c r="H18" s="71">
        <v>0</v>
      </c>
      <c r="I18" s="71">
        <v>37</v>
      </c>
      <c r="J18" s="71">
        <v>2411</v>
      </c>
      <c r="K18" s="71">
        <v>5006</v>
      </c>
      <c r="L18" s="71">
        <v>1220</v>
      </c>
      <c r="M18" s="71">
        <v>544</v>
      </c>
      <c r="N18" s="71">
        <v>3695</v>
      </c>
      <c r="O18" s="71">
        <v>1954</v>
      </c>
      <c r="P18" s="71">
        <v>0</v>
      </c>
      <c r="Q18" s="71">
        <v>0</v>
      </c>
      <c r="R18" s="71">
        <v>0</v>
      </c>
      <c r="S18" s="71">
        <v>6456</v>
      </c>
      <c r="T18" s="71">
        <v>3224</v>
      </c>
      <c r="U18" s="71">
        <v>1702</v>
      </c>
      <c r="V18" s="71">
        <v>-817</v>
      </c>
      <c r="W18" s="71">
        <v>-174</v>
      </c>
      <c r="X18" s="71">
        <v>-322</v>
      </c>
      <c r="Y18" s="109">
        <v>-9907</v>
      </c>
      <c r="Z18" s="71">
        <v>0</v>
      </c>
      <c r="AA18" s="71">
        <v>272</v>
      </c>
      <c r="AB18" s="71">
        <v>7163</v>
      </c>
      <c r="AC18" s="71">
        <v>789</v>
      </c>
      <c r="AD18" s="71">
        <v>28.52</v>
      </c>
      <c r="AE18" s="71">
        <v>84.77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3" t="s" ph="1">
        <v>178</v>
      </c>
      <c r="D19" s="73" ph="1">
        <f>D18*7.0686*LOOKUP(D20,密度!$A$2:$A$50,密度!$L$2:$L$50)</f>
        <v>22642.917066000002</v>
      </c>
      <c r="E19" s="73" ph="1">
        <f>E18*7.0686*LOOKUP(E20,密度!$A$2:$A$50,密度!$L$2:$L$50)</f>
        <v>39007.150182000005</v>
      </c>
      <c r="F19" s="73" ph="1">
        <f>F18*9.0746*LOOKUP(F20,密度!$A$2:$A$50,密度!$L$2:$L$50)</f>
        <v>21583.609414400002</v>
      </c>
      <c r="G19" s="73" ph="1">
        <f>G18*9.0746*LOOKUP(G20,密度!$A$2:$A$50,密度!$B$2:$B$50)</f>
        <v>22073.903700180002</v>
      </c>
      <c r="H19" s="73" ph="1">
        <f>H18*9.0746*LOOKUP(H20,密度!$A$2:$A$50,密度!$L$2:$L$50)</f>
        <v>0</v>
      </c>
      <c r="I19" s="73" ph="1">
        <f>I18*9.0746*LOOKUP(I20,密度!$A$2:$A$50,密度!$U$2:$U$50)</f>
        <v>344.15420499999999</v>
      </c>
      <c r="J19" s="73" ph="1">
        <f>J18*9.0746*LOOKUP(J20,密度!$A$2:$A$50,密度!$L$2:$L$50)</f>
        <v>20478.6135216</v>
      </c>
      <c r="K19" s="73" ph="1">
        <f>K18*9.0746*LOOKUP(K20,密度!$A$2:$A$50,密度!$C$2:$C$50)</f>
        <v>50338.154685560003</v>
      </c>
      <c r="L19" s="73" ph="1">
        <f>L18*9.0746*LOOKUP(L20,密度!$A$2:$A$50,密度!$E$2:$E$50)</f>
        <v>8633.1751576000006</v>
      </c>
      <c r="M19" s="73" ph="1">
        <f>M18*9.0746*LOOKUP(M20,密度!$A$2:$A$50,密度!$M$2:$M$50)</f>
        <v>4304.6998528000004</v>
      </c>
      <c r="N19" s="73" ph="1">
        <f>N18*9.0746*LOOKUP(N20,密度!$A$2:$A$50,密度!$M$2:$M$50)</f>
        <v>29406.377418999997</v>
      </c>
      <c r="O19" s="73" ph="1">
        <f>O18*9.0746*LOOKUP(O20,密度!$A$2:$A$50,密度!$G$2:$G$50)</f>
        <v>17026.04401768</v>
      </c>
      <c r="P19" s="73" ph="1">
        <f ca="1">P18*9.0746*LOOKUP(P20,密度!$A$2:$A$51,密度!$Q$2:$Q$50)</f>
        <v>0</v>
      </c>
      <c r="Q19" s="73" ph="1">
        <f>Q18*9.0746*LOOKUP(Q20,密度!$A$2:$A$50,密度!$Q$2:$Q$50)</f>
        <v>0</v>
      </c>
      <c r="R19" s="73" ph="1">
        <f>MAX(R18*9.0746*LOOKUP(R20,密度!$A$2:$A$50,密度!$B$2:$B$50),0)</f>
        <v>0</v>
      </c>
      <c r="S19" s="73" ph="1">
        <f>S18*9.0746*LOOKUP(S20,密度!$A$2:$A$50,密度!$Q$2:$Q$50)</f>
        <v>55465.347606624004</v>
      </c>
      <c r="T19" s="73" ph="1">
        <f>T18*9.0746*LOOKUP(T20,密度!$A$2:$A$50,密度!$O$2:$O$50)</f>
        <v>27091.5286304</v>
      </c>
      <c r="U19" s="73" ph="1">
        <f>U18*9.0746*LOOKUP(U20,密度!$A$2:$A$50,密度!$H$2:$H$50)</f>
        <v>14175.392731759999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3799.995614168</v>
      </c>
      <c r="X19" s="73" ph="1">
        <f>MAX(5600*LOOKUP(X20,密度!$A$2:$A$50,密度!$I$2:$I$50)+X18*9.0476*LOOKUP(X20,密度!$A$2:$A$50,密度!$I$2:$I$50),0)</f>
        <v>2803.2743995200008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1924.27981952</v>
      </c>
      <c r="AB19" s="73" ph="1">
        <f>AB18*9.0746*LOOKUP(AB20,密度!$A$2:$A$50,密度!$L$2:$L$50)</f>
        <v>60516.2659738</v>
      </c>
      <c r="AC19" s="73" ph="1">
        <f>AC18*9.0746*LOOKUP(AC20,密度!$A$2:$A$50,密度!$L$2:$L$50)</f>
        <v>6708.7882578000008</v>
      </c>
      <c r="AD19" s="73" ph="1">
        <f>AD18*268.68*LOOKUP(AD20,密度!$A$2:$A$50,密度!B5:B53)+IF(AD18&lt;=0,0,1566*LOOKUP(AD20,密度!$A$2:$A$50,密度!B5:B53))</f>
        <v>7170.7415472000002</v>
      </c>
      <c r="AE19" s="73" ph="1">
        <f>AE18*268.68*LOOKUP(AE20,密度!$A$2:$A$50,密度!B5:B53)+IF(AE18&lt;=0,0,1566*LOOKUP(AE20,密度!$A$2:$A$50,密度!B5:B53))</f>
        <v>18913.736797199999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27</v>
      </c>
      <c r="E20" s="81">
        <v>27</v>
      </c>
      <c r="F20" s="81">
        <v>30</v>
      </c>
      <c r="G20" s="81">
        <v>27</v>
      </c>
      <c r="H20" s="81">
        <v>22</v>
      </c>
      <c r="I20" s="81">
        <v>25</v>
      </c>
      <c r="J20" s="81">
        <v>26</v>
      </c>
      <c r="K20" s="81">
        <v>26</v>
      </c>
      <c r="L20" s="81">
        <v>28</v>
      </c>
      <c r="M20" s="81">
        <v>28</v>
      </c>
      <c r="N20" s="81">
        <v>23</v>
      </c>
      <c r="O20" s="81">
        <v>25</v>
      </c>
      <c r="P20" s="81">
        <v>28</v>
      </c>
      <c r="Q20" s="81">
        <v>27</v>
      </c>
      <c r="R20" s="81">
        <v>28</v>
      </c>
      <c r="S20" s="81">
        <v>25</v>
      </c>
      <c r="T20" s="81">
        <v>25</v>
      </c>
      <c r="U20" s="81">
        <v>22</v>
      </c>
      <c r="V20" s="81">
        <v>29</v>
      </c>
      <c r="W20" s="81">
        <v>29</v>
      </c>
      <c r="X20" s="81">
        <v>24</v>
      </c>
      <c r="Y20" s="110">
        <v>24</v>
      </c>
      <c r="Z20" s="81">
        <v>27</v>
      </c>
      <c r="AA20" s="81">
        <v>25</v>
      </c>
      <c r="AB20" s="81">
        <v>31</v>
      </c>
      <c r="AC20" s="81">
        <v>25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3" t="s" ph="1">
        <v>177</v>
      </c>
      <c r="D24" s="71">
        <v>4.26</v>
      </c>
      <c r="E24" s="71">
        <v>5.63</v>
      </c>
      <c r="F24" s="71">
        <v>0</v>
      </c>
      <c r="G24" s="71">
        <v>3812</v>
      </c>
      <c r="H24" s="71">
        <v>2564</v>
      </c>
      <c r="I24" s="71">
        <v>1892</v>
      </c>
      <c r="J24" s="71">
        <v>217</v>
      </c>
      <c r="K24" s="71">
        <v>248</v>
      </c>
      <c r="L24" s="71">
        <v>468</v>
      </c>
      <c r="M24" s="71">
        <v>2590</v>
      </c>
      <c r="N24" s="71">
        <v>224</v>
      </c>
      <c r="O24" s="71">
        <v>5414</v>
      </c>
      <c r="P24" s="71">
        <v>1161</v>
      </c>
      <c r="Q24" s="90">
        <v>1702</v>
      </c>
      <c r="R24" s="71">
        <v>4669</v>
      </c>
      <c r="S24" s="71">
        <v>565</v>
      </c>
      <c r="T24" s="71">
        <v>2304</v>
      </c>
      <c r="U24" s="71">
        <v>6939</v>
      </c>
      <c r="V24" s="71">
        <v>9667</v>
      </c>
      <c r="W24" s="71">
        <v>3764</v>
      </c>
      <c r="X24" s="71">
        <v>3475</v>
      </c>
      <c r="Y24" s="71">
        <v>5297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2566.2114796320002</v>
      </c>
      <c r="E25" s="91" ph="1">
        <f>E24*268.68*LOOKUP(E26,密度!$A$2:$A$50,密度!$C$2:$C$50)+IF(E24&lt;=0,0,1566*LOOKUP(E26,密度!$A$2:$A$50,密度!$C$2:$C$50))</f>
        <v>3413.93538876</v>
      </c>
      <c r="F25" s="91" ph="1">
        <f>F24*11.702*LOOKUP(F26,密度!$A$2:$A$50,密度!$Q$2:$Q$50)</f>
        <v>0</v>
      </c>
      <c r="G25" s="91" ph="1">
        <f>G24*18.322*LOOKUP(G26,密度!$A$2:$A$50,密度!$B$2:$B$50)</f>
        <v>54575.682769599996</v>
      </c>
      <c r="H25" s="91" ph="1">
        <f>H24*18.322*LOOKUP(H26,密度!$A$2:$A$50,密度!$B$2:$B$50)</f>
        <v>36708.302891200001</v>
      </c>
      <c r="I25" s="91" ph="1">
        <f>I24*18.322*LOOKUP(I26,密度!$A$2:$A$50,密度!$Q$2:$Q$50)</f>
        <v>32869.565396800004</v>
      </c>
      <c r="J25" s="91" ph="1">
        <f>J24*18.322*LOOKUP(J26,密度!$A$2:$A$50,密度!$Q$2:$Q$50)</f>
        <v>3773.4622546599999</v>
      </c>
      <c r="K25" s="91" ph="1">
        <f>K24*18.322*LOOKUP(K26,密度!$A$2:$A$50,密度!$Q$2:$Q$50)</f>
        <v>4305.1672443199996</v>
      </c>
      <c r="L25" s="91" ph="1">
        <f>L24*18.322*LOOKUP(L26,密度!$A$2:$A$50,密度!$Q$2:$Q$50)</f>
        <v>8124.2672191199999</v>
      </c>
      <c r="M25" s="91" ph="1">
        <f>M24*18.322*LOOKUP(M26,密度!$A$2:$A$50,密度!$Q$2:$Q$50)</f>
        <v>44961.222430599999</v>
      </c>
      <c r="N25" s="91" ph="1">
        <f>N24*18.322*LOOKUP(N26,密度!$A$2:$A$50,密度!$Q$2:$Q$50)</f>
        <v>3891.5341696</v>
      </c>
      <c r="O25" s="91" ph="1">
        <f>O24*18.322*LOOKUP(O26,密度!$A$2:$A$50,密度!$C$2:$C$50)</f>
        <v>110215.90671879999</v>
      </c>
      <c r="P25" s="91" ph="1">
        <f>P24*11.702*LOOKUP(P26,密度!$A$2:$A$50,密度!$B$2:$B$50)</f>
        <v>10640.572430400001</v>
      </c>
      <c r="Q25" s="92" ph="1">
        <f>Q24*18.322*LOOKUP(Q26,密度!$A$2:$A$50,密度!$B$2:$B$50)</f>
        <v>24423.3432608</v>
      </c>
      <c r="R25" s="91" ph="1">
        <f>R24*35.891*LOOKUP(R26,密度!$A$2:$A$50,密度!$C$2:$C$50)</f>
        <v>185941.30765839998</v>
      </c>
      <c r="S25" s="91" ph="1">
        <f>S24*35.891*LOOKUP(S26,密度!$A$2:$A$50,密度!$B$2:$B$50)</f>
        <v>15809.052333999996</v>
      </c>
      <c r="T25" s="91" ph="1">
        <f>T24*35.891*LOOKUP(T26,密度!$A$2:$A$50,密度!$Q$2:$Q$50)</f>
        <v>78482.970293759994</v>
      </c>
      <c r="U25" s="91" ph="1">
        <f>U24*35.891</f>
        <v>249047.64899999998</v>
      </c>
      <c r="V25" s="91" ph="1">
        <f>V24*47.051*LOOKUP(V26,密度!$A$2:$A$50,密度!$B$2:$B$50)</f>
        <v>356641.62552970002</v>
      </c>
      <c r="W25" s="91" ph="1">
        <f>W24*47.051*LOOKUP(W26,密度!$A$2:$A$50,密度!$B$2:$B$50)</f>
        <v>138226.52190200001</v>
      </c>
      <c r="X25" s="91" ph="1">
        <f>X24*47.051*LOOKUP(X26,密度!$A$2:$A$61,密度!$I$2:$I$61)</f>
        <v>170418.3691175</v>
      </c>
      <c r="Y25" s="91" ph="1">
        <f>Y24*47.051*LOOKUP(Y26,密度!$A$2:$A$50,密度!$L$2:$L$50)</f>
        <v>234026.16903299998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22</v>
      </c>
      <c r="G26" s="74">
        <v>23</v>
      </c>
      <c r="H26" s="74">
        <v>23</v>
      </c>
      <c r="I26" s="74">
        <v>23</v>
      </c>
      <c r="J26" s="74">
        <v>22</v>
      </c>
      <c r="K26" s="74">
        <v>24</v>
      </c>
      <c r="L26" s="74">
        <v>24</v>
      </c>
      <c r="M26" s="74">
        <v>24</v>
      </c>
      <c r="N26" s="74">
        <v>23</v>
      </c>
      <c r="O26" s="74">
        <v>22</v>
      </c>
      <c r="P26" s="74">
        <v>21</v>
      </c>
      <c r="Q26" s="93">
        <v>21</v>
      </c>
      <c r="R26" s="74">
        <v>24</v>
      </c>
      <c r="S26" s="74">
        <v>25</v>
      </c>
      <c r="T26" s="74">
        <v>22</v>
      </c>
      <c r="U26" s="74">
        <v>25</v>
      </c>
      <c r="V26" s="74">
        <v>20</v>
      </c>
      <c r="W26" s="74">
        <v>24</v>
      </c>
      <c r="X26" s="74">
        <v>25</v>
      </c>
      <c r="Y26" s="74">
        <v>23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3" t="s" ph="1">
        <v>180</v>
      </c>
      <c r="D27" s="71">
        <v>4.3099999999999996</v>
      </c>
      <c r="E27" s="71">
        <v>5.62</v>
      </c>
      <c r="F27" s="71">
        <v>0</v>
      </c>
      <c r="G27" s="71">
        <v>3046</v>
      </c>
      <c r="H27" s="71">
        <v>2087</v>
      </c>
      <c r="I27" s="71">
        <v>1892</v>
      </c>
      <c r="J27" s="71">
        <v>211</v>
      </c>
      <c r="K27" s="71">
        <v>244</v>
      </c>
      <c r="L27" s="71">
        <v>464</v>
      </c>
      <c r="M27" s="71">
        <v>4827</v>
      </c>
      <c r="N27" s="71">
        <v>220</v>
      </c>
      <c r="O27" s="71">
        <v>5411</v>
      </c>
      <c r="P27" s="71">
        <v>1157</v>
      </c>
      <c r="Q27" s="90">
        <v>1541</v>
      </c>
      <c r="R27" s="71">
        <v>4667</v>
      </c>
      <c r="S27" s="71">
        <v>562</v>
      </c>
      <c r="T27" s="71">
        <v>2234</v>
      </c>
      <c r="U27" s="71">
        <v>7023</v>
      </c>
      <c r="V27" s="71">
        <v>10144</v>
      </c>
      <c r="W27" s="71">
        <v>3453</v>
      </c>
      <c r="X27" s="71">
        <v>3348</v>
      </c>
      <c r="Y27" s="71">
        <v>3158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3" t="s" ph="1">
        <v>178</v>
      </c>
      <c r="D28" s="91" ph="1">
        <f>D27*268.68*LOOKUP(D29,密度!$A$2:$A$50,密度!$Q$2:$Q$50)+IF(D27&lt;=0,0,1566*LOOKUP(D29,密度!$A$2:$A$50,密度!$Q$2:$Q$50))</f>
        <v>2578.9299847920001</v>
      </c>
      <c r="E28" s="91" ph="1">
        <f>E27*268.68*LOOKUP(E29,密度!$A$2:$A$50,密度!$C$2:$C$50)+IF(E27&lt;=0,0,1566*LOOKUP(E29,密度!$A$2:$A$50,密度!$C$2:$C$50))</f>
        <v>3410.9559962399999</v>
      </c>
      <c r="F28" s="91" ph="1">
        <f>F27*11.702*LOOKUP(F29,密度!$A$2:$A$50,密度!$Q$2:$Q$50)</f>
        <v>0</v>
      </c>
      <c r="G28" s="91" ph="1">
        <f>G27*18.322*LOOKUP(G29,密度!$A$2:$A$50,密度!$B$2:$B$50)</f>
        <v>43558.777765999999</v>
      </c>
      <c r="H28" s="91" ph="1">
        <f>H27*18.322*LOOKUP(H29,密度!$A$2:$A$50,密度!$B$2:$B$50)</f>
        <v>29810.355714399993</v>
      </c>
      <c r="I28" s="91" ph="1">
        <f>I27*18.322*LOOKUP(I29,密度!$A$2:$A$50,密度!$Q$2:$Q$50)</f>
        <v>32844.259783280002</v>
      </c>
      <c r="J28" s="91" ph="1">
        <f>J27*18.322*LOOKUP(J29,密度!$A$2:$A$50,密度!$Q$2:$Q$50)</f>
        <v>3665.6862044</v>
      </c>
      <c r="K28" s="91" ph="1">
        <f>K27*18.322*LOOKUP(K29,密度!$A$2:$A$50,密度!$Q$2:$Q$50)</f>
        <v>4242.9713831199997</v>
      </c>
      <c r="L28" s="91" ph="1">
        <f>L27*18.322*LOOKUP(L29,密度!$A$2:$A$50,密度!$Q$2:$Q$50)</f>
        <v>8061.0350656000001</v>
      </c>
      <c r="M28" s="91" ph="1">
        <f>M27*18.322*LOOKUP(M29,密度!$A$2:$A$50,密度!$Q$2:$Q$50)</f>
        <v>83729.963941559996</v>
      </c>
      <c r="N28" s="91" ph="1">
        <f>N27*18.322*LOOKUP(N29,密度!$A$2:$A$50,密度!$Q$2:$Q$50)</f>
        <v>3822.042488</v>
      </c>
      <c r="O28" s="91" ph="1">
        <f>O27*18.322*LOOKUP(O29,密度!$A$2:$A$50,密度!$C$2:$C$50)</f>
        <v>110154.83399619999</v>
      </c>
      <c r="P28" s="91" ph="1">
        <f>P27*11.702*LOOKUP(P29,密度!$A$2:$A$50,密度!$B$2:$B$50)</f>
        <v>10579.541819599999</v>
      </c>
      <c r="Q28" s="92" ph="1">
        <f>Q27*18.322*LOOKUP(Q29,密度!$A$2:$A$50,密度!$B$2:$B$50)</f>
        <v>22113.0270064</v>
      </c>
      <c r="R28" s="91" ph="1">
        <f>R27*35.891*LOOKUP(R29,密度!$A$2:$A$50,密度!$C$2:$C$50)</f>
        <v>186246.91593430002</v>
      </c>
      <c r="S28" s="91" ph="1">
        <f>S27*35.891*LOOKUP(S29,密度!$A$2:$A$50,密度!$B$2:$B$50)</f>
        <v>15743.264130999998</v>
      </c>
      <c r="T28" s="91" ph="1">
        <f>T27*35.891*LOOKUP(T29,密度!$A$2:$A$50,密度!$Q$2:$Q$50)</f>
        <v>75910.080889559991</v>
      </c>
      <c r="U28" s="91" ph="1">
        <f>U27*35.891</f>
        <v>252062.49299999999</v>
      </c>
      <c r="V28" s="91" ph="1">
        <f>V27*47.051*LOOKUP(V29,密度!$A$2:$A$50,密度!$B$2:$B$50)</f>
        <v>372950.76780160004</v>
      </c>
      <c r="W28" s="91" ph="1">
        <f>W27*47.051*LOOKUP(W29,密度!$A$2:$A$50,密度!$B$2:$B$50)</f>
        <v>126513.13310609999</v>
      </c>
      <c r="X28" s="91" ph="1">
        <f>X27*47.051*LOOKUP(X29,密度!$A$2:$A$61,密度!$I$2:$I$61)</f>
        <v>163843.5705948</v>
      </c>
      <c r="Y28" s="91" ph="1">
        <f>Y27*47.051*LOOKUP(Y29,密度!$A$2:$A$50,密度!$L$2:$L$50)</f>
        <v>139077.48628800001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3" t="s" ph="1">
        <v>179</v>
      </c>
      <c r="D29" s="74">
        <v>25</v>
      </c>
      <c r="E29" s="74">
        <v>25</v>
      </c>
      <c r="F29" s="74">
        <v>24</v>
      </c>
      <c r="G29" s="74">
        <v>24</v>
      </c>
      <c r="H29" s="74">
        <v>25</v>
      </c>
      <c r="I29" s="74">
        <v>24</v>
      </c>
      <c r="J29" s="74">
        <v>23</v>
      </c>
      <c r="K29" s="74">
        <v>22</v>
      </c>
      <c r="L29" s="74">
        <v>23</v>
      </c>
      <c r="M29" s="74">
        <v>25</v>
      </c>
      <c r="N29" s="74">
        <v>23</v>
      </c>
      <c r="O29" s="74">
        <v>22</v>
      </c>
      <c r="P29" s="74">
        <v>23</v>
      </c>
      <c r="Q29" s="93">
        <v>21</v>
      </c>
      <c r="R29" s="74">
        <v>21</v>
      </c>
      <c r="S29" s="74">
        <v>24</v>
      </c>
      <c r="T29" s="74">
        <v>25</v>
      </c>
      <c r="U29" s="74">
        <v>27</v>
      </c>
      <c r="V29" s="74">
        <v>23</v>
      </c>
      <c r="W29" s="74">
        <v>26</v>
      </c>
      <c r="X29" s="74">
        <v>27</v>
      </c>
      <c r="Y29" s="74">
        <v>26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3" t="s" ph="1">
        <v>5</v>
      </c>
      <c r="F32" s="152" t="s" ph="1">
        <v>43</v>
      </c>
      <c r="G32" s="97" t="s" ph="1">
        <v>4</v>
      </c>
      <c r="H32" s="153" t="s" ph="1">
        <v>5</v>
      </c>
      <c r="I32" s="152" t="s" ph="1">
        <v>43</v>
      </c>
      <c r="J32" s="97" t="s" ph="1">
        <v>4</v>
      </c>
      <c r="K32" s="153" t="s" ph="1">
        <v>5</v>
      </c>
      <c r="L32" s="152" t="s" ph="1">
        <v>43</v>
      </c>
      <c r="M32" s="97" t="s" ph="1">
        <v>4</v>
      </c>
      <c r="N32" s="153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2" t="s" ph="1">
        <v>43</v>
      </c>
      <c r="AB32" s="97" t="s" ph="1">
        <v>85</v>
      </c>
      <c r="AC32" s="15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348551.64004860003</v>
      </c>
      <c r="E33" s="190" ph="1">
        <f>M10+I10</f>
        <v>16549.556688000001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[[#This Row],[F25]]</f>
        <v>3880</v>
      </c>
      <c r="G33" s="216" ph="1">
        <f>N19</f>
        <v>29406.377418999997</v>
      </c>
      <c r="H33" s="190" ph="1">
        <f>M19</f>
        <v>4304.6998528000004</v>
      </c>
      <c r="I33" s="194" ph="1">
        <v>0</v>
      </c>
      <c r="J33" s="198" ph="1">
        <f>F10+O28</f>
        <v>324740.95942659996</v>
      </c>
      <c r="K33" s="190" ph="1">
        <f>O10+K10+E28+R28</f>
        <v>263427.72285453998</v>
      </c>
      <c r="L33" s="200" ph="1">
        <f>K19</f>
        <v>50338.154685560003</v>
      </c>
      <c r="M33" s="198" ph="1">
        <f>G10+H10+W28+S28+V28+E10+R19+P28+Q28</f>
        <v>1332640.7357107</v>
      </c>
      <c r="N33" s="190" ph="1">
        <f>L10+P10++G28+H28+AD19+AE19</f>
        <v>128533.0043728</v>
      </c>
      <c r="O33" s="194" ph="1">
        <f>G19</f>
        <v>22073.903700180002</v>
      </c>
      <c r="P33" s="198" ph="1">
        <f>L19</f>
        <v>8633.1751576000006</v>
      </c>
      <c r="Q33" s="190" ph="1">
        <f>J10+N10</f>
        <v>68499.317883700001</v>
      </c>
      <c r="R33" s="194" ph="1">
        <f>BE23</f>
        <v>890</v>
      </c>
      <c r="S33" s="198" ph="1">
        <f>X28</f>
        <v>163843.5705948</v>
      </c>
      <c r="T33" s="190" ph="1">
        <f>X19</f>
        <v>2803.2743995200008</v>
      </c>
      <c r="U33" s="179" ph="1">
        <f>BE21</f>
        <v>730</v>
      </c>
      <c r="V33" s="192" ph="1">
        <f ca="1">P19+Q19+S19+M28+N28+J28+D10+AC10+D19+E19+H19+J19+O19+V19+W19+K28+L28</f>
        <v>769492.10859355214</v>
      </c>
      <c r="W33" s="192" ph="1">
        <f>D28+F28+T28+I28</f>
        <v>111333.27065763201</v>
      </c>
      <c r="X33" s="194" ph="1">
        <f>BE29+BE31</f>
        <v>10200</v>
      </c>
      <c r="Y33" s="196" ph="1">
        <f>+Q10+R10+S10+T10+U10+V10+W10+X10+Y10</f>
        <v>210406.9588236</v>
      </c>
      <c r="Z33" s="177" ph="1">
        <f>T19+U19+Y28+Z10</f>
        <v>333497.75677815999</v>
      </c>
      <c r="AA33" s="179" ph="1">
        <f>BE19</f>
        <v>1440</v>
      </c>
      <c r="AB33" s="181" ph="1">
        <f>I19</f>
        <v>344.15420499999999</v>
      </c>
      <c r="AC33" s="183" ph="1">
        <f>AD10+AB19</f>
        <v>88685.334005800003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1" t="s" ph="1">
        <v>185</v>
      </c>
      <c r="AA36" s="151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342</v>
      </c>
      <c r="AI37" s="151" t="s" ph="1">
        <v>209</v>
      </c>
      <c r="AJ37" s="151" t="s" ph="1">
        <v>210</v>
      </c>
      <c r="AK37" s="151" t="s" ph="1">
        <v>211</v>
      </c>
      <c r="AM37" s="151" t="s" ph="1">
        <v>210</v>
      </c>
      <c r="AN37" s="151" t="s" ph="1">
        <v>211</v>
      </c>
      <c r="AO37" s="151" t="s" ph="1">
        <v>212</v>
      </c>
      <c r="AP37" s="151" t="s" ph="1">
        <v>210</v>
      </c>
      <c r="AQ37" s="151" t="s" ph="1">
        <v>211</v>
      </c>
      <c r="AR37" s="151" t="s" ph="1">
        <v>212</v>
      </c>
      <c r="AS37" s="151" t="s" ph="1">
        <v>210</v>
      </c>
      <c r="AT37" s="151" t="s" ph="1">
        <v>211</v>
      </c>
      <c r="AU37" s="151" t="s" ph="1">
        <v>212</v>
      </c>
      <c r="AV37" s="151" t="s" ph="1">
        <v>210</v>
      </c>
      <c r="AW37" s="151" t="s" ph="1">
        <v>211</v>
      </c>
      <c r="AX37" s="151" t="s" ph="1">
        <v>212</v>
      </c>
      <c r="AY37" s="151" t="s" ph="1">
        <v>211</v>
      </c>
      <c r="AZ37" s="151" t="s" ph="1">
        <v>213</v>
      </c>
      <c r="BD37" s="151" t="s" ph="1">
        <v>305</v>
      </c>
      <c r="BE37" s="15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339" priority="100">
      <formula>ABS(D$7-D$10)&gt;=1000</formula>
    </cfRule>
  </conditionalFormatting>
  <conditionalFormatting sqref="E4 E6:E11">
    <cfRule type="expression" dxfId="2338" priority="99">
      <formula>ABS(E$7-E$10)&gt;=1000</formula>
    </cfRule>
  </conditionalFormatting>
  <conditionalFormatting sqref="F4:F11">
    <cfRule type="expression" dxfId="2337" priority="98">
      <formula>ABS(F$7-F$10)&gt;=1000</formula>
    </cfRule>
  </conditionalFormatting>
  <conditionalFormatting sqref="G4:G11">
    <cfRule type="expression" dxfId="2336" priority="97">
      <formula>ABS(G$7-G$10)&gt;=1000</formula>
    </cfRule>
  </conditionalFormatting>
  <conditionalFormatting sqref="H4:H11">
    <cfRule type="expression" dxfId="2335" priority="96">
      <formula>ABS(H$7-H$10)&gt;=1000</formula>
    </cfRule>
  </conditionalFormatting>
  <conditionalFormatting sqref="I4:I11">
    <cfRule type="expression" dxfId="2334" priority="95">
      <formula>ABS(I$7-I$10)&gt;=1000</formula>
    </cfRule>
  </conditionalFormatting>
  <conditionalFormatting sqref="J4:J11">
    <cfRule type="expression" dxfId="2333" priority="94">
      <formula>ABS(J$7-J$10)&gt;=1000</formula>
    </cfRule>
  </conditionalFormatting>
  <conditionalFormatting sqref="K4:K11">
    <cfRule type="expression" dxfId="2332" priority="93">
      <formula>ABS(K$7-K$10)&gt;=1000</formula>
    </cfRule>
  </conditionalFormatting>
  <conditionalFormatting sqref="L4:L11">
    <cfRule type="expression" dxfId="2331" priority="92">
      <formula>ABS(L$7-L$10)&gt;=1000</formula>
    </cfRule>
  </conditionalFormatting>
  <conditionalFormatting sqref="M4 M6:M11">
    <cfRule type="expression" dxfId="2330" priority="91">
      <formula>ABS(M$7-M$10)&gt;=1000</formula>
    </cfRule>
  </conditionalFormatting>
  <conditionalFormatting sqref="N4 N6:N11">
    <cfRule type="expression" dxfId="2329" priority="90">
      <formula>ABS(N$7-N$10)&gt;=1000</formula>
    </cfRule>
  </conditionalFormatting>
  <conditionalFormatting sqref="O4 O6:O11">
    <cfRule type="expression" dxfId="2328" priority="89">
      <formula>ABS(O$7-O$10)&gt;=1000</formula>
    </cfRule>
  </conditionalFormatting>
  <conditionalFormatting sqref="P4 P6:P11">
    <cfRule type="expression" dxfId="2327" priority="88">
      <formula>ABS(P$7-P$10)&gt;=1000</formula>
    </cfRule>
  </conditionalFormatting>
  <conditionalFormatting sqref="Q4:Q11">
    <cfRule type="expression" dxfId="2326" priority="87">
      <formula>ABS(Q$7-Q$10)&gt;=1000</formula>
    </cfRule>
  </conditionalFormatting>
  <conditionalFormatting sqref="R4:R11">
    <cfRule type="expression" dxfId="2325" priority="86">
      <formula>ABS(R$7-R$10)&gt;=1000</formula>
    </cfRule>
  </conditionalFormatting>
  <conditionalFormatting sqref="S4:S11">
    <cfRule type="expression" dxfId="2324" priority="85">
      <formula>ABS(S$7-S$10)&gt;=1000</formula>
    </cfRule>
  </conditionalFormatting>
  <conditionalFormatting sqref="T4:T9 T11">
    <cfRule type="expression" dxfId="2323" priority="84">
      <formula>ABS(T$7-T$10)&gt;=1000</formula>
    </cfRule>
  </conditionalFormatting>
  <conditionalFormatting sqref="U4:U9 U11">
    <cfRule type="expression" dxfId="2322" priority="83">
      <formula>ABS(U$7-U$10)&gt;=1000</formula>
    </cfRule>
  </conditionalFormatting>
  <conditionalFormatting sqref="V4:V9 V11">
    <cfRule type="expression" dxfId="2321" priority="82">
      <formula>ABS(V$7-V$10)&gt;=1000</formula>
    </cfRule>
  </conditionalFormatting>
  <conditionalFormatting sqref="W4:W9 W11">
    <cfRule type="expression" dxfId="2320" priority="81">
      <formula>ABS(W$7-W$10)&gt;=1000</formula>
    </cfRule>
  </conditionalFormatting>
  <conditionalFormatting sqref="X4:X9 X11">
    <cfRule type="expression" dxfId="2319" priority="80">
      <formula>ABS(X$7-X$10)&gt;=1000</formula>
    </cfRule>
  </conditionalFormatting>
  <conditionalFormatting sqref="Y4:Y9 Y11">
    <cfRule type="expression" dxfId="2318" priority="79">
      <formula>ABS(Y$7-Y$10)&gt;=1000</formula>
    </cfRule>
  </conditionalFormatting>
  <conditionalFormatting sqref="Z4:Z11">
    <cfRule type="expression" dxfId="2317" priority="78">
      <formula>ABS(Z$7-Z$10)&gt;=1000</formula>
    </cfRule>
  </conditionalFormatting>
  <conditionalFormatting sqref="AA4:AA11">
    <cfRule type="expression" dxfId="2316" priority="77">
      <formula>ABS(AA$7-AA$10)&gt;=1000</formula>
    </cfRule>
  </conditionalFormatting>
  <conditionalFormatting sqref="AB4:AB11">
    <cfRule type="expression" dxfId="2315" priority="76">
      <formula>ABS(AB$7-AB$10)&gt;=1000</formula>
    </cfRule>
  </conditionalFormatting>
  <conditionalFormatting sqref="AC4 AC6:AC11">
    <cfRule type="expression" dxfId="2314" priority="75">
      <formula>ABS(AC$7-AC$10)&gt;=1000</formula>
    </cfRule>
  </conditionalFormatting>
  <conditionalFormatting sqref="AD4 AD6:AD11">
    <cfRule type="expression" dxfId="2313" priority="74">
      <formula>ABS(AD$7-AD$10)&gt;=1000</formula>
    </cfRule>
  </conditionalFormatting>
  <conditionalFormatting sqref="AE4 AE6:AE11">
    <cfRule type="expression" dxfId="2312" priority="73">
      <formula>ABS(AE$7-AE$10)&gt;=1000</formula>
    </cfRule>
  </conditionalFormatting>
  <conditionalFormatting sqref="D13:D20">
    <cfRule type="expression" dxfId="2311" priority="72">
      <formula>ABS(D$16-D$19)&gt;=1000</formula>
    </cfRule>
  </conditionalFormatting>
  <conditionalFormatting sqref="E13:E20">
    <cfRule type="expression" dxfId="2310" priority="71">
      <formula>ABS(E$16-E$19)&gt;=1000</formula>
    </cfRule>
  </conditionalFormatting>
  <conditionalFormatting sqref="F13 F15:F20">
    <cfRule type="expression" dxfId="2309" priority="70">
      <formula>ABS(F$16-F$19)&gt;=1000</formula>
    </cfRule>
  </conditionalFormatting>
  <conditionalFormatting sqref="G13:G20">
    <cfRule type="expression" dxfId="2308" priority="69">
      <formula>ABS(G$16-G$19)&gt;=1000</formula>
    </cfRule>
  </conditionalFormatting>
  <conditionalFormatting sqref="H13 H15:H20">
    <cfRule type="expression" dxfId="2307" priority="68">
      <formula>ABS(H$16-H$19)&gt;=1000</formula>
    </cfRule>
  </conditionalFormatting>
  <conditionalFormatting sqref="I13:I20">
    <cfRule type="expression" dxfId="2306" priority="67">
      <formula>ABS(I$16-I$19)&gt;=1000</formula>
    </cfRule>
  </conditionalFormatting>
  <conditionalFormatting sqref="J13:J20">
    <cfRule type="expression" dxfId="2305" priority="66">
      <formula>ABS(J$16-J$19)&gt;=1000</formula>
    </cfRule>
  </conditionalFormatting>
  <conditionalFormatting sqref="L13:L20">
    <cfRule type="expression" dxfId="2304" priority="65">
      <formula>ABS(L$16-L$19)&gt;=1000</formula>
    </cfRule>
  </conditionalFormatting>
  <conditionalFormatting sqref="M13 M15 M17:M18 M20">
    <cfRule type="expression" dxfId="2303" priority="64">
      <formula>ABS(M$16-M$19)&gt;=1000</formula>
    </cfRule>
  </conditionalFormatting>
  <conditionalFormatting sqref="N13:N20">
    <cfRule type="expression" dxfId="2302" priority="63">
      <formula>ABS(N$16-N$19)&gt;=1000</formula>
    </cfRule>
  </conditionalFormatting>
  <conditionalFormatting sqref="O13:O20">
    <cfRule type="expression" dxfId="2301" priority="62">
      <formula>ABS(O$16-O$19)&gt;=1000</formula>
    </cfRule>
  </conditionalFormatting>
  <conditionalFormatting sqref="P13:P20">
    <cfRule type="expression" dxfId="2300" priority="61">
      <formula>ABS(P$16-P$19)&gt;=1000</formula>
    </cfRule>
  </conditionalFormatting>
  <conditionalFormatting sqref="Q13 Q15:Q20">
    <cfRule type="expression" dxfId="2299" priority="60">
      <formula>ABS(Q$16-Q$19)&gt;=1000</formula>
    </cfRule>
  </conditionalFormatting>
  <conditionalFormatting sqref="R13:R20">
    <cfRule type="expression" dxfId="2298" priority="59">
      <formula>ABS(R$16-R$19)&gt;=1000</formula>
    </cfRule>
  </conditionalFormatting>
  <conditionalFormatting sqref="S13:S20">
    <cfRule type="expression" dxfId="2297" priority="58">
      <formula>ABS(S$16-S$19)&gt;=1000</formula>
    </cfRule>
  </conditionalFormatting>
  <conditionalFormatting sqref="T13:T20">
    <cfRule type="expression" dxfId="2296" priority="57">
      <formula>ABS(T$16-T$19)&gt;=1000</formula>
    </cfRule>
  </conditionalFormatting>
  <conditionalFormatting sqref="U13:U20">
    <cfRule type="expression" dxfId="2295" priority="56">
      <formula>ABS(U$16-U$19)&gt;=1000</formula>
    </cfRule>
  </conditionalFormatting>
  <conditionalFormatting sqref="V13:V20">
    <cfRule type="expression" dxfId="2294" priority="55">
      <formula>ABS(V$16-V$19)&gt;=1000</formula>
    </cfRule>
  </conditionalFormatting>
  <conditionalFormatting sqref="W13 W20 W15:W18">
    <cfRule type="expression" dxfId="2293" priority="54">
      <formula>ABS(W$16-W$19)&gt;=1000</formula>
    </cfRule>
  </conditionalFormatting>
  <conditionalFormatting sqref="X13 X15:X20 Y19">
    <cfRule type="expression" dxfId="2292" priority="53">
      <formula>ABS(X$16-X$19)&gt;=1000</formula>
    </cfRule>
  </conditionalFormatting>
  <conditionalFormatting sqref="Y13 Y15:Y18 Y20">
    <cfRule type="expression" dxfId="2291" priority="52">
      <formula>ABS(Y$16-Y$19)&gt;=1000</formula>
    </cfRule>
  </conditionalFormatting>
  <conditionalFormatting sqref="Z13:Z20">
    <cfRule type="expression" dxfId="2290" priority="51">
      <formula>ABS(Z$16-Z$19)&gt;=1000</formula>
    </cfRule>
  </conditionalFormatting>
  <conditionalFormatting sqref="AA13:AA20">
    <cfRule type="expression" dxfId="2289" priority="50">
      <formula>ABS(AA$16-AA$19)&gt;=1000</formula>
    </cfRule>
  </conditionalFormatting>
  <conditionalFormatting sqref="AB13 AB15:AB20">
    <cfRule type="expression" dxfId="2288" priority="49">
      <formula>ABS(AB$16-AB$19)&gt;=1000</formula>
    </cfRule>
  </conditionalFormatting>
  <conditionalFormatting sqref="AC13 AC15:AC20">
    <cfRule type="expression" dxfId="2287" priority="48">
      <formula>ABS(AC$16-AC$19)&gt;=1000</formula>
    </cfRule>
  </conditionalFormatting>
  <conditionalFormatting sqref="AD13:AD20">
    <cfRule type="expression" dxfId="2286" priority="47">
      <formula>ABS(AD$16-AD$19)&gt;=1000</formula>
    </cfRule>
  </conditionalFormatting>
  <conditionalFormatting sqref="AE13:AE20">
    <cfRule type="expression" dxfId="2285" priority="46">
      <formula>ABS(AE$16-AE$19)&gt;=1000</formula>
    </cfRule>
  </conditionalFormatting>
  <conditionalFormatting sqref="D22:D29">
    <cfRule type="expression" dxfId="2284" priority="45">
      <formula>ABS(D$25-D$28)&gt;=1000</formula>
    </cfRule>
  </conditionalFormatting>
  <conditionalFormatting sqref="E22:E29">
    <cfRule type="expression" dxfId="2283" priority="44">
      <formula>ABS(E$25-E$28)&gt;=1000</formula>
    </cfRule>
  </conditionalFormatting>
  <conditionalFormatting sqref="F22:F29">
    <cfRule type="expression" dxfId="2282" priority="43">
      <formula>ABS(F$25-F$28)&gt;=1000</formula>
    </cfRule>
  </conditionalFormatting>
  <conditionalFormatting sqref="G22:G29">
    <cfRule type="expression" dxfId="2281" priority="42">
      <formula>ABS(G$25-G$28)&gt;=1000</formula>
    </cfRule>
  </conditionalFormatting>
  <conditionalFormatting sqref="H22:H29">
    <cfRule type="expression" dxfId="2280" priority="41">
      <formula>ABS(H$25-H$28)&gt;=1000</formula>
    </cfRule>
  </conditionalFormatting>
  <conditionalFormatting sqref="I22 I24:I29">
    <cfRule type="expression" dxfId="2279" priority="40">
      <formula>ABS(I$25-I$28)&gt;=1000</formula>
    </cfRule>
  </conditionalFormatting>
  <conditionalFormatting sqref="J22:J29 K22">
    <cfRule type="expression" dxfId="2278" priority="39">
      <formula>ABS(J$25-J$28)&gt;=1000</formula>
    </cfRule>
  </conditionalFormatting>
  <conditionalFormatting sqref="K23:K29 L25 L28">
    <cfRule type="expression" dxfId="2277" priority="38">
      <formula>ABS(K$25-K$28)&gt;=1000</formula>
    </cfRule>
  </conditionalFormatting>
  <conditionalFormatting sqref="L22 L26:L27 L29 L24">
    <cfRule type="expression" dxfId="2276" priority="37">
      <formula>ABS(L$25-L$28)&gt;=1000</formula>
    </cfRule>
  </conditionalFormatting>
  <conditionalFormatting sqref="M22:M29">
    <cfRule type="expression" dxfId="2275" priority="36">
      <formula>ABS(M$25-M$28)&gt;=1000</formula>
    </cfRule>
  </conditionalFormatting>
  <conditionalFormatting sqref="N22:N29">
    <cfRule type="expression" dxfId="2274" priority="35">
      <formula>ABS(N$25-N$28)&gt;=1000</formula>
    </cfRule>
  </conditionalFormatting>
  <conditionalFormatting sqref="O22:O29">
    <cfRule type="expression" dxfId="2273" priority="34">
      <formula>ABS(O$25-O$28)&gt;=1000</formula>
    </cfRule>
  </conditionalFormatting>
  <conditionalFormatting sqref="P22:P29">
    <cfRule type="expression" dxfId="2272" priority="33">
      <formula>ABS(P$25-P$28)&gt;=1000</formula>
    </cfRule>
  </conditionalFormatting>
  <conditionalFormatting sqref="Q22:Q29">
    <cfRule type="expression" dxfId="2271" priority="32">
      <formula>ABS(Q$25-Q$28)&gt;=1000</formula>
    </cfRule>
  </conditionalFormatting>
  <conditionalFormatting sqref="R22:R29">
    <cfRule type="expression" dxfId="2270" priority="31">
      <formula>ABS(R$25-R$28)&gt;=1000</formula>
    </cfRule>
  </conditionalFormatting>
  <conditionalFormatting sqref="S22:S29">
    <cfRule type="expression" dxfId="2269" priority="30">
      <formula>ABS(S$25-S$28)&gt;=1000</formula>
    </cfRule>
  </conditionalFormatting>
  <conditionalFormatting sqref="T22:T29">
    <cfRule type="expression" dxfId="2268" priority="29">
      <formula>ABS(T$25-T$28)&gt;=1000</formula>
    </cfRule>
  </conditionalFormatting>
  <conditionalFormatting sqref="U22:U29">
    <cfRule type="expression" dxfId="2267" priority="28">
      <formula>ABS(U$25-U$28)&gt;=1000</formula>
    </cfRule>
  </conditionalFormatting>
  <conditionalFormatting sqref="V22:V29">
    <cfRule type="expression" dxfId="2266" priority="27">
      <formula>ABS(V$25-V$28)&gt;=1000</formula>
    </cfRule>
  </conditionalFormatting>
  <conditionalFormatting sqref="W22:W29">
    <cfRule type="expression" dxfId="2265" priority="26">
      <formula>ABS(W$25-W$28)&gt;=1000</formula>
    </cfRule>
  </conditionalFormatting>
  <conditionalFormatting sqref="X22:X29">
    <cfRule type="expression" dxfId="2264" priority="25">
      <formula>ABS(X$25-X$28)&gt;=1000</formula>
    </cfRule>
  </conditionalFormatting>
  <conditionalFormatting sqref="Y22:Y29">
    <cfRule type="expression" dxfId="2263" priority="24">
      <formula>ABS(Y$25-Y$28)&gt;=1000</formula>
    </cfRule>
  </conditionalFormatting>
  <conditionalFormatting sqref="I23">
    <cfRule type="expression" dxfId="2262" priority="23">
      <formula>ABS(I$25-I$28)&gt;=1000</formula>
    </cfRule>
  </conditionalFormatting>
  <conditionalFormatting sqref="Q14">
    <cfRule type="expression" dxfId="2261" priority="22">
      <formula>ABS(Q$16-Q$19)&gt;=1000</formula>
    </cfRule>
  </conditionalFormatting>
  <conditionalFormatting sqref="W14">
    <cfRule type="expression" dxfId="2260" priority="21">
      <formula>ABS(W$16-W$19)&gt;=1000</formula>
    </cfRule>
  </conditionalFormatting>
  <conditionalFormatting sqref="X14">
    <cfRule type="expression" dxfId="2259" priority="20">
      <formula>ABS(X$16-X$19)&gt;=1000</formula>
    </cfRule>
  </conditionalFormatting>
  <conditionalFormatting sqref="T10:Y10">
    <cfRule type="expression" dxfId="2258" priority="19">
      <formula>ABS(T$7-T$10)&gt;=1000</formula>
    </cfRule>
  </conditionalFormatting>
  <conditionalFormatting sqref="W19">
    <cfRule type="expression" dxfId="2257" priority="18">
      <formula>ABS(W$16-W$19)&gt;=1000</formula>
    </cfRule>
  </conditionalFormatting>
  <conditionalFormatting sqref="AC5">
    <cfRule type="expression" dxfId="2256" priority="17">
      <formula>ABS(AC$7-AC$10)&gt;=1000</formula>
    </cfRule>
  </conditionalFormatting>
  <conditionalFormatting sqref="M14">
    <cfRule type="expression" dxfId="2255" priority="16">
      <formula>ABS(M$16-M$19)&gt;=1000</formula>
    </cfRule>
  </conditionalFormatting>
  <conditionalFormatting sqref="M16">
    <cfRule type="expression" dxfId="2254" priority="15">
      <formula>ABS(M$16-M$19)&gt;=1000</formula>
    </cfRule>
  </conditionalFormatting>
  <conditionalFormatting sqref="M19">
    <cfRule type="expression" dxfId="2253" priority="14">
      <formula>ABS(M$16-M$19)&gt;=1000</formula>
    </cfRule>
  </conditionalFormatting>
  <conditionalFormatting sqref="K13:K20">
    <cfRule type="expression" dxfId="2252" priority="13">
      <formula>ABS(K$16-K$19)&gt;=1000</formula>
    </cfRule>
  </conditionalFormatting>
  <conditionalFormatting sqref="E5">
    <cfRule type="expression" dxfId="2251" priority="12">
      <formula>ABS(E$7-E$10)&gt;=1000</formula>
    </cfRule>
  </conditionalFormatting>
  <conditionalFormatting sqref="AB14:AC14">
    <cfRule type="expression" dxfId="2250" priority="11">
      <formula>ABS(AB$16-AB$19)&gt;=1000</formula>
    </cfRule>
  </conditionalFormatting>
  <conditionalFormatting sqref="M5">
    <cfRule type="expression" dxfId="2249" priority="10">
      <formula>ABS(M$7-M$10)&gt;=1000</formula>
    </cfRule>
  </conditionalFormatting>
  <conditionalFormatting sqref="N5">
    <cfRule type="expression" dxfId="2248" priority="9">
      <formula>ABS(N$7-N$10)&gt;=1000</formula>
    </cfRule>
  </conditionalFormatting>
  <conditionalFormatting sqref="O5">
    <cfRule type="expression" dxfId="2247" priority="8">
      <formula>ABS(O$7-O$10)&gt;=1000</formula>
    </cfRule>
  </conditionalFormatting>
  <conditionalFormatting sqref="P5">
    <cfRule type="expression" dxfId="2246" priority="7">
      <formula>ABS(P$7-P$10)&gt;=1000</formula>
    </cfRule>
  </conditionalFormatting>
  <conditionalFormatting sqref="L23">
    <cfRule type="expression" dxfId="2245" priority="6">
      <formula>ABS(L$25-L$28)&gt;=1000</formula>
    </cfRule>
  </conditionalFormatting>
  <conditionalFormatting sqref="Y14">
    <cfRule type="expression" dxfId="2244" priority="5">
      <formula>ABS(Y$16-Y$19)&gt;=1000</formula>
    </cfRule>
  </conditionalFormatting>
  <conditionalFormatting sqref="F14">
    <cfRule type="expression" dxfId="2243" priority="4">
      <formula>ABS(F$16-F$19)&gt;=1000</formula>
    </cfRule>
  </conditionalFormatting>
  <conditionalFormatting sqref="H14">
    <cfRule type="expression" dxfId="2242" priority="3">
      <formula>ABS(H$16-H$19)&gt;=1000</formula>
    </cfRule>
  </conditionalFormatting>
  <conditionalFormatting sqref="AD5">
    <cfRule type="expression" dxfId="2241" priority="2">
      <formula>ABS(AD$7-AD$10)&gt;=1000</formula>
    </cfRule>
  </conditionalFormatting>
  <conditionalFormatting sqref="AE5">
    <cfRule type="expression" dxfId="224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46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83">
    <pageSetUpPr fitToPage="1"/>
  </sheetPr>
  <dimension ref="A1:CU223"/>
  <sheetViews>
    <sheetView view="pageBreakPreview" topLeftCell="A4" zoomScale="59" zoomScaleNormal="100" zoomScaleSheetLayoutView="59" workbookViewId="0">
      <selection activeCell="B2" sqref="B2:AE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46149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3" t="s" ph="1">
        <v>177</v>
      </c>
      <c r="D6" s="71">
        <v>7080</v>
      </c>
      <c r="E6" s="71">
        <v>7270</v>
      </c>
      <c r="F6" s="71">
        <v>5827</v>
      </c>
      <c r="G6" s="71">
        <v>5067</v>
      </c>
      <c r="H6" s="71">
        <v>7390</v>
      </c>
      <c r="I6" s="71">
        <v>0</v>
      </c>
      <c r="J6" s="71">
        <v>6.31</v>
      </c>
      <c r="K6" s="71">
        <v>7.39</v>
      </c>
      <c r="L6" s="71">
        <v>26.86</v>
      </c>
      <c r="M6" s="71">
        <v>489</v>
      </c>
      <c r="N6" s="71">
        <v>2583</v>
      </c>
      <c r="O6" s="71">
        <v>3162</v>
      </c>
      <c r="P6" s="71">
        <v>1041</v>
      </c>
      <c r="Q6" s="71">
        <v>0</v>
      </c>
      <c r="R6" s="71">
        <v>0</v>
      </c>
      <c r="S6" s="71">
        <v>1372</v>
      </c>
      <c r="T6" s="71">
        <v>7139</v>
      </c>
      <c r="U6" s="71">
        <v>7029</v>
      </c>
      <c r="V6" s="71">
        <v>6745</v>
      </c>
      <c r="W6" s="71">
        <v>2763</v>
      </c>
      <c r="X6" s="71">
        <v>0</v>
      </c>
      <c r="Y6" s="71">
        <v>2112</v>
      </c>
      <c r="Z6" s="71">
        <v>5995</v>
      </c>
      <c r="AA6" s="71">
        <v>6646</v>
      </c>
      <c r="AB6" s="71">
        <v>5775</v>
      </c>
      <c r="AC6" s="71">
        <v>5830</v>
      </c>
      <c r="AD6" s="71">
        <v>1680</v>
      </c>
      <c r="AE6" s="71">
        <v>4442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222765.97384799999</v>
      </c>
      <c r="E7" s="73" ph="1">
        <f>E6*51.53*LOOKUP(E8,密度!$A$2:$A$50,密度!$B$2:$B$50)</f>
        <v>293067.65113000001</v>
      </c>
      <c r="F7" s="73" ph="1">
        <f>F6*33.183*LOOKUP(F8,密度!$A$2:$A$50,密度!$C$2:$C$50)</f>
        <v>214703.9914464</v>
      </c>
      <c r="G7" s="73" ph="1">
        <f xml:space="preserve"> (G6+2)*51.53*LOOKUP(G8,密度!$A$2:$A$50,密度!$B$2:$B$50)</f>
        <v>204576.20242400002</v>
      </c>
      <c r="H7" s="73" ph="1">
        <f>(H6)*51.53*LOOKUP(H8,密度!$A$2:$A$50,密度!$B$2:$B$50)</f>
        <v>298247.80744</v>
      </c>
      <c r="I7" s="73" ph="1">
        <f>I6*290.8*1.0267</f>
        <v>0</v>
      </c>
      <c r="J7" s="73" ph="1">
        <f>J6*290.8*0.7892</f>
        <v>1448.1409615999999</v>
      </c>
      <c r="K7" s="73" ph="1">
        <f>K6*290.8*1.1126</f>
        <v>2390.9907512000004</v>
      </c>
      <c r="L7" s="73" ph="1">
        <f>L6*290.8*0.777</f>
        <v>6069.0599760000005</v>
      </c>
      <c r="M7" s="73" ph="1">
        <f>M6*33.183*LOOKUP(M8,密度!$A$2:$A$50,密度!$D$2:$D$50)</f>
        <v>16674.338041200001</v>
      </c>
      <c r="N7" s="73" ph="1">
        <f>N6*33.183*LOOKUP(N8,密度!$A$2:$A$50,密度!$E$2:$E$50)</f>
        <v>67129.394824799994</v>
      </c>
      <c r="O7" s="73" ph="1">
        <f>O6*20.428*LOOKUP(O8,密度!$A$2:$A$50,密度!$C$2:$C$50)</f>
        <v>71530.660286400001</v>
      </c>
      <c r="P7" s="73" ph="1">
        <f>P6*51.53*LOOKUP(P8,密度!$A$2:$A$50,密度!$B$2:$B$50)</f>
        <v>41964.707678999999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9145.3264055999989</v>
      </c>
      <c r="T7" s="73" ph="1">
        <f>T6*1.5*1.5*3.1416*LOOKUP(T8,密度!$A$2:$A$50,密度!$L$2:$L$50)</f>
        <v>47586.359482199994</v>
      </c>
      <c r="U7" s="73" ph="1">
        <f>U6*1.5*1.5*3.1416*LOOKUP(U8,密度!$A$2:$A$50,密度!$L$2:$L$50)</f>
        <v>46654.392846599992</v>
      </c>
      <c r="V7" s="73" ph="1">
        <f>V6*1.5*1.5*3.1416*LOOKUP(V8,密度!$A$2:$A$50,密度!$L$2:$L$50)</f>
        <v>44674.011459000001</v>
      </c>
      <c r="W7" s="73" ph="1">
        <f>W6*1.5*1.5*3.1416*LOOKUP(W8,密度!$A$2:$A$50,密度!$L$2:$L$50)</f>
        <v>18339.178750199997</v>
      </c>
      <c r="X7" s="73" ph="1">
        <f>X6*1.5*1.5*3.1416*LOOKUP(X8,密度!$A$2:$A$50,密度!$L$2:$L$50)</f>
        <v>0</v>
      </c>
      <c r="Y7" s="73" ph="1">
        <f>Y6*1.5*1.5*3.1416*LOOKUP(Y8,密度!$A$2:$A$50,密度!$L$2:$L$50)</f>
        <v>14003.292441599999</v>
      </c>
      <c r="Z7" s="73" ph="1">
        <f>Z6*33.183*LOOKUP(Z8,密度!$A$2:$A$50,密度!$L$2:$L$50)</f>
        <v>186598.29572999998</v>
      </c>
      <c r="AA7" s="73" ph="1">
        <f>AA6*33.183*LOOKUP(AA8,密度!$A$2:$A$50,密度!$D$2:$D$50)</f>
        <v>227039.97743100001</v>
      </c>
      <c r="AB7" s="73" ph="1">
        <f>AB6*20.428*LOOKUP(AB8,密度!$A$2:$A$50,密度!$D$2:$D$50)</f>
        <v>121876.56327</v>
      </c>
      <c r="AC7" s="73" ph="1">
        <f>AC6*51.53*LOOKUP(AC8,密度!$A$2:$A$50,密度!$Q$2:$Q$50)</f>
        <v>285768.42147700005</v>
      </c>
      <c r="AD7" s="73" ph="1">
        <f>AD6*20.428*LOOKUP(AD8,密度!$A$2:$A$50,密度!$V$2:$V$50)</f>
        <v>32863.912704000002</v>
      </c>
      <c r="AE7" s="73" ph="1">
        <f>AE6*20.428</f>
        <v>90741.176000000007</v>
      </c>
    </row>
    <row r="8" spans="1:99" ph="1">
      <c r="B8" s="241" ph="1"/>
      <c r="C8" s="68" t="s" ph="1">
        <v>179</v>
      </c>
      <c r="D8" s="74">
        <v>23</v>
      </c>
      <c r="E8" s="74">
        <v>22</v>
      </c>
      <c r="F8" s="74">
        <v>23</v>
      </c>
      <c r="G8" s="74">
        <v>21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25</v>
      </c>
      <c r="O8" s="74">
        <v>27</v>
      </c>
      <c r="P8" s="74">
        <v>22</v>
      </c>
      <c r="Q8" s="74">
        <v>28</v>
      </c>
      <c r="R8" s="74">
        <v>26</v>
      </c>
      <c r="S8" s="74">
        <v>19</v>
      </c>
      <c r="T8" s="74">
        <v>19</v>
      </c>
      <c r="U8" s="74">
        <v>23</v>
      </c>
      <c r="V8" s="74">
        <v>25</v>
      </c>
      <c r="W8" s="74">
        <v>23</v>
      </c>
      <c r="X8" s="74">
        <v>16</v>
      </c>
      <c r="Y8" s="74">
        <v>24</v>
      </c>
      <c r="Z8" s="74">
        <v>24</v>
      </c>
      <c r="AA8" s="74">
        <v>22</v>
      </c>
      <c r="AB8" s="74">
        <v>18</v>
      </c>
      <c r="AC8" s="74">
        <v>19</v>
      </c>
      <c r="AD8" s="74">
        <v>32</v>
      </c>
      <c r="AE8" s="74">
        <v>26</v>
      </c>
    </row>
    <row r="9" spans="1:99" ht="26.4" ph="1">
      <c r="B9" s="241" ph="1">
        <v>0.66666666666666663</v>
      </c>
      <c r="C9" s="153" t="s" ph="1">
        <v>180</v>
      </c>
      <c r="D9" s="71">
        <v>7084</v>
      </c>
      <c r="E9" s="71">
        <v>8248</v>
      </c>
      <c r="F9" s="71">
        <v>5829</v>
      </c>
      <c r="G9" s="71">
        <v>4195</v>
      </c>
      <c r="H9" s="71">
        <v>7415</v>
      </c>
      <c r="I9" s="71">
        <v>0</v>
      </c>
      <c r="J9" s="71">
        <v>6.35</v>
      </c>
      <c r="K9" s="71">
        <v>7.38</v>
      </c>
      <c r="L9" s="71">
        <v>26.88</v>
      </c>
      <c r="M9" s="71">
        <v>487</v>
      </c>
      <c r="N9" s="71">
        <v>2585</v>
      </c>
      <c r="O9" s="71">
        <v>3163</v>
      </c>
      <c r="P9" s="71">
        <v>493</v>
      </c>
      <c r="Q9" s="71">
        <v>0</v>
      </c>
      <c r="R9" s="71">
        <v>0</v>
      </c>
      <c r="S9" s="71">
        <v>0</v>
      </c>
      <c r="T9" s="71">
        <v>5446</v>
      </c>
      <c r="U9" s="71">
        <v>7038</v>
      </c>
      <c r="V9" s="71">
        <v>6755</v>
      </c>
      <c r="W9" s="71">
        <v>7040</v>
      </c>
      <c r="X9" s="71">
        <v>1266</v>
      </c>
      <c r="Y9" s="71">
        <v>2765</v>
      </c>
      <c r="Z9" s="71">
        <v>2936</v>
      </c>
      <c r="AA9" s="71">
        <v>6651</v>
      </c>
      <c r="AB9" s="71">
        <v>5775</v>
      </c>
      <c r="AC9" s="71">
        <v>5003</v>
      </c>
      <c r="AD9" s="71">
        <v>1679</v>
      </c>
      <c r="AE9" s="71">
        <v>4537</v>
      </c>
    </row>
    <row r="10" spans="1:99" s="72" customFormat="1" ht="22.2" ph="1">
      <c r="B10" s="241" ph="1"/>
      <c r="C10" s="153" t="s" ph="1">
        <v>178</v>
      </c>
      <c r="D10" s="73" ph="1">
        <f>D9*33.183*LOOKUP(D11,密度!$A$2:$A$50,密度!$Q$2:$Q$50)</f>
        <v>222381.73196316001</v>
      </c>
      <c r="E10" s="73" ph="1">
        <f>E9*51.53*LOOKUP(E11,密度!$A$2:$A$50,密度!$B$2:$B$50)</f>
        <v>330962.63792799995</v>
      </c>
      <c r="F10" s="73" ph="1">
        <f>F9*33.183*LOOKUP(F11,密度!$A$2:$A$50,密度!$C$2:$C$50)</f>
        <v>214622.94528719998</v>
      </c>
      <c r="G10" s="73" ph="1">
        <f xml:space="preserve"> (G9+2)*51.53*LOOKUP(G11,密度!$A$2:$A$50,密度!$B$2:$B$50)</f>
        <v>168042.88557000001</v>
      </c>
      <c r="H10" s="73" ph="1">
        <f>(H9)*51.53*LOOKUP(H11,密度!$A$2:$A$50,密度!$B$2:$B$50)</f>
        <v>296887.77614999999</v>
      </c>
      <c r="I10" s="73" ph="1">
        <f>I9*290.8*1.0267</f>
        <v>0</v>
      </c>
      <c r="J10" s="73" ph="1">
        <f>J9*290.8*0.7892</f>
        <v>1457.3209360000001</v>
      </c>
      <c r="K10" s="73" ph="1">
        <f>K9*290.8*1.1126</f>
        <v>2387.7553104000003</v>
      </c>
      <c r="L10" s="73" ph="1">
        <f>L9*290.8*0.777</f>
        <v>6073.5790079999997</v>
      </c>
      <c r="M10" s="73" ph="1">
        <f>M9*33.183*LOOKUP(M11,密度!$A$2:$A$50,密度!$D$2:$D$50)</f>
        <v>16501.099553099997</v>
      </c>
      <c r="N10" s="73" ph="1">
        <f>N9*33.183*LOOKUP(N11,密度!$A$2:$A$50,密度!$E$2:$E$50)</f>
        <v>66992.660954999999</v>
      </c>
      <c r="O10" s="73" ph="1">
        <f>O9*20.428*LOOKUP(O11,密度!$A$2:$A$50,密度!$C$2:$C$50)</f>
        <v>71340.056832400005</v>
      </c>
      <c r="P10" s="73" ph="1">
        <f>P9*51.53*LOOKUP(P11,密度!$A$2:$A$50,密度!$B$2:$B$50)</f>
        <v>19782.320623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36224.355459599996</v>
      </c>
      <c r="U10" s="73" ph="1">
        <f>U9*1.5*1.5*3.1416*LOOKUP(U11,密度!$A$2:$A$50,密度!$L$2:$L$50)</f>
        <v>46614.6319716</v>
      </c>
      <c r="V10" s="73" ph="1">
        <f>V9*1.5*1.5*3.1416*LOOKUP(V11,密度!$A$2:$A$50,密度!$L$2:$L$50)</f>
        <v>44644.747454999997</v>
      </c>
      <c r="W10" s="73" ph="1">
        <f>W9*1.5*1.5*3.1416*LOOKUP(W11,密度!$A$2:$A$50,密度!$L$2:$L$50)</f>
        <v>46578.115583999999</v>
      </c>
      <c r="X10" s="73" ph="1">
        <f>X9*1.5*1.5*3.1416*LOOKUP(X11,密度!$A$2:$A$50,密度!$L$2:$L$50)</f>
        <v>8411.9167439999983</v>
      </c>
      <c r="Y10" s="73" ph="1">
        <f>Y9*1.5*1.5*3.1416*LOOKUP(Y11,密度!$A$2:$A$50,密度!$L$2:$L$50)</f>
        <v>18332.908901999999</v>
      </c>
      <c r="Z10" s="73" ph="1">
        <f>Z9*33.183*LOOKUP(Z11,密度!$A$2:$A$50,密度!$L$2:$L$50)</f>
        <v>91190.069568000006</v>
      </c>
      <c r="AA10" s="73" ph="1">
        <f>AA9*33.183*LOOKUP(AA11,密度!$A$2:$A$50,密度!$D$2:$D$50)</f>
        <v>227012.1568038</v>
      </c>
      <c r="AB10" s="73" ph="1">
        <f>AB9*20.428*LOOKUP(AB11,密度!$A$2:$A$50,密度!$D$2:$D$50)</f>
        <v>121569.83685000001</v>
      </c>
      <c r="AC10" s="73" ph="1">
        <f>AC9*51.53*LOOKUP(AC11,密度!$A$2:$A$50,密度!$Q$2:$Q$50)</f>
        <v>244262.11488730001</v>
      </c>
      <c r="AD10" s="73" ph="1">
        <f>AD9*20.428*LOOKUP(AD11,密度!$A$2:$A$50,密度!$V$2:$V$50)</f>
        <v>32844.350851200004</v>
      </c>
      <c r="AE10" s="73" ph="1">
        <f>AE9*20.428</f>
        <v>92681.83600000001</v>
      </c>
    </row>
    <row r="11" spans="1:99" ph="1">
      <c r="A11" s="64" t="s" ph="1">
        <v>162</v>
      </c>
      <c r="B11" s="241" ph="1"/>
      <c r="C11" s="153" t="s" ph="1">
        <v>179</v>
      </c>
      <c r="D11" s="74">
        <v>26</v>
      </c>
      <c r="E11" s="74">
        <v>26</v>
      </c>
      <c r="F11" s="74">
        <v>24</v>
      </c>
      <c r="G11" s="74">
        <v>28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27</v>
      </c>
      <c r="O11" s="74">
        <v>31</v>
      </c>
      <c r="P11" s="74">
        <v>26</v>
      </c>
      <c r="Q11" s="74">
        <v>35</v>
      </c>
      <c r="R11" s="74">
        <v>35</v>
      </c>
      <c r="S11" s="74">
        <v>25</v>
      </c>
      <c r="T11" s="74">
        <v>21</v>
      </c>
      <c r="U11" s="74">
        <v>25</v>
      </c>
      <c r="V11" s="74">
        <v>27</v>
      </c>
      <c r="W11" s="74">
        <v>26</v>
      </c>
      <c r="X11" s="74">
        <v>22</v>
      </c>
      <c r="Y11" s="74">
        <v>24</v>
      </c>
      <c r="Z11" s="74">
        <v>26</v>
      </c>
      <c r="AA11" s="74">
        <v>23</v>
      </c>
      <c r="AB11" s="74">
        <v>21</v>
      </c>
      <c r="AC11" s="74">
        <v>24</v>
      </c>
      <c r="AD11" s="74">
        <v>35</v>
      </c>
      <c r="AE11" s="74">
        <v>26</v>
      </c>
    </row>
    <row r="12" spans="1:99" ht="9.9" customHeight="1" ph="1"/>
    <row r="13" spans="1:99" s="72" customFormat="1" ht="29.25" customHeight="1" ph="1">
      <c r="B13" s="218" t="s" ph="1">
        <v>37</v>
      </c>
      <c r="C13" s="15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3" t="s" ph="1">
        <v>177</v>
      </c>
      <c r="D15" s="78">
        <v>3425</v>
      </c>
      <c r="E15" s="78">
        <v>5902</v>
      </c>
      <c r="F15" s="78">
        <v>2554</v>
      </c>
      <c r="G15" s="78">
        <v>1491</v>
      </c>
      <c r="H15" s="78">
        <v>0</v>
      </c>
      <c r="I15" s="78">
        <v>33</v>
      </c>
      <c r="J15" s="78">
        <v>2410</v>
      </c>
      <c r="K15" s="78">
        <v>5005</v>
      </c>
      <c r="L15" s="78">
        <v>1218</v>
      </c>
      <c r="M15" s="78">
        <v>542</v>
      </c>
      <c r="N15" s="78">
        <v>3695</v>
      </c>
      <c r="O15" s="78">
        <v>1954</v>
      </c>
      <c r="P15" s="78">
        <v>0</v>
      </c>
      <c r="Q15" s="78">
        <v>0</v>
      </c>
      <c r="R15" s="78">
        <v>0</v>
      </c>
      <c r="S15" s="78">
        <v>6456</v>
      </c>
      <c r="T15" s="78">
        <v>3224</v>
      </c>
      <c r="U15" s="78">
        <v>1703</v>
      </c>
      <c r="V15" s="78">
        <v>-817</v>
      </c>
      <c r="W15" s="71">
        <v>-173</v>
      </c>
      <c r="X15" s="78">
        <v>-321</v>
      </c>
      <c r="Y15" s="106">
        <v>-9906</v>
      </c>
      <c r="Z15" s="78">
        <v>0</v>
      </c>
      <c r="AA15" s="78">
        <v>272</v>
      </c>
      <c r="AB15" s="78" ph="1">
        <v>7148</v>
      </c>
      <c r="AC15" s="78" ph="1">
        <v>841</v>
      </c>
      <c r="AD15" s="78">
        <v>5.45</v>
      </c>
      <c r="AE15" s="78">
        <v>52.88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3" t="s" ph="1">
        <v>178</v>
      </c>
      <c r="D16" s="73" ph="1">
        <f>D15*7.0686*LOOKUP(D17,密度!$A$2:$A$50,密度!$L$2:$L$50)</f>
        <v>22733.147745000002</v>
      </c>
      <c r="E16" s="73" ph="1">
        <f>E15*7.0686*LOOKUP(E17,密度!$A$2:$A$50,密度!$L$2:$L$50)</f>
        <v>39174.025690800001</v>
      </c>
      <c r="F16" s="73" ph="1">
        <f>F15*9.0746*LOOKUP(F17,密度!$A$2:$A$50,密度!$L$2:$L$50)</f>
        <v>21693.2305824</v>
      </c>
      <c r="G16" s="73" ph="1">
        <f>G15*9.0746*LOOKUP(G17,密度!$A$2:$A$50,密度!$B$2:$B$50)</f>
        <v>10572.52062804</v>
      </c>
      <c r="H16" s="73" ph="1">
        <f>H15*9.0746*LOOKUP(H17,密度!$A$2:$A$50,密度!$L$2:$L$50)</f>
        <v>0</v>
      </c>
      <c r="I16" s="73" ph="1">
        <f>I15*9.0746*LOOKUP(I17,密度!$A$2:$A$50,密度!$U$2:$U$50)</f>
        <v>307.84673040000001</v>
      </c>
      <c r="J16" s="73" ph="1">
        <f>J15*9.0746*LOOKUP(J17,密度!$A$2:$A$50,密度!$L$2:$L$50)</f>
        <v>20513.859268</v>
      </c>
      <c r="K16" s="73" ph="1">
        <f>K15*9.0746*LOOKUP(K17,密度!$A$2:$A$50,密度!$C$2:$C$50)</f>
        <v>50432.5613792</v>
      </c>
      <c r="L16" s="73" ph="1">
        <f>L15*9.0746*LOOKUP(L17,密度!$A$2:$A$50,密度!$E$2:$E$50)</f>
        <v>8683.1290156800005</v>
      </c>
      <c r="M16" s="73" ph="1">
        <f>M15*9.0746*LOOKUP(M17,密度!$A$2:$A$50,密度!$M$2:$M$50)</f>
        <v>4313.4659164000004</v>
      </c>
      <c r="N16" s="73" ph="1">
        <f>N15*9.0746*LOOKUP(N17,密度!$A$2:$A$50,密度!$M$2:$M$50)</f>
        <v>29439.908065999996</v>
      </c>
      <c r="O16" s="73" ph="1">
        <f>O15*9.0746*LOOKUP(O17,密度!$A$2:$A$50,密度!$G$2:$G$50)</f>
        <v>17026.04401768</v>
      </c>
      <c r="P16" s="73" ph="1">
        <f ca="1">P15*9.0746*LOOKUP(P17,密度!$A$2:$A$51,密度!$Q$2:$Q$50)</f>
        <v>0</v>
      </c>
      <c r="Q16" s="73" ph="1">
        <f>Q15*9.0746*LOOKUP(Q17,密度!$A$2:$A$50,密度!$Q$2:$Q$50)</f>
        <v>0</v>
      </c>
      <c r="R16" s="73" ph="1">
        <f>MAX(R15*9.0746*LOOKUP(R17,密度!$A$2:$A$50,密度!$B$2:$B$50),0)</f>
        <v>0</v>
      </c>
      <c r="S16" s="73" ph="1">
        <f>S15*9.0746*LOOKUP(S17,密度!$A$2:$A$50,密度!$Q$2:$Q$50)</f>
        <v>55508.115107472004</v>
      </c>
      <c r="T16" s="73" ph="1">
        <f>T15*9.0746*LOOKUP(T17,密度!$A$2:$A$50,密度!$O$2:$O$50)</f>
        <v>27208.554672000002</v>
      </c>
      <c r="U16" s="73" ph="1">
        <f>U15*9.0746*LOOKUP(U17,密度!$A$2:$A$50,密度!$H$2:$H$50)</f>
        <v>14199.175443440001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3819.8736054480005</v>
      </c>
      <c r="X16" s="73" ph="1">
        <f>MAX(5600*LOOKUP(X17,密度!$A$2:$A$50,密度!$I$2:$I$50)+X15*9.0476*LOOKUP(X17,密度!$A$2:$A$50,密度!$I$2:$I$50),0)</f>
        <v>2815.9495298400007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1930.9442057600002</v>
      </c>
      <c r="AB16" s="73" ph="1">
        <f>AB15*9.0746*LOOKUP(AB17,密度!$A$2:$A$50,密度!$L$2:$L$50)</f>
        <v>60519.269666400003</v>
      </c>
      <c r="AC16" s="73" ph="1">
        <f>AC15*9.0746*LOOKUP(AC17,密度!$A$2:$A$50,密度!$L$2:$L$50)</f>
        <v>7173.8342840000005</v>
      </c>
      <c r="AD16" s="73" ph="1">
        <f>AD15*268.68*LOOKUP(AD17,密度!$A$2:$A$50,密度!B2:B50)+IF(AD15&lt;=0,0,1566*LOOKUP(AD17,密度!$A$2:$A$50,密度!B2:B50))</f>
        <v>2362.4265575999998</v>
      </c>
      <c r="AE16" s="73" ph="1">
        <f>AE15*268.68*LOOKUP(AE17,密度!$A$2:$A$50,密度!B2:B50)+IF(AE15&lt;=0,0,1566*LOOKUP(AE17,密度!$A$2:$A$50,密度!B2:B50))</f>
        <v>12297.253232640001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23</v>
      </c>
      <c r="E17" s="74">
        <v>23</v>
      </c>
      <c r="F17" s="74">
        <v>26</v>
      </c>
      <c r="G17" s="74">
        <v>23</v>
      </c>
      <c r="H17" s="74">
        <v>20</v>
      </c>
      <c r="I17" s="74">
        <v>22</v>
      </c>
      <c r="J17" s="74">
        <v>24</v>
      </c>
      <c r="K17" s="74">
        <v>23</v>
      </c>
      <c r="L17" s="74">
        <v>23</v>
      </c>
      <c r="M17" s="74">
        <v>23</v>
      </c>
      <c r="N17" s="74">
        <v>22</v>
      </c>
      <c r="O17" s="74">
        <v>25</v>
      </c>
      <c r="P17" s="74">
        <v>22</v>
      </c>
      <c r="Q17" s="74">
        <v>23</v>
      </c>
      <c r="R17" s="74">
        <v>25</v>
      </c>
      <c r="S17" s="74">
        <v>24</v>
      </c>
      <c r="T17" s="74">
        <v>24</v>
      </c>
      <c r="U17" s="74">
        <v>21</v>
      </c>
      <c r="V17" s="74">
        <v>25</v>
      </c>
      <c r="W17" s="74">
        <v>25</v>
      </c>
      <c r="X17" s="74">
        <v>23</v>
      </c>
      <c r="Y17" s="108">
        <v>23</v>
      </c>
      <c r="Z17" s="74">
        <v>23</v>
      </c>
      <c r="AA17" s="74">
        <v>22</v>
      </c>
      <c r="AB17" s="74">
        <v>29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4724</v>
      </c>
      <c r="E18" s="71">
        <v>5914</v>
      </c>
      <c r="F18" s="71">
        <v>2556</v>
      </c>
      <c r="G18" s="71">
        <v>735</v>
      </c>
      <c r="H18" s="71">
        <v>0</v>
      </c>
      <c r="I18" s="71">
        <v>1967</v>
      </c>
      <c r="J18" s="71">
        <v>2413</v>
      </c>
      <c r="K18" s="71">
        <v>5008</v>
      </c>
      <c r="L18" s="71">
        <v>1220</v>
      </c>
      <c r="M18" s="71">
        <v>3834</v>
      </c>
      <c r="N18" s="71">
        <v>407</v>
      </c>
      <c r="O18" s="71">
        <v>1956</v>
      </c>
      <c r="P18" s="71">
        <v>0</v>
      </c>
      <c r="Q18" s="71">
        <v>0</v>
      </c>
      <c r="R18" s="71">
        <v>0</v>
      </c>
      <c r="S18" s="71">
        <v>6465</v>
      </c>
      <c r="T18" s="71">
        <v>2324</v>
      </c>
      <c r="U18" s="71">
        <v>1704</v>
      </c>
      <c r="V18" s="71">
        <v>-817</v>
      </c>
      <c r="W18" s="71">
        <v>-174</v>
      </c>
      <c r="X18" s="71">
        <v>-322</v>
      </c>
      <c r="Y18" s="109">
        <v>-9908</v>
      </c>
      <c r="Z18" s="71">
        <v>0</v>
      </c>
      <c r="AA18" s="71">
        <v>272</v>
      </c>
      <c r="AB18" s="71">
        <v>7150</v>
      </c>
      <c r="AC18" s="71">
        <v>1169</v>
      </c>
      <c r="AD18" s="71">
        <v>27</v>
      </c>
      <c r="AE18" s="71">
        <v>84.62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3" t="s" ph="1">
        <v>178</v>
      </c>
      <c r="D19" s="73" ph="1">
        <f>D18*7.0686*LOOKUP(D20,密度!$A$2:$A$50,密度!$L$2:$L$50)</f>
        <v>31121.405884800006</v>
      </c>
      <c r="E19" s="73" ph="1">
        <f>E18*7.0686*LOOKUP(E20,密度!$A$2:$A$50,密度!$L$2:$L$50)</f>
        <v>38961.048772800001</v>
      </c>
      <c r="F19" s="73" ph="1">
        <f>F18*9.0746*LOOKUP(F20,密度!$A$2:$A$50,密度!$L$2:$L$50)</f>
        <v>21663.8288784</v>
      </c>
      <c r="G19" s="73" ph="1">
        <f>G18*9.0746*LOOKUP(G20,密度!$A$2:$A$50,密度!$B$2:$B$50)</f>
        <v>5193.7973996999999</v>
      </c>
      <c r="H19" s="73" ph="1">
        <f>H18*9.0746*LOOKUP(H20,密度!$A$2:$A$50,密度!$L$2:$L$50)</f>
        <v>0</v>
      </c>
      <c r="I19" s="73" ph="1">
        <f>I18*9.0746*LOOKUP(I20,密度!$A$2:$A$50,密度!$U$2:$U$50)</f>
        <v>18278.131916800001</v>
      </c>
      <c r="J19" s="73" ph="1">
        <f>J18*9.0746*LOOKUP(J20,密度!$A$2:$A$50,密度!$L$2:$L$50)</f>
        <v>20451.807153199999</v>
      </c>
      <c r="K19" s="73" ph="1">
        <f>K18*9.0746*LOOKUP(K20,密度!$A$2:$A$50,密度!$C$2:$C$50)</f>
        <v>50358.265814080005</v>
      </c>
      <c r="L19" s="73" ph="1">
        <f>L18*9.0746*LOOKUP(L20,密度!$A$2:$A$50,密度!$E$2:$E$50)</f>
        <v>8608.8189311999995</v>
      </c>
      <c r="M19" s="73" ph="1">
        <f>M18*9.0746*LOOKUP(M20,密度!$A$2:$A$50,密度!$M$2:$M$50)</f>
        <v>30338.638300800001</v>
      </c>
      <c r="N19" s="73" ph="1">
        <f>N18*9.0746*LOOKUP(N20,密度!$A$2:$A$50,密度!$M$2:$M$50)</f>
        <v>3220.6118384000001</v>
      </c>
      <c r="O19" s="73" ph="1">
        <f>O18*9.0746*LOOKUP(O20,密度!$A$2:$A$50,密度!$G$2:$G$50)</f>
        <v>17004.421060799999</v>
      </c>
      <c r="P19" s="73" ph="1">
        <f ca="1">P18*9.0746*LOOKUP(P20,密度!$A$2:$A$51,密度!$Q$2:$Q$50)</f>
        <v>0</v>
      </c>
      <c r="Q19" s="73" ph="1">
        <f>Q18*9.0746*LOOKUP(Q20,密度!$A$2:$A$50,密度!$Q$2:$Q$50)</f>
        <v>0</v>
      </c>
      <c r="R19" s="73" ph="1">
        <f>MAX(R18*9.0746*LOOKUP(R20,密度!$A$2:$A$50,密度!$B$2:$B$50),0)</f>
        <v>0</v>
      </c>
      <c r="S19" s="73" ph="1">
        <f>S18*9.0746*LOOKUP(S20,密度!$A$2:$A$50,密度!$Q$2:$Q$50)</f>
        <v>55501.015412670007</v>
      </c>
      <c r="T19" s="73" ph="1">
        <f>T18*9.0746*LOOKUP(T20,密度!$A$2:$A$50,密度!$O$2:$O$50)</f>
        <v>19528.756990400001</v>
      </c>
      <c r="U19" s="73" ph="1">
        <f>U18*9.0746*LOOKUP(U20,密度!$A$2:$A$50,密度!$H$2:$H$50)</f>
        <v>14159.57751888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3794.5608954079999</v>
      </c>
      <c r="X19" s="73" ph="1">
        <f>MAX(5600*LOOKUP(X20,密度!$A$2:$A$50,密度!$I$2:$I$50)+X18*9.0476*LOOKUP(X20,密度!$A$2:$A$50,密度!$I$2:$I$50),0)</f>
        <v>2800.3190594400003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1917.8622624000002</v>
      </c>
      <c r="AB19" s="73" ph="1">
        <f>AB18*9.0746*LOOKUP(AB20,密度!$A$2:$A$50,密度!$L$2:$L$50)</f>
        <v>60471.319480000006</v>
      </c>
      <c r="AC19" s="73" ph="1">
        <f>AC18*9.0746*LOOKUP(AC20,密度!$A$2:$A$50,密度!$L$2:$L$50)</f>
        <v>9918.6739190000008</v>
      </c>
      <c r="AD19" s="73" ph="1">
        <f>AD18*268.68*LOOKUP(AD20,密度!$A$2:$A$50,密度!B5:B53)+IF(AD18&lt;=0,0,1566*LOOKUP(AD20,密度!$A$2:$A$50,密度!B5:B53))</f>
        <v>6853.4197200000008</v>
      </c>
      <c r="AE19" s="73" ph="1">
        <f>AE18*268.68*LOOKUP(AE20,密度!$A$2:$A$50,密度!B5:B53)+IF(AE18&lt;=0,0,1566*LOOKUP(AE20,密度!$A$2:$A$50,密度!B5:B53))</f>
        <v>18882.422143200001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30</v>
      </c>
      <c r="E20" s="81">
        <v>30</v>
      </c>
      <c r="F20" s="81">
        <v>28</v>
      </c>
      <c r="G20" s="81">
        <v>26</v>
      </c>
      <c r="H20" s="81">
        <v>25</v>
      </c>
      <c r="I20" s="81">
        <v>26</v>
      </c>
      <c r="J20" s="81">
        <v>28</v>
      </c>
      <c r="K20" s="81">
        <v>26</v>
      </c>
      <c r="L20" s="81">
        <v>30</v>
      </c>
      <c r="M20" s="81">
        <v>28</v>
      </c>
      <c r="N20" s="81">
        <v>28</v>
      </c>
      <c r="O20" s="81">
        <v>27</v>
      </c>
      <c r="P20" s="81">
        <v>30</v>
      </c>
      <c r="Q20" s="81">
        <v>30</v>
      </c>
      <c r="R20" s="81">
        <v>30</v>
      </c>
      <c r="S20" s="81">
        <v>26</v>
      </c>
      <c r="T20" s="81">
        <v>26</v>
      </c>
      <c r="U20" s="81">
        <v>24</v>
      </c>
      <c r="V20" s="81">
        <v>31</v>
      </c>
      <c r="W20" s="81">
        <v>31</v>
      </c>
      <c r="X20" s="81">
        <v>25</v>
      </c>
      <c r="Y20" s="110">
        <v>25</v>
      </c>
      <c r="Z20" s="81">
        <v>29</v>
      </c>
      <c r="AA20" s="81">
        <v>28</v>
      </c>
      <c r="AB20" s="81">
        <v>30</v>
      </c>
      <c r="AC20" s="81">
        <v>27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3" t="s" ph="1">
        <v>177</v>
      </c>
      <c r="D24" s="71">
        <v>4.3099999999999996</v>
      </c>
      <c r="E24" s="71">
        <v>5.63</v>
      </c>
      <c r="F24" s="71">
        <v>0</v>
      </c>
      <c r="G24" s="71">
        <v>3797</v>
      </c>
      <c r="H24" s="71">
        <v>2860</v>
      </c>
      <c r="I24" s="71">
        <v>0</v>
      </c>
      <c r="J24" s="71">
        <v>217</v>
      </c>
      <c r="K24" s="71">
        <v>247</v>
      </c>
      <c r="L24" s="71">
        <v>468</v>
      </c>
      <c r="M24" s="71">
        <v>4837</v>
      </c>
      <c r="N24" s="71">
        <v>224</v>
      </c>
      <c r="O24" s="71">
        <v>5415</v>
      </c>
      <c r="P24" s="71">
        <v>1160</v>
      </c>
      <c r="Q24" s="90">
        <v>2845</v>
      </c>
      <c r="R24" s="71">
        <v>4670</v>
      </c>
      <c r="S24" s="71">
        <v>564</v>
      </c>
      <c r="T24" s="71">
        <v>2366</v>
      </c>
      <c r="U24" s="71">
        <v>6409</v>
      </c>
      <c r="V24" s="71">
        <v>10622</v>
      </c>
      <c r="W24" s="71">
        <v>2855</v>
      </c>
      <c r="X24" s="71">
        <v>3349</v>
      </c>
      <c r="Y24" s="71">
        <v>3846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2578.9299847920001</v>
      </c>
      <c r="E25" s="91" ph="1">
        <f>E24*268.68*LOOKUP(E26,密度!$A$2:$A$50,密度!$C$2:$C$50)+IF(E24&lt;=0,0,1566*LOOKUP(E26,密度!$A$2:$A$50,密度!$C$2:$C$50))</f>
        <v>3413.93538876</v>
      </c>
      <c r="F25" s="91" ph="1">
        <f>F24*11.702*LOOKUP(F26,密度!$A$2:$A$50,密度!$Q$2:$Q$50)</f>
        <v>0</v>
      </c>
      <c r="G25" s="91" ph="1">
        <f>G24*18.322*LOOKUP(G26,密度!$A$2:$A$50,密度!$B$2:$B$50)</f>
        <v>54423.542378199993</v>
      </c>
      <c r="H25" s="91" ph="1">
        <f>H24*18.322*LOOKUP(H26,密度!$A$2:$A$50,密度!$B$2:$B$50)</f>
        <v>40946.078887999996</v>
      </c>
      <c r="I25" s="91" ph="1">
        <f>I24*18.322*LOOKUP(I26,密度!$A$2:$A$50,密度!$Q$2:$Q$50)</f>
        <v>0</v>
      </c>
      <c r="J25" s="91" ph="1">
        <f>J24*18.322*LOOKUP(J26,密度!$A$2:$A$50,密度!$Q$2:$Q$50)</f>
        <v>3773.4622546599999</v>
      </c>
      <c r="K25" s="91" ph="1">
        <f>K24*18.322*LOOKUP(K26,密度!$A$2:$A$50,密度!$Q$2:$Q$50)</f>
        <v>4291.1113387999994</v>
      </c>
      <c r="L25" s="91" ph="1">
        <f>L24*18.322*LOOKUP(L26,密度!$A$2:$A$50,密度!$Q$2:$Q$50)</f>
        <v>8124.2672191199999</v>
      </c>
      <c r="M25" s="91" ph="1">
        <f>M24*18.322*LOOKUP(M26,密度!$A$2:$A$50,密度!$Q$2:$Q$50)</f>
        <v>83968.120809579996</v>
      </c>
      <c r="N25" s="91" ph="1">
        <f>N24*18.322*LOOKUP(N26,密度!$A$2:$A$50,密度!$Q$2:$Q$50)</f>
        <v>3891.5341696</v>
      </c>
      <c r="O25" s="91" ph="1">
        <f>O24*18.322*LOOKUP(O26,密度!$A$2:$A$50,密度!$C$2:$C$50)</f>
        <v>110236.26429299999</v>
      </c>
      <c r="P25" s="91" ph="1">
        <f>P24*11.702*LOOKUP(P26,密度!$A$2:$A$50,密度!$B$2:$B$50)</f>
        <v>10619.190536</v>
      </c>
      <c r="Q25" s="92" ph="1">
        <f>Q24*18.322*LOOKUP(Q26,密度!$A$2:$A$50,密度!$B$2:$B$50)</f>
        <v>40825.153687999999</v>
      </c>
      <c r="R25" s="91" ph="1">
        <f>R24*35.891*LOOKUP(R26,密度!$A$2:$A$50,密度!$C$2:$C$50)</f>
        <v>185981.132312</v>
      </c>
      <c r="S25" s="91" ph="1">
        <f>S24*35.891*LOOKUP(S26,密度!$A$2:$A$50,密度!$B$2:$B$50)</f>
        <v>15781.071710399998</v>
      </c>
      <c r="T25" s="91" ph="1">
        <f>T24*35.891*LOOKUP(T26,密度!$A$2:$A$50,密度!$Q$2:$Q$50)</f>
        <v>80594.925223540005</v>
      </c>
      <c r="U25" s="91" ph="1">
        <f>U24*35.891</f>
        <v>230025.41899999999</v>
      </c>
      <c r="V25" s="91" ph="1">
        <f>V24*47.051*LOOKUP(V26,密度!$A$2:$A$50,密度!$B$2:$B$50)</f>
        <v>391424.3454704</v>
      </c>
      <c r="W25" s="91" ph="1">
        <f>W24*47.051*LOOKUP(W26,密度!$A$2:$A$50,密度!$B$2:$B$50)</f>
        <v>104845.03720250001</v>
      </c>
      <c r="X25" s="91" ph="1">
        <f>X24*47.051*LOOKUP(X26,密度!$A$2:$A$61,密度!$I$2:$I$61)</f>
        <v>164065.83951879997</v>
      </c>
      <c r="Y25" s="91" ph="1">
        <f>Y24*47.051*LOOKUP(Y26,密度!$A$2:$A$50,密度!$L$2:$L$50)</f>
        <v>169738.74094799999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22</v>
      </c>
      <c r="G26" s="74">
        <v>22</v>
      </c>
      <c r="H26" s="74">
        <v>23</v>
      </c>
      <c r="I26" s="74">
        <v>23</v>
      </c>
      <c r="J26" s="74">
        <v>22</v>
      </c>
      <c r="K26" s="74">
        <v>23</v>
      </c>
      <c r="L26" s="74">
        <v>24</v>
      </c>
      <c r="M26" s="74">
        <v>24</v>
      </c>
      <c r="N26" s="74">
        <v>23</v>
      </c>
      <c r="O26" s="74">
        <v>22</v>
      </c>
      <c r="P26" s="74">
        <v>22</v>
      </c>
      <c r="Q26" s="93">
        <v>21</v>
      </c>
      <c r="R26" s="74">
        <v>24</v>
      </c>
      <c r="S26" s="74">
        <v>25</v>
      </c>
      <c r="T26" s="74">
        <v>22</v>
      </c>
      <c r="U26" s="74">
        <v>25</v>
      </c>
      <c r="V26" s="74">
        <v>21</v>
      </c>
      <c r="W26" s="74">
        <v>24</v>
      </c>
      <c r="X26" s="74">
        <v>26</v>
      </c>
      <c r="Y26" s="74">
        <v>24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3" t="s" ph="1">
        <v>180</v>
      </c>
      <c r="D27" s="71">
        <v>4.33</v>
      </c>
      <c r="E27" s="71">
        <v>5.6</v>
      </c>
      <c r="F27" s="71">
        <v>0</v>
      </c>
      <c r="G27" s="71">
        <v>3260</v>
      </c>
      <c r="H27" s="71">
        <v>2391</v>
      </c>
      <c r="I27" s="71">
        <v>0</v>
      </c>
      <c r="J27" s="71">
        <v>212</v>
      </c>
      <c r="K27" s="71">
        <v>243</v>
      </c>
      <c r="L27" s="71">
        <v>463</v>
      </c>
      <c r="M27" s="71">
        <v>4840</v>
      </c>
      <c r="N27" s="71">
        <v>1335</v>
      </c>
      <c r="O27" s="71">
        <v>5412</v>
      </c>
      <c r="P27" s="71">
        <v>1159</v>
      </c>
      <c r="Q27" s="90">
        <v>3174</v>
      </c>
      <c r="R27" s="71">
        <v>4666</v>
      </c>
      <c r="S27" s="71">
        <v>561</v>
      </c>
      <c r="T27" s="71">
        <v>1475</v>
      </c>
      <c r="U27" s="71">
        <v>6361</v>
      </c>
      <c r="V27" s="71">
        <v>10629</v>
      </c>
      <c r="W27" s="71">
        <v>2536</v>
      </c>
      <c r="X27" s="71">
        <v>2507</v>
      </c>
      <c r="Y27" s="71">
        <v>4188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3" t="s" ph="1">
        <v>178</v>
      </c>
      <c r="D28" s="91" ph="1">
        <f>D27*268.68*LOOKUP(D29,密度!$A$2:$A$50,密度!$Q$2:$Q$50)+IF(D27&lt;=0,0,1566*LOOKUP(D29,密度!$A$2:$A$50,密度!$Q$2:$Q$50))</f>
        <v>2584.017386856</v>
      </c>
      <c r="E28" s="91" ph="1">
        <f>E27*268.68*LOOKUP(E29,密度!$A$2:$A$50,密度!$C$2:$C$50)+IF(E27&lt;=0,0,1566*LOOKUP(E29,密度!$A$2:$A$50,密度!$C$2:$C$50))</f>
        <v>3404.9972111999996</v>
      </c>
      <c r="F28" s="91" ph="1">
        <f>F27*11.702*LOOKUP(F29,密度!$A$2:$A$50,密度!$Q$2:$Q$50)</f>
        <v>0</v>
      </c>
      <c r="G28" s="91" ph="1">
        <f>G27*18.322*LOOKUP(G29,密度!$A$2:$A$50,密度!$B$2:$B$50)</f>
        <v>46619.04645999999</v>
      </c>
      <c r="H28" s="91" ph="1">
        <f>H27*18.322*LOOKUP(H29,密度!$A$2:$A$50,密度!$B$2:$B$50)</f>
        <v>34152.64039919999</v>
      </c>
      <c r="I28" s="91" ph="1">
        <f>I27*18.322*LOOKUP(I29,密度!$A$2:$A$50,密度!$Q$2:$Q$50)</f>
        <v>0</v>
      </c>
      <c r="J28" s="91" ph="1">
        <f>J27*18.322*LOOKUP(J29,密度!$A$2:$A$50,密度!$Q$2:$Q$50)</f>
        <v>3680.2236120799998</v>
      </c>
      <c r="K28" s="91" ph="1">
        <f>K27*18.322*LOOKUP(K29,密度!$A$2:$A$50,密度!$Q$2:$Q$50)</f>
        <v>4221.6196571999999</v>
      </c>
      <c r="L28" s="91" ph="1">
        <f>L27*18.322*LOOKUP(L29,密度!$A$2:$A$50,密度!$Q$2:$Q$50)</f>
        <v>8043.6621451999999</v>
      </c>
      <c r="M28" s="91" ph="1">
        <f>M27*18.322*LOOKUP(M29,密度!$A$2:$A$50,密度!$Q$2:$Q$50)</f>
        <v>83955.464155199996</v>
      </c>
      <c r="N28" s="91" ph="1">
        <f>N27*18.322*LOOKUP(N29,密度!$A$2:$A$50,密度!$Q$2:$Q$50)</f>
        <v>23192.848733999999</v>
      </c>
      <c r="O28" s="91" ph="1">
        <f>O27*18.322*LOOKUP(O29,密度!$A$2:$A$50,密度!$C$2:$C$50)</f>
        <v>110175.19157039998</v>
      </c>
      <c r="P28" s="91" ph="1">
        <f>P27*11.702*LOOKUP(P29,密度!$A$2:$A$50,密度!$B$2:$B$50)</f>
        <v>10622.2424176</v>
      </c>
      <c r="Q28" s="92" ph="1">
        <f>Q27*18.322*LOOKUP(Q29,密度!$A$2:$A$50,密度!$B$2:$B$50)</f>
        <v>45546.234729600001</v>
      </c>
      <c r="R28" s="91" ph="1">
        <f>R27*35.891*LOOKUP(R29,密度!$A$2:$A$50,密度!$C$2:$C$50)</f>
        <v>186207.00873140001</v>
      </c>
      <c r="S28" s="91" ph="1">
        <f>S27*35.891*LOOKUP(S29,密度!$A$2:$A$50,密度!$B$2:$B$50)</f>
        <v>15715.251205499999</v>
      </c>
      <c r="T28" s="91" ph="1">
        <f>T27*35.891*LOOKUP(T29,密度!$A$2:$A$50,密度!$Q$2:$Q$50)</f>
        <v>50119.681876499999</v>
      </c>
      <c r="U28" s="91" ph="1">
        <f>U27*35.891</f>
        <v>228302.65099999998</v>
      </c>
      <c r="V28" s="91" ph="1">
        <f>V27*47.051*LOOKUP(V29,密度!$A$2:$A$50,密度!$B$2:$B$50)</f>
        <v>390782.10873060004</v>
      </c>
      <c r="W28" s="91" ph="1">
        <f>W27*47.051*LOOKUP(W29,密度!$A$2:$A$50,密度!$B$2:$B$50)</f>
        <v>92915.524343199999</v>
      </c>
      <c r="X28" s="91" ph="1">
        <f>X27*47.051*LOOKUP(X29,密度!$A$2:$A$61,密度!$I$2:$I$61)</f>
        <v>122557.17442299999</v>
      </c>
      <c r="Y28" s="91" ph="1">
        <f>Y27*47.051*LOOKUP(Y29,密度!$A$2:$A$50,密度!$L$2:$L$50)</f>
        <v>184241.36478000003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3" t="s" ph="1">
        <v>179</v>
      </c>
      <c r="D29" s="74">
        <v>25</v>
      </c>
      <c r="E29" s="74">
        <v>25</v>
      </c>
      <c r="F29" s="74">
        <v>24</v>
      </c>
      <c r="G29" s="74">
        <v>24</v>
      </c>
      <c r="H29" s="74">
        <v>25</v>
      </c>
      <c r="I29" s="74">
        <v>23</v>
      </c>
      <c r="J29" s="74">
        <v>24</v>
      </c>
      <c r="K29" s="74">
        <v>23</v>
      </c>
      <c r="L29" s="74">
        <v>23</v>
      </c>
      <c r="M29" s="74">
        <v>25</v>
      </c>
      <c r="N29" s="74">
        <v>23</v>
      </c>
      <c r="O29" s="74">
        <v>22</v>
      </c>
      <c r="P29" s="74">
        <v>21</v>
      </c>
      <c r="Q29" s="93">
        <v>21</v>
      </c>
      <c r="R29" s="74">
        <v>21</v>
      </c>
      <c r="S29" s="74">
        <v>24</v>
      </c>
      <c r="T29" s="74">
        <v>25</v>
      </c>
      <c r="U29" s="74">
        <v>27</v>
      </c>
      <c r="V29" s="74">
        <v>23</v>
      </c>
      <c r="W29" s="74">
        <v>26</v>
      </c>
      <c r="X29" s="74">
        <v>28</v>
      </c>
      <c r="Y29" s="74">
        <v>27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3" t="s" ph="1">
        <v>5</v>
      </c>
      <c r="F32" s="152" t="s" ph="1">
        <v>43</v>
      </c>
      <c r="G32" s="97" t="s" ph="1">
        <v>4</v>
      </c>
      <c r="H32" s="153" t="s" ph="1">
        <v>5</v>
      </c>
      <c r="I32" s="152" t="s" ph="1">
        <v>43</v>
      </c>
      <c r="J32" s="97" t="s" ph="1">
        <v>4</v>
      </c>
      <c r="K32" s="153" t="s" ph="1">
        <v>5</v>
      </c>
      <c r="L32" s="152" t="s" ph="1">
        <v>43</v>
      </c>
      <c r="M32" s="97" t="s" ph="1">
        <v>4</v>
      </c>
      <c r="N32" s="153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2" t="s" ph="1">
        <v>43</v>
      </c>
      <c r="AB32" s="97" t="s" ph="1">
        <v>85</v>
      </c>
      <c r="AC32" s="15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348581.99365379999</v>
      </c>
      <c r="E33" s="190" ph="1">
        <f>M10+I10</f>
        <v>16501.099553099997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[[#This Row],[F25]]</f>
        <v>3880</v>
      </c>
      <c r="G33" s="216" ph="1">
        <f>N19</f>
        <v>3220.6118384000001</v>
      </c>
      <c r="H33" s="190" ph="1">
        <f>M19</f>
        <v>30338.638300800001</v>
      </c>
      <c r="I33" s="194" ph="1">
        <v>0</v>
      </c>
      <c r="J33" s="198" ph="1">
        <f>F10+O28</f>
        <v>324798.13685759995</v>
      </c>
      <c r="K33" s="190" ph="1">
        <f>O10+K10+E28+R28</f>
        <v>263339.81808540004</v>
      </c>
      <c r="L33" s="200" ph="1">
        <f>K19</f>
        <v>50358.265814080005</v>
      </c>
      <c r="M33" s="198" ph="1">
        <f>G10+H10+W28+S28+V28+E10+R19+P28+Q28</f>
        <v>1351474.6610744998</v>
      </c>
      <c r="N33" s="190" ph="1">
        <f>L10+P10++G28+H28+AD19+AE19</f>
        <v>132363.4283534</v>
      </c>
      <c r="O33" s="194" ph="1">
        <f>G19</f>
        <v>5193.7973996999999</v>
      </c>
      <c r="P33" s="198" ph="1">
        <f>L19</f>
        <v>8608.8189311999995</v>
      </c>
      <c r="Q33" s="190" ph="1">
        <f>J10+N10</f>
        <v>68449.981891000003</v>
      </c>
      <c r="R33" s="194" ph="1">
        <f>BE23</f>
        <v>890</v>
      </c>
      <c r="S33" s="198" ph="1">
        <f>X28</f>
        <v>122557.17442299999</v>
      </c>
      <c r="T33" s="190" ph="1">
        <f>X19</f>
        <v>2800.3190594400003</v>
      </c>
      <c r="U33" s="179" ph="1">
        <f>BE21</f>
        <v>730</v>
      </c>
      <c r="V33" s="192" ph="1">
        <f ca="1">P19+Q19+S19+M28+N28+J28+D10+AC10+D19+E19+H19+J19+O19+V19+W19+K28+L28</f>
        <v>756571.92433381802</v>
      </c>
      <c r="W33" s="192" ph="1">
        <f>D28+F28+T28+I28</f>
        <v>52703.699263356</v>
      </c>
      <c r="X33" s="194" ph="1">
        <f>BE29+BE31</f>
        <v>10200</v>
      </c>
      <c r="Y33" s="196" ph="1">
        <f>+Q10+R10+S10+T10+U10+V10+W10+X10+Y10</f>
        <v>200806.67611619999</v>
      </c>
      <c r="Z33" s="177" ph="1">
        <f>T19+U19+Y28+Z10</f>
        <v>309119.76885728003</v>
      </c>
      <c r="AA33" s="179" ph="1">
        <f>BE19</f>
        <v>1440</v>
      </c>
      <c r="AB33" s="181" ph="1">
        <f>I19</f>
        <v>18278.131916800001</v>
      </c>
      <c r="AC33" s="183" ph="1">
        <f>AD10+AB19</f>
        <v>93315.670331200003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1" t="s" ph="1">
        <v>185</v>
      </c>
      <c r="AA36" s="151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342</v>
      </c>
      <c r="AI37" s="151" t="s" ph="1">
        <v>209</v>
      </c>
      <c r="AJ37" s="151" t="s" ph="1">
        <v>210</v>
      </c>
      <c r="AK37" s="151" t="s" ph="1">
        <v>211</v>
      </c>
      <c r="AM37" s="151" t="s" ph="1">
        <v>210</v>
      </c>
      <c r="AN37" s="151" t="s" ph="1">
        <v>211</v>
      </c>
      <c r="AO37" s="151" t="s" ph="1">
        <v>212</v>
      </c>
      <c r="AP37" s="151" t="s" ph="1">
        <v>210</v>
      </c>
      <c r="AQ37" s="151" t="s" ph="1">
        <v>211</v>
      </c>
      <c r="AR37" s="151" t="s" ph="1">
        <v>212</v>
      </c>
      <c r="AS37" s="151" t="s" ph="1">
        <v>210</v>
      </c>
      <c r="AT37" s="151" t="s" ph="1">
        <v>211</v>
      </c>
      <c r="AU37" s="151" t="s" ph="1">
        <v>212</v>
      </c>
      <c r="AV37" s="151" t="s" ph="1">
        <v>210</v>
      </c>
      <c r="AW37" s="151" t="s" ph="1">
        <v>211</v>
      </c>
      <c r="AX37" s="151" t="s" ph="1">
        <v>212</v>
      </c>
      <c r="AY37" s="151" t="s" ph="1">
        <v>211</v>
      </c>
      <c r="AZ37" s="151" t="s" ph="1">
        <v>213</v>
      </c>
      <c r="BD37" s="151" t="s" ph="1">
        <v>305</v>
      </c>
      <c r="BE37" s="15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209" priority="100">
      <formula>ABS(D$7-D$10)&gt;=1000</formula>
    </cfRule>
  </conditionalFormatting>
  <conditionalFormatting sqref="E4 E6:E11">
    <cfRule type="expression" dxfId="2208" priority="99">
      <formula>ABS(E$7-E$10)&gt;=1000</formula>
    </cfRule>
  </conditionalFormatting>
  <conditionalFormatting sqref="F4:F11">
    <cfRule type="expression" dxfId="2207" priority="98">
      <formula>ABS(F$7-F$10)&gt;=1000</formula>
    </cfRule>
  </conditionalFormatting>
  <conditionalFormatting sqref="G4:G11">
    <cfRule type="expression" dxfId="2206" priority="97">
      <formula>ABS(G$7-G$10)&gt;=1000</formula>
    </cfRule>
  </conditionalFormatting>
  <conditionalFormatting sqref="H4:H11">
    <cfRule type="expression" dxfId="2205" priority="96">
      <formula>ABS(H$7-H$10)&gt;=1000</formula>
    </cfRule>
  </conditionalFormatting>
  <conditionalFormatting sqref="I4:I11">
    <cfRule type="expression" dxfId="2204" priority="95">
      <formula>ABS(I$7-I$10)&gt;=1000</formula>
    </cfRule>
  </conditionalFormatting>
  <conditionalFormatting sqref="J4:J11">
    <cfRule type="expression" dxfId="2203" priority="94">
      <formula>ABS(J$7-J$10)&gt;=1000</formula>
    </cfRule>
  </conditionalFormatting>
  <conditionalFormatting sqref="K4:K11">
    <cfRule type="expression" dxfId="2202" priority="93">
      <formula>ABS(K$7-K$10)&gt;=1000</formula>
    </cfRule>
  </conditionalFormatting>
  <conditionalFormatting sqref="L4:L11">
    <cfRule type="expression" dxfId="2201" priority="92">
      <formula>ABS(L$7-L$10)&gt;=1000</formula>
    </cfRule>
  </conditionalFormatting>
  <conditionalFormatting sqref="M4 M6:M11">
    <cfRule type="expression" dxfId="2200" priority="91">
      <formula>ABS(M$7-M$10)&gt;=1000</formula>
    </cfRule>
  </conditionalFormatting>
  <conditionalFormatting sqref="N4 N6:N11">
    <cfRule type="expression" dxfId="2199" priority="90">
      <formula>ABS(N$7-N$10)&gt;=1000</formula>
    </cfRule>
  </conditionalFormatting>
  <conditionalFormatting sqref="O4 O6:O11">
    <cfRule type="expression" dxfId="2198" priority="89">
      <formula>ABS(O$7-O$10)&gt;=1000</formula>
    </cfRule>
  </conditionalFormatting>
  <conditionalFormatting sqref="P4 P6:P11">
    <cfRule type="expression" dxfId="2197" priority="88">
      <formula>ABS(P$7-P$10)&gt;=1000</formula>
    </cfRule>
  </conditionalFormatting>
  <conditionalFormatting sqref="Q4:Q11">
    <cfRule type="expression" dxfId="2196" priority="87">
      <formula>ABS(Q$7-Q$10)&gt;=1000</formula>
    </cfRule>
  </conditionalFormatting>
  <conditionalFormatting sqref="R4:R11">
    <cfRule type="expression" dxfId="2195" priority="86">
      <formula>ABS(R$7-R$10)&gt;=1000</formula>
    </cfRule>
  </conditionalFormatting>
  <conditionalFormatting sqref="S4:S11">
    <cfRule type="expression" dxfId="2194" priority="85">
      <formula>ABS(S$7-S$10)&gt;=1000</formula>
    </cfRule>
  </conditionalFormatting>
  <conditionalFormatting sqref="T4:T9 T11">
    <cfRule type="expression" dxfId="2193" priority="84">
      <formula>ABS(T$7-T$10)&gt;=1000</formula>
    </cfRule>
  </conditionalFormatting>
  <conditionalFormatting sqref="U4:U9 U11">
    <cfRule type="expression" dxfId="2192" priority="83">
      <formula>ABS(U$7-U$10)&gt;=1000</formula>
    </cfRule>
  </conditionalFormatting>
  <conditionalFormatting sqref="V4:V9 V11">
    <cfRule type="expression" dxfId="2191" priority="82">
      <formula>ABS(V$7-V$10)&gt;=1000</formula>
    </cfRule>
  </conditionalFormatting>
  <conditionalFormatting sqref="W4:W9 W11">
    <cfRule type="expression" dxfId="2190" priority="81">
      <formula>ABS(W$7-W$10)&gt;=1000</formula>
    </cfRule>
  </conditionalFormatting>
  <conditionalFormatting sqref="X4:X9 X11">
    <cfRule type="expression" dxfId="2189" priority="80">
      <formula>ABS(X$7-X$10)&gt;=1000</formula>
    </cfRule>
  </conditionalFormatting>
  <conditionalFormatting sqref="Y4:Y9 Y11">
    <cfRule type="expression" dxfId="2188" priority="79">
      <formula>ABS(Y$7-Y$10)&gt;=1000</formula>
    </cfRule>
  </conditionalFormatting>
  <conditionalFormatting sqref="Z4:Z11">
    <cfRule type="expression" dxfId="2187" priority="78">
      <formula>ABS(Z$7-Z$10)&gt;=1000</formula>
    </cfRule>
  </conditionalFormatting>
  <conditionalFormatting sqref="AA4:AA11">
    <cfRule type="expression" dxfId="2186" priority="77">
      <formula>ABS(AA$7-AA$10)&gt;=1000</formula>
    </cfRule>
  </conditionalFormatting>
  <conditionalFormatting sqref="AB4:AB11">
    <cfRule type="expression" dxfId="2185" priority="76">
      <formula>ABS(AB$7-AB$10)&gt;=1000</formula>
    </cfRule>
  </conditionalFormatting>
  <conditionalFormatting sqref="AC4 AC6:AC11">
    <cfRule type="expression" dxfId="2184" priority="75">
      <formula>ABS(AC$7-AC$10)&gt;=1000</formula>
    </cfRule>
  </conditionalFormatting>
  <conditionalFormatting sqref="AD4 AD6:AD11">
    <cfRule type="expression" dxfId="2183" priority="74">
      <formula>ABS(AD$7-AD$10)&gt;=1000</formula>
    </cfRule>
  </conditionalFormatting>
  <conditionalFormatting sqref="AE4 AE6:AE11">
    <cfRule type="expression" dxfId="2182" priority="73">
      <formula>ABS(AE$7-AE$10)&gt;=1000</formula>
    </cfRule>
  </conditionalFormatting>
  <conditionalFormatting sqref="D13:D20">
    <cfRule type="expression" dxfId="2181" priority="72">
      <formula>ABS(D$16-D$19)&gt;=1000</formula>
    </cfRule>
  </conditionalFormatting>
  <conditionalFormatting sqref="E13:E20">
    <cfRule type="expression" dxfId="2180" priority="71">
      <formula>ABS(E$16-E$19)&gt;=1000</formula>
    </cfRule>
  </conditionalFormatting>
  <conditionalFormatting sqref="F13 F15:F20">
    <cfRule type="expression" dxfId="2179" priority="70">
      <formula>ABS(F$16-F$19)&gt;=1000</formula>
    </cfRule>
  </conditionalFormatting>
  <conditionalFormatting sqref="G13:G20">
    <cfRule type="expression" dxfId="2178" priority="69">
      <formula>ABS(G$16-G$19)&gt;=1000</formula>
    </cfRule>
  </conditionalFormatting>
  <conditionalFormatting sqref="H13 H15:H20">
    <cfRule type="expression" dxfId="2177" priority="68">
      <formula>ABS(H$16-H$19)&gt;=1000</formula>
    </cfRule>
  </conditionalFormatting>
  <conditionalFormatting sqref="I13:I20">
    <cfRule type="expression" dxfId="2176" priority="67">
      <formula>ABS(I$16-I$19)&gt;=1000</formula>
    </cfRule>
  </conditionalFormatting>
  <conditionalFormatting sqref="J13:J20">
    <cfRule type="expression" dxfId="2175" priority="66">
      <formula>ABS(J$16-J$19)&gt;=1000</formula>
    </cfRule>
  </conditionalFormatting>
  <conditionalFormatting sqref="L13:L20">
    <cfRule type="expression" dxfId="2174" priority="65">
      <formula>ABS(L$16-L$19)&gt;=1000</formula>
    </cfRule>
  </conditionalFormatting>
  <conditionalFormatting sqref="M13 M15 M17:M18 M20">
    <cfRule type="expression" dxfId="2173" priority="64">
      <formula>ABS(M$16-M$19)&gt;=1000</formula>
    </cfRule>
  </conditionalFormatting>
  <conditionalFormatting sqref="N13:N20">
    <cfRule type="expression" dxfId="2172" priority="63">
      <formula>ABS(N$16-N$19)&gt;=1000</formula>
    </cfRule>
  </conditionalFormatting>
  <conditionalFormatting sqref="O13:O20">
    <cfRule type="expression" dxfId="2171" priority="62">
      <formula>ABS(O$16-O$19)&gt;=1000</formula>
    </cfRule>
  </conditionalFormatting>
  <conditionalFormatting sqref="P13:P20">
    <cfRule type="expression" dxfId="2170" priority="61">
      <formula>ABS(P$16-P$19)&gt;=1000</formula>
    </cfRule>
  </conditionalFormatting>
  <conditionalFormatting sqref="Q13 Q15:Q20">
    <cfRule type="expression" dxfId="2169" priority="60">
      <formula>ABS(Q$16-Q$19)&gt;=1000</formula>
    </cfRule>
  </conditionalFormatting>
  <conditionalFormatting sqref="R13:R20">
    <cfRule type="expression" dxfId="2168" priority="59">
      <formula>ABS(R$16-R$19)&gt;=1000</formula>
    </cfRule>
  </conditionalFormatting>
  <conditionalFormatting sqref="S13:S20">
    <cfRule type="expression" dxfId="2167" priority="58">
      <formula>ABS(S$16-S$19)&gt;=1000</formula>
    </cfRule>
  </conditionalFormatting>
  <conditionalFormatting sqref="T13:T20">
    <cfRule type="expression" dxfId="2166" priority="57">
      <formula>ABS(T$16-T$19)&gt;=1000</formula>
    </cfRule>
  </conditionalFormatting>
  <conditionalFormatting sqref="U13:U20">
    <cfRule type="expression" dxfId="2165" priority="56">
      <formula>ABS(U$16-U$19)&gt;=1000</formula>
    </cfRule>
  </conditionalFormatting>
  <conditionalFormatting sqref="V13:V20">
    <cfRule type="expression" dxfId="2164" priority="55">
      <formula>ABS(V$16-V$19)&gt;=1000</formula>
    </cfRule>
  </conditionalFormatting>
  <conditionalFormatting sqref="W13 W20 W15:W18">
    <cfRule type="expression" dxfId="2163" priority="54">
      <formula>ABS(W$16-W$19)&gt;=1000</formula>
    </cfRule>
  </conditionalFormatting>
  <conditionalFormatting sqref="X13 X15:X20 Y19">
    <cfRule type="expression" dxfId="2162" priority="53">
      <formula>ABS(X$16-X$19)&gt;=1000</formula>
    </cfRule>
  </conditionalFormatting>
  <conditionalFormatting sqref="Y13 Y15:Y18 Y20">
    <cfRule type="expression" dxfId="2161" priority="52">
      <formula>ABS(Y$16-Y$19)&gt;=1000</formula>
    </cfRule>
  </conditionalFormatting>
  <conditionalFormatting sqref="Z13:Z20">
    <cfRule type="expression" dxfId="2160" priority="51">
      <formula>ABS(Z$16-Z$19)&gt;=1000</formula>
    </cfRule>
  </conditionalFormatting>
  <conditionalFormatting sqref="AA13:AA20">
    <cfRule type="expression" dxfId="2159" priority="50">
      <formula>ABS(AA$16-AA$19)&gt;=1000</formula>
    </cfRule>
  </conditionalFormatting>
  <conditionalFormatting sqref="AB13 AB15:AB20">
    <cfRule type="expression" dxfId="2158" priority="49">
      <formula>ABS(AB$16-AB$19)&gt;=1000</formula>
    </cfRule>
  </conditionalFormatting>
  <conditionalFormatting sqref="AC13 AC15:AC20">
    <cfRule type="expression" dxfId="2157" priority="48">
      <formula>ABS(AC$16-AC$19)&gt;=1000</formula>
    </cfRule>
  </conditionalFormatting>
  <conditionalFormatting sqref="AD13:AD20">
    <cfRule type="expression" dxfId="2156" priority="47">
      <formula>ABS(AD$16-AD$19)&gt;=1000</formula>
    </cfRule>
  </conditionalFormatting>
  <conditionalFormatting sqref="AE13:AE20">
    <cfRule type="expression" dxfId="2155" priority="46">
      <formula>ABS(AE$16-AE$19)&gt;=1000</formula>
    </cfRule>
  </conditionalFormatting>
  <conditionalFormatting sqref="D22:D29">
    <cfRule type="expression" dxfId="2154" priority="45">
      <formula>ABS(D$25-D$28)&gt;=1000</formula>
    </cfRule>
  </conditionalFormatting>
  <conditionalFormatting sqref="E22:E29">
    <cfRule type="expression" dxfId="2153" priority="44">
      <formula>ABS(E$25-E$28)&gt;=1000</formula>
    </cfRule>
  </conditionalFormatting>
  <conditionalFormatting sqref="F22:F29">
    <cfRule type="expression" dxfId="2152" priority="43">
      <formula>ABS(F$25-F$28)&gt;=1000</formula>
    </cfRule>
  </conditionalFormatting>
  <conditionalFormatting sqref="G22:G29">
    <cfRule type="expression" dxfId="2151" priority="42">
      <formula>ABS(G$25-G$28)&gt;=1000</formula>
    </cfRule>
  </conditionalFormatting>
  <conditionalFormatting sqref="H22:H29">
    <cfRule type="expression" dxfId="2150" priority="41">
      <formula>ABS(H$25-H$28)&gt;=1000</formula>
    </cfRule>
  </conditionalFormatting>
  <conditionalFormatting sqref="I22 I24:I29">
    <cfRule type="expression" dxfId="2149" priority="40">
      <formula>ABS(I$25-I$28)&gt;=1000</formula>
    </cfRule>
  </conditionalFormatting>
  <conditionalFormatting sqref="J22:J29 K22">
    <cfRule type="expression" dxfId="2148" priority="39">
      <formula>ABS(J$25-J$28)&gt;=1000</formula>
    </cfRule>
  </conditionalFormatting>
  <conditionalFormatting sqref="K23:K29 L25 L28">
    <cfRule type="expression" dxfId="2147" priority="38">
      <formula>ABS(K$25-K$28)&gt;=1000</formula>
    </cfRule>
  </conditionalFormatting>
  <conditionalFormatting sqref="L22 L26:L27 L29 L24">
    <cfRule type="expression" dxfId="2146" priority="37">
      <formula>ABS(L$25-L$28)&gt;=1000</formula>
    </cfRule>
  </conditionalFormatting>
  <conditionalFormatting sqref="M22:M29">
    <cfRule type="expression" dxfId="2145" priority="36">
      <formula>ABS(M$25-M$28)&gt;=1000</formula>
    </cfRule>
  </conditionalFormatting>
  <conditionalFormatting sqref="N22:N29">
    <cfRule type="expression" dxfId="2144" priority="35">
      <formula>ABS(N$25-N$28)&gt;=1000</formula>
    </cfRule>
  </conditionalFormatting>
  <conditionalFormatting sqref="O22:O29">
    <cfRule type="expression" dxfId="2143" priority="34">
      <formula>ABS(O$25-O$28)&gt;=1000</formula>
    </cfRule>
  </conditionalFormatting>
  <conditionalFormatting sqref="P22:P29">
    <cfRule type="expression" dxfId="2142" priority="33">
      <formula>ABS(P$25-P$28)&gt;=1000</formula>
    </cfRule>
  </conditionalFormatting>
  <conditionalFormatting sqref="Q22:Q29">
    <cfRule type="expression" dxfId="2141" priority="32">
      <formula>ABS(Q$25-Q$28)&gt;=1000</formula>
    </cfRule>
  </conditionalFormatting>
  <conditionalFormatting sqref="R22:R29">
    <cfRule type="expression" dxfId="2140" priority="31">
      <formula>ABS(R$25-R$28)&gt;=1000</formula>
    </cfRule>
  </conditionalFormatting>
  <conditionalFormatting sqref="S22:S29">
    <cfRule type="expression" dxfId="2139" priority="30">
      <formula>ABS(S$25-S$28)&gt;=1000</formula>
    </cfRule>
  </conditionalFormatting>
  <conditionalFormatting sqref="T22:T29">
    <cfRule type="expression" dxfId="2138" priority="29">
      <formula>ABS(T$25-T$28)&gt;=1000</formula>
    </cfRule>
  </conditionalFormatting>
  <conditionalFormatting sqref="U22:U29">
    <cfRule type="expression" dxfId="2137" priority="28">
      <formula>ABS(U$25-U$28)&gt;=1000</formula>
    </cfRule>
  </conditionalFormatting>
  <conditionalFormatting sqref="V22:V29">
    <cfRule type="expression" dxfId="2136" priority="27">
      <formula>ABS(V$25-V$28)&gt;=1000</formula>
    </cfRule>
  </conditionalFormatting>
  <conditionalFormatting sqref="W22:W29">
    <cfRule type="expression" dxfId="2135" priority="26">
      <formula>ABS(W$25-W$28)&gt;=1000</formula>
    </cfRule>
  </conditionalFormatting>
  <conditionalFormatting sqref="X22:X29">
    <cfRule type="expression" dxfId="2134" priority="25">
      <formula>ABS(X$25-X$28)&gt;=1000</formula>
    </cfRule>
  </conditionalFormatting>
  <conditionalFormatting sqref="Y22:Y29">
    <cfRule type="expression" dxfId="2133" priority="24">
      <formula>ABS(Y$25-Y$28)&gt;=1000</formula>
    </cfRule>
  </conditionalFormatting>
  <conditionalFormatting sqref="I23">
    <cfRule type="expression" dxfId="2132" priority="23">
      <formula>ABS(I$25-I$28)&gt;=1000</formula>
    </cfRule>
  </conditionalFormatting>
  <conditionalFormatting sqref="Q14">
    <cfRule type="expression" dxfId="2131" priority="22">
      <formula>ABS(Q$16-Q$19)&gt;=1000</formula>
    </cfRule>
  </conditionalFormatting>
  <conditionalFormatting sqref="W14">
    <cfRule type="expression" dxfId="2130" priority="21">
      <formula>ABS(W$16-W$19)&gt;=1000</formula>
    </cfRule>
  </conditionalFormatting>
  <conditionalFormatting sqref="X14">
    <cfRule type="expression" dxfId="2129" priority="20">
      <formula>ABS(X$16-X$19)&gt;=1000</formula>
    </cfRule>
  </conditionalFormatting>
  <conditionalFormatting sqref="T10:Y10">
    <cfRule type="expression" dxfId="2128" priority="19">
      <formula>ABS(T$7-T$10)&gt;=1000</formula>
    </cfRule>
  </conditionalFormatting>
  <conditionalFormatting sqref="W19">
    <cfRule type="expression" dxfId="2127" priority="18">
      <formula>ABS(W$16-W$19)&gt;=1000</formula>
    </cfRule>
  </conditionalFormatting>
  <conditionalFormatting sqref="AC5">
    <cfRule type="expression" dxfId="2126" priority="17">
      <formula>ABS(AC$7-AC$10)&gt;=1000</formula>
    </cfRule>
  </conditionalFormatting>
  <conditionalFormatting sqref="M14">
    <cfRule type="expression" dxfId="2125" priority="16">
      <formula>ABS(M$16-M$19)&gt;=1000</formula>
    </cfRule>
  </conditionalFormatting>
  <conditionalFormatting sqref="M16">
    <cfRule type="expression" dxfId="2124" priority="15">
      <formula>ABS(M$16-M$19)&gt;=1000</formula>
    </cfRule>
  </conditionalFormatting>
  <conditionalFormatting sqref="M19">
    <cfRule type="expression" dxfId="2123" priority="14">
      <formula>ABS(M$16-M$19)&gt;=1000</formula>
    </cfRule>
  </conditionalFormatting>
  <conditionalFormatting sqref="K13:K20">
    <cfRule type="expression" dxfId="2122" priority="13">
      <formula>ABS(K$16-K$19)&gt;=1000</formula>
    </cfRule>
  </conditionalFormatting>
  <conditionalFormatting sqref="E5">
    <cfRule type="expression" dxfId="2121" priority="12">
      <formula>ABS(E$7-E$10)&gt;=1000</formula>
    </cfRule>
  </conditionalFormatting>
  <conditionalFormatting sqref="AB14:AC14">
    <cfRule type="expression" dxfId="2120" priority="11">
      <formula>ABS(AB$16-AB$19)&gt;=1000</formula>
    </cfRule>
  </conditionalFormatting>
  <conditionalFormatting sqref="M5">
    <cfRule type="expression" dxfId="2119" priority="10">
      <formula>ABS(M$7-M$10)&gt;=1000</formula>
    </cfRule>
  </conditionalFormatting>
  <conditionalFormatting sqref="N5">
    <cfRule type="expression" dxfId="2118" priority="9">
      <formula>ABS(N$7-N$10)&gt;=1000</formula>
    </cfRule>
  </conditionalFormatting>
  <conditionalFormatting sqref="O5">
    <cfRule type="expression" dxfId="2117" priority="8">
      <formula>ABS(O$7-O$10)&gt;=1000</formula>
    </cfRule>
  </conditionalFormatting>
  <conditionalFormatting sqref="P5">
    <cfRule type="expression" dxfId="2116" priority="7">
      <formula>ABS(P$7-P$10)&gt;=1000</formula>
    </cfRule>
  </conditionalFormatting>
  <conditionalFormatting sqref="L23">
    <cfRule type="expression" dxfId="2115" priority="6">
      <formula>ABS(L$25-L$28)&gt;=1000</formula>
    </cfRule>
  </conditionalFormatting>
  <conditionalFormatting sqref="Y14">
    <cfRule type="expression" dxfId="2114" priority="5">
      <formula>ABS(Y$16-Y$19)&gt;=1000</formula>
    </cfRule>
  </conditionalFormatting>
  <conditionalFormatting sqref="F14">
    <cfRule type="expression" dxfId="2113" priority="4">
      <formula>ABS(F$16-F$19)&gt;=1000</formula>
    </cfRule>
  </conditionalFormatting>
  <conditionalFormatting sqref="H14">
    <cfRule type="expression" dxfId="2112" priority="3">
      <formula>ABS(H$16-H$19)&gt;=1000</formula>
    </cfRule>
  </conditionalFormatting>
  <conditionalFormatting sqref="AD5">
    <cfRule type="expression" dxfId="2111" priority="2">
      <formula>ABS(AD$7-AD$10)&gt;=1000</formula>
    </cfRule>
  </conditionalFormatting>
  <conditionalFormatting sqref="AE5">
    <cfRule type="expression" dxfId="211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569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84">
    <pageSetUpPr fitToPage="1"/>
  </sheetPr>
  <dimension ref="A1:CU223"/>
  <sheetViews>
    <sheetView view="pageBreakPreview" zoomScale="59" zoomScaleNormal="100" zoomScaleSheetLayoutView="59" workbookViewId="0">
      <selection activeCell="B31" sqref="B31:C3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46150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3" t="s" ph="1">
        <v>177</v>
      </c>
      <c r="D6" s="71">
        <v>7084</v>
      </c>
      <c r="E6" s="71">
        <v>8488</v>
      </c>
      <c r="F6" s="71">
        <v>5828</v>
      </c>
      <c r="G6" s="71">
        <v>4191</v>
      </c>
      <c r="H6" s="71">
        <v>8267</v>
      </c>
      <c r="I6" s="71">
        <v>0</v>
      </c>
      <c r="J6" s="71">
        <v>6.31</v>
      </c>
      <c r="K6" s="71">
        <v>7.35</v>
      </c>
      <c r="L6" s="71">
        <v>26.84</v>
      </c>
      <c r="M6" s="71">
        <v>488</v>
      </c>
      <c r="N6" s="71">
        <v>2585</v>
      </c>
      <c r="O6" s="71">
        <v>3164</v>
      </c>
      <c r="P6" s="71">
        <v>487</v>
      </c>
      <c r="Q6" s="71">
        <v>0</v>
      </c>
      <c r="R6" s="71">
        <v>0</v>
      </c>
      <c r="S6" s="71">
        <v>0</v>
      </c>
      <c r="T6" s="71">
        <v>0</v>
      </c>
      <c r="U6" s="71">
        <v>2021</v>
      </c>
      <c r="V6" s="71">
        <v>6754</v>
      </c>
      <c r="W6" s="71">
        <v>7039</v>
      </c>
      <c r="X6" s="71">
        <v>3964</v>
      </c>
      <c r="Y6" s="71">
        <v>2765</v>
      </c>
      <c r="Z6" s="71">
        <v>2926</v>
      </c>
      <c r="AA6" s="71">
        <v>6649</v>
      </c>
      <c r="AB6" s="71">
        <v>5775</v>
      </c>
      <c r="AC6" s="71">
        <v>5001</v>
      </c>
      <c r="AD6" s="71">
        <v>1783</v>
      </c>
      <c r="AE6" s="71">
        <v>4929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222891.8303304</v>
      </c>
      <c r="E7" s="73" ph="1">
        <f>E6*51.53*LOOKUP(E8,密度!$A$2:$A$50,密度!$B$2:$B$50)</f>
        <v>341773.92049599998</v>
      </c>
      <c r="F7" s="73" ph="1">
        <f>F6*33.183*LOOKUP(F8,密度!$A$2:$A$50,密度!$C$2:$C$50)</f>
        <v>214586.12543039999</v>
      </c>
      <c r="G7" s="73" ph="1">
        <f xml:space="preserve"> (G6+2)*51.53*LOOKUP(G8,密度!$A$2:$A$50,密度!$B$2:$B$50)</f>
        <v>168638.95884499999</v>
      </c>
      <c r="H7" s="73" ph="1">
        <f>(H6)*51.53*LOOKUP(H8,密度!$A$2:$A$50,密度!$B$2:$B$50)</f>
        <v>332491.83705500001</v>
      </c>
      <c r="I7" s="73" ph="1">
        <f>I6*290.8*1.0267</f>
        <v>0</v>
      </c>
      <c r="J7" s="73" ph="1">
        <f>J6*290.8*0.7892</f>
        <v>1448.1409615999999</v>
      </c>
      <c r="K7" s="73" ph="1">
        <f>K6*290.8*1.1126</f>
        <v>2378.048988</v>
      </c>
      <c r="L7" s="73" ph="1">
        <f>L6*290.8*0.777</f>
        <v>6064.5409440000003</v>
      </c>
      <c r="M7" s="73" ph="1">
        <f>M6*33.183*LOOKUP(M8,密度!$A$2:$A$50,密度!$D$2:$D$50)</f>
        <v>16594.8979392</v>
      </c>
      <c r="N7" s="73" ph="1">
        <f>N6*33.183*LOOKUP(N8,密度!$A$2:$A$50,密度!$E$2:$E$50)</f>
        <v>67087.016815499999</v>
      </c>
      <c r="O7" s="73" ph="1">
        <f>O6*20.428*LOOKUP(O8,密度!$A$2:$A$50,密度!$C$2:$C$50)</f>
        <v>71524.196867200008</v>
      </c>
      <c r="P7" s="73" ph="1">
        <f>P6*51.53*LOOKUP(P8,密度!$A$2:$A$50,密度!$B$2:$B$50)</f>
        <v>19609.318953999998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13414.2165234</v>
      </c>
      <c r="V7" s="73" ph="1">
        <f>V6*1.5*1.5*3.1416*LOOKUP(V8,密度!$A$2:$A$50,密度!$L$2:$L$50)</f>
        <v>44733.6209628</v>
      </c>
      <c r="W7" s="73" ph="1">
        <f>W6*1.5*1.5*3.1416*LOOKUP(W8,密度!$A$2:$A$50,密度!$L$2:$L$50)</f>
        <v>46671.011125199992</v>
      </c>
      <c r="X7" s="73" ph="1">
        <f>X6*1.5*1.5*3.1416*LOOKUP(X8,密度!$A$2:$A$50,密度!$L$2:$L$50)</f>
        <v>26478.834228</v>
      </c>
      <c r="Y7" s="73" ph="1">
        <f>Y6*1.5*1.5*3.1416*LOOKUP(Y8,密度!$A$2:$A$50,密度!$L$2:$L$50)</f>
        <v>18332.908901999999</v>
      </c>
      <c r="Z7" s="73" ph="1">
        <f>Z6*33.183*LOOKUP(Z8,密度!$A$2:$A$50,密度!$L$2:$L$50)</f>
        <v>91073.663603999987</v>
      </c>
      <c r="AA7" s="73" ph="1">
        <f>AA6*33.183*LOOKUP(AA8,密度!$A$2:$A$50,密度!$D$2:$D$50)</f>
        <v>227142.46312650002</v>
      </c>
      <c r="AB7" s="73" ph="1">
        <f>AB6*20.428*LOOKUP(AB8,密度!$A$2:$A$50,密度!$D$2:$D$50)</f>
        <v>121770.38874000001</v>
      </c>
      <c r="AC7" s="73" ph="1">
        <f>AC6*51.53*LOOKUP(AC8,密度!$A$2:$A$50,密度!$Q$2:$Q$50)</f>
        <v>244914.38008140001</v>
      </c>
      <c r="AD7" s="73" ph="1">
        <f>AD6*20.428*LOOKUP(AD8,密度!$A$2:$A$50,密度!$V$2:$V$50)</f>
        <v>34878.7835424</v>
      </c>
      <c r="AE7" s="73" ph="1">
        <f>AE6*20.428</f>
        <v>100689.61200000001</v>
      </c>
    </row>
    <row r="8" spans="1:99" ph="1">
      <c r="B8" s="241" ph="1"/>
      <c r="C8" s="68" t="s" ph="1">
        <v>179</v>
      </c>
      <c r="D8" s="74">
        <v>23</v>
      </c>
      <c r="E8" s="74">
        <v>23</v>
      </c>
      <c r="F8" s="74">
        <v>24</v>
      </c>
      <c r="G8" s="74">
        <v>24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26</v>
      </c>
      <c r="O8" s="74">
        <v>28</v>
      </c>
      <c r="P8" s="74">
        <v>23</v>
      </c>
      <c r="Q8" s="74">
        <v>28</v>
      </c>
      <c r="R8" s="74">
        <v>26</v>
      </c>
      <c r="S8" s="74">
        <v>24</v>
      </c>
      <c r="T8" s="74">
        <v>20</v>
      </c>
      <c r="U8" s="74">
        <v>23</v>
      </c>
      <c r="V8" s="74">
        <v>25</v>
      </c>
      <c r="W8" s="74">
        <v>24</v>
      </c>
      <c r="X8" s="74">
        <v>17</v>
      </c>
      <c r="Y8" s="74">
        <v>24</v>
      </c>
      <c r="Z8" s="74">
        <v>24</v>
      </c>
      <c r="AA8" s="74">
        <v>22</v>
      </c>
      <c r="AB8" s="74">
        <v>19</v>
      </c>
      <c r="AC8" s="74">
        <v>20</v>
      </c>
      <c r="AD8" s="74">
        <v>32</v>
      </c>
      <c r="AE8" s="74">
        <v>20</v>
      </c>
    </row>
    <row r="9" spans="1:99" ht="26.4" ph="1">
      <c r="B9" s="241" ph="1">
        <v>0.66666666666666663</v>
      </c>
      <c r="C9" s="153" t="s" ph="1">
        <v>180</v>
      </c>
      <c r="D9" s="71">
        <v>7087</v>
      </c>
      <c r="E9" s="71">
        <v>8491</v>
      </c>
      <c r="F9" s="71">
        <v>5830</v>
      </c>
      <c r="G9" s="71">
        <v>3330</v>
      </c>
      <c r="H9" s="71">
        <v>9149</v>
      </c>
      <c r="I9" s="71">
        <v>0</v>
      </c>
      <c r="J9" s="71">
        <v>6.35</v>
      </c>
      <c r="K9" s="71">
        <v>7.43</v>
      </c>
      <c r="L9" s="71">
        <v>10.28</v>
      </c>
      <c r="M9" s="71">
        <v>488</v>
      </c>
      <c r="N9" s="71">
        <v>2588</v>
      </c>
      <c r="O9" s="71">
        <v>3164</v>
      </c>
      <c r="P9" s="71">
        <v>759</v>
      </c>
      <c r="Q9" s="71">
        <v>2427</v>
      </c>
      <c r="R9" s="71">
        <v>0</v>
      </c>
      <c r="S9" s="71">
        <v>0</v>
      </c>
      <c r="T9" s="71">
        <v>0</v>
      </c>
      <c r="U9" s="71">
        <v>0</v>
      </c>
      <c r="V9" s="71">
        <v>3795</v>
      </c>
      <c r="W9" s="71">
        <v>7049</v>
      </c>
      <c r="X9" s="71">
        <v>6886</v>
      </c>
      <c r="Y9" s="71">
        <v>5325</v>
      </c>
      <c r="Z9" s="71">
        <v>630</v>
      </c>
      <c r="AA9" s="71">
        <v>6655</v>
      </c>
      <c r="AB9" s="71">
        <v>5775</v>
      </c>
      <c r="AC9" s="71">
        <v>4178</v>
      </c>
      <c r="AD9" s="71">
        <v>1863</v>
      </c>
      <c r="AE9" s="71">
        <v>5047</v>
      </c>
    </row>
    <row r="10" spans="1:99" s="72" customFormat="1" ht="22.2" ph="1">
      <c r="B10" s="241" ph="1"/>
      <c r="C10" s="153" t="s" ph="1">
        <v>178</v>
      </c>
      <c r="D10" s="73" ph="1">
        <f>D9*33.183*LOOKUP(D11,密度!$A$2:$A$50,密度!$Q$2:$Q$50)</f>
        <v>222642.87752754</v>
      </c>
      <c r="E10" s="73" ph="1">
        <f>E9*51.53*LOOKUP(E11,密度!$A$2:$A$50,密度!$B$2:$B$50)</f>
        <v>341107.14290799998</v>
      </c>
      <c r="F10" s="73" ph="1">
        <f>F9*33.183*LOOKUP(F11,密度!$A$2:$A$50,密度!$C$2:$C$50)</f>
        <v>214524.34532099997</v>
      </c>
      <c r="G10" s="73" ph="1">
        <f xml:space="preserve"> (G9+2)*51.53*LOOKUP(G11,密度!$A$2:$A$50,密度!$B$2:$B$50)</f>
        <v>133701.20145199998</v>
      </c>
      <c r="H10" s="73" ph="1">
        <f>(H9)*51.53*LOOKUP(H11,密度!$A$2:$A$50,密度!$B$2:$B$50)</f>
        <v>367116.534239</v>
      </c>
      <c r="I10" s="73" ph="1">
        <f>I9*290.8*1.0267</f>
        <v>0</v>
      </c>
      <c r="J10" s="73" ph="1">
        <f>J9*290.8*0.7892</f>
        <v>1457.3209360000001</v>
      </c>
      <c r="K10" s="73" ph="1">
        <f>K9*290.8*1.1126</f>
        <v>2403.9325143999999</v>
      </c>
      <c r="L10" s="73" ph="1">
        <f>L9*290.8*0.777</f>
        <v>2322.7824479999999</v>
      </c>
      <c r="M10" s="73" ph="1">
        <f>M9*33.183*LOOKUP(M11,密度!$A$2:$A$50,密度!$D$2:$D$50)</f>
        <v>16534.982714399997</v>
      </c>
      <c r="N10" s="73" ph="1">
        <f>N9*33.183*LOOKUP(N11,密度!$A$2:$A$50,密度!$E$2:$E$50)</f>
        <v>67070.408724000008</v>
      </c>
      <c r="O10" s="73" ph="1">
        <f>O9*20.428*LOOKUP(O11,密度!$A$2:$A$50,密度!$C$2:$C$50)</f>
        <v>71362.611387200013</v>
      </c>
      <c r="P10" s="73" ph="1">
        <f>P9*51.53*LOOKUP(P11,密度!$A$2:$A$50,密度!$B$2:$B$50)</f>
        <v>30491.146092000003</v>
      </c>
      <c r="Q10" s="73" ph="1">
        <f>Q9*1.5*1.5*3.1416*LOOKUP(W11,密度!$A$2:$A$50,密度!$L$2:$L$50)</f>
        <v>16057.540699200001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25081.690095000002</v>
      </c>
      <c r="W10" s="73" ph="1">
        <f>W9*1.5*1.5*3.1416*LOOKUP(W11,密度!$A$2:$A$50,密度!$L$2:$L$50)</f>
        <v>46637.661470400002</v>
      </c>
      <c r="X10" s="73" ph="1">
        <f>X9*1.5*1.5*3.1416*LOOKUP(X11,密度!$A$2:$A$50,密度!$L$2:$L$50)</f>
        <v>45753.916824</v>
      </c>
      <c r="Y10" s="73" ph="1">
        <f>Y9*1.5*1.5*3.1416*LOOKUP(Y11,密度!$A$2:$A$50,密度!$L$2:$L$50)</f>
        <v>35268.956415000001</v>
      </c>
      <c r="Z10" s="73" ph="1">
        <f>Z9*33.183*LOOKUP(Z11,密度!$A$2:$A$50,密度!$L$2:$L$50)</f>
        <v>19588.256730000001</v>
      </c>
      <c r="AA10" s="73" ph="1">
        <f>AA9*33.183*LOOKUP(AA11,密度!$A$2:$A$50,密度!$D$2:$D$50)</f>
        <v>227148.68493899997</v>
      </c>
      <c r="AB10" s="73" ph="1">
        <f>AB9*20.428*LOOKUP(AB11,密度!$A$2:$A$50,密度!$D$2:$D$50)</f>
        <v>121569.83685000001</v>
      </c>
      <c r="AC10" s="73" ph="1">
        <f>AC9*51.53*LOOKUP(AC11,密度!$A$2:$A$50,密度!$Q$2:$Q$50)</f>
        <v>203983.03337980001</v>
      </c>
      <c r="AD10" s="73" ph="1">
        <f>AD9*20.428*LOOKUP(AD11,密度!$A$2:$A$50,密度!$V$2:$V$50)</f>
        <v>36443.7317664</v>
      </c>
      <c r="AE10" s="73" ph="1">
        <f>AE9*20.428</f>
        <v>103100.11600000001</v>
      </c>
    </row>
    <row r="11" spans="1:99" ph="1">
      <c r="A11" s="64" t="s" ph="1">
        <v>162</v>
      </c>
      <c r="B11" s="241" ph="1"/>
      <c r="C11" s="153" t="s" ph="1">
        <v>179</v>
      </c>
      <c r="D11" s="74">
        <v>25</v>
      </c>
      <c r="E11" s="74">
        <v>25</v>
      </c>
      <c r="F11" s="74">
        <v>25</v>
      </c>
      <c r="G11" s="74">
        <v>26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27</v>
      </c>
      <c r="O11" s="74">
        <v>31</v>
      </c>
      <c r="P11" s="74">
        <v>25</v>
      </c>
      <c r="Q11" s="74">
        <v>30</v>
      </c>
      <c r="R11" s="74">
        <v>35</v>
      </c>
      <c r="S11" s="74">
        <v>25</v>
      </c>
      <c r="T11" s="74">
        <v>29</v>
      </c>
      <c r="U11" s="74">
        <v>25</v>
      </c>
      <c r="V11" s="74">
        <v>27</v>
      </c>
      <c r="W11" s="74">
        <v>26</v>
      </c>
      <c r="X11" s="74">
        <v>22</v>
      </c>
      <c r="Y11" s="74">
        <v>25</v>
      </c>
      <c r="Z11" s="74">
        <v>25</v>
      </c>
      <c r="AA11" s="74">
        <v>23</v>
      </c>
      <c r="AB11" s="74">
        <v>21</v>
      </c>
      <c r="AC11" s="74">
        <v>24</v>
      </c>
      <c r="AD11" s="74">
        <v>35</v>
      </c>
      <c r="AE11" s="74">
        <v>30</v>
      </c>
    </row>
    <row r="12" spans="1:99" ht="9.9" customHeight="1" ph="1"/>
    <row r="13" spans="1:99" s="72" customFormat="1" ht="29.25" customHeight="1" ph="1">
      <c r="B13" s="218" t="s" ph="1">
        <v>37</v>
      </c>
      <c r="C13" s="15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3" t="s" ph="1">
        <v>177</v>
      </c>
      <c r="D15" s="78">
        <v>4722</v>
      </c>
      <c r="E15" s="78">
        <v>5908</v>
      </c>
      <c r="F15" s="78">
        <v>2556</v>
      </c>
      <c r="G15" s="78">
        <v>2018</v>
      </c>
      <c r="H15" s="78">
        <v>0</v>
      </c>
      <c r="I15" s="78">
        <v>29</v>
      </c>
      <c r="J15" s="78">
        <v>2412</v>
      </c>
      <c r="K15" s="78">
        <v>5008</v>
      </c>
      <c r="L15" s="78">
        <v>1218</v>
      </c>
      <c r="M15" s="78">
        <v>3831</v>
      </c>
      <c r="N15" s="78">
        <v>405</v>
      </c>
      <c r="O15" s="78">
        <v>1956</v>
      </c>
      <c r="P15" s="78">
        <v>0</v>
      </c>
      <c r="Q15" s="78">
        <v>0</v>
      </c>
      <c r="R15" s="78">
        <v>0</v>
      </c>
      <c r="S15" s="78">
        <v>6463</v>
      </c>
      <c r="T15" s="78">
        <v>2324</v>
      </c>
      <c r="U15" s="78">
        <v>1705</v>
      </c>
      <c r="V15" s="78">
        <v>-817</v>
      </c>
      <c r="W15" s="71">
        <v>-174</v>
      </c>
      <c r="X15" s="78">
        <v>-321</v>
      </c>
      <c r="Y15" s="106">
        <v>-9906</v>
      </c>
      <c r="Z15" s="78">
        <v>0</v>
      </c>
      <c r="AA15" s="78">
        <v>270</v>
      </c>
      <c r="AB15" s="78" ph="1">
        <v>7142</v>
      </c>
      <c r="AC15" s="78" ph="1">
        <v>3334</v>
      </c>
      <c r="AD15" s="78">
        <v>5.6</v>
      </c>
      <c r="AE15" s="78">
        <v>52.3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3" t="s" ph="1">
        <v>178</v>
      </c>
      <c r="D16" s="73" ph="1">
        <f>D15*7.0686*LOOKUP(D17,密度!$A$2:$A$50,密度!$L$2:$L$50)</f>
        <v>31275.1196604</v>
      </c>
      <c r="E16" s="73" ph="1">
        <f>E15*7.0686*LOOKUP(E17,密度!$A$2:$A$50,密度!$L$2:$L$50)</f>
        <v>39130.327605600003</v>
      </c>
      <c r="F16" s="73" ph="1">
        <f>F15*9.0746*LOOKUP(F17,密度!$A$2:$A$50,密度!$L$2:$L$50)</f>
        <v>21687.023556</v>
      </c>
      <c r="G16" s="73" ph="1">
        <f>G15*9.0746*LOOKUP(G17,密度!$A$2:$A$50,密度!$B$2:$B$50)</f>
        <v>14245.32704412</v>
      </c>
      <c r="H16" s="73" ph="1">
        <f>H15*9.0746*LOOKUP(H17,密度!$A$2:$A$50,密度!$L$2:$L$50)</f>
        <v>0</v>
      </c>
      <c r="I16" s="73" ph="1">
        <f>I15*9.0746*LOOKUP(I17,密度!$A$2:$A$50,密度!$U$2:$U$50)</f>
        <v>269.74248499999999</v>
      </c>
      <c r="J16" s="73" ph="1">
        <f>J15*9.0746*LOOKUP(J17,密度!$A$2:$A$50,密度!$L$2:$L$50)</f>
        <v>20487.107347200003</v>
      </c>
      <c r="K16" s="73" ph="1">
        <f>K15*9.0746*LOOKUP(K17,密度!$A$2:$A$50,密度!$C$2:$C$50)</f>
        <v>50326.453896319996</v>
      </c>
      <c r="L16" s="73" ph="1">
        <f>L15*9.0746*LOOKUP(L17,密度!$A$2:$A$50,密度!$E$2:$E$50)</f>
        <v>8632.2858468000013</v>
      </c>
      <c r="M16" s="73" ph="1">
        <f>M15*9.0746*LOOKUP(M17,密度!$A$2:$A$50,密度!$M$2:$M$50)</f>
        <v>30353.140419060001</v>
      </c>
      <c r="N16" s="73" ph="1">
        <f>N15*9.0746*LOOKUP(N17,密度!$A$2:$A$50,密度!$M$2:$M$50)</f>
        <v>3219.1190667000001</v>
      </c>
      <c r="O16" s="73" ph="1">
        <f>O15*9.0746*LOOKUP(O17,密度!$A$2:$A$50,密度!$G$2:$G$50)</f>
        <v>17022.170978400001</v>
      </c>
      <c r="P16" s="73" ph="1">
        <f ca="1">P15*9.0746*LOOKUP(P17,密度!$A$2:$A$51,密度!$Q$2:$Q$50)</f>
        <v>0</v>
      </c>
      <c r="Q16" s="73" ph="1">
        <f>Q15*9.0746*LOOKUP(Q17,密度!$A$2:$A$50,密度!$Q$2:$Q$50)</f>
        <v>0</v>
      </c>
      <c r="R16" s="73" ph="1">
        <f>MAX(R15*9.0746*LOOKUP(R17,密度!$A$2:$A$50,密度!$B$2:$B$50),0)</f>
        <v>0</v>
      </c>
      <c r="S16" s="73" ph="1">
        <f>S15*9.0746*LOOKUP(S17,密度!$A$2:$A$50,密度!$Q$2:$Q$50)</f>
        <v>55525.486614252004</v>
      </c>
      <c r="T16" s="73" ph="1">
        <f>T15*9.0746*LOOKUP(T17,密度!$A$2:$A$50,密度!$O$2:$O$50)</f>
        <v>19528.756990400001</v>
      </c>
      <c r="U16" s="73" ph="1">
        <f>U15*9.0746*LOOKUP(U17,密度!$A$2:$A$50,密度!$H$2:$H$50)</f>
        <v>14215.850928400001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3802.7733593120001</v>
      </c>
      <c r="X16" s="73" ph="1">
        <f>MAX(5600*LOOKUP(X17,密度!$A$2:$A$50,密度!$I$2:$I$50)+X15*9.0476*LOOKUP(X17,密度!$A$2:$A$50,密度!$I$2:$I$50),0)</f>
        <v>2815.9495298400007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1914.5409588000002</v>
      </c>
      <c r="AB16" s="73" ph="1">
        <f>AB15*9.0746*LOOKUP(AB17,密度!$A$2:$A$50,密度!$L$2:$L$50)</f>
        <v>60533.280848800001</v>
      </c>
      <c r="AC16" s="73" ph="1">
        <f>AC15*9.0746*LOOKUP(AC17,密度!$A$2:$A$50,密度!$L$2:$L$50)</f>
        <v>28136.886252000004</v>
      </c>
      <c r="AD16" s="73" ph="1">
        <f>AD15*268.68*LOOKUP(AD17,密度!$A$2:$A$50,密度!B2:B50)+IF(AD15&lt;=0,0,1566*LOOKUP(AD17,密度!$A$2:$A$50,密度!B2:B50))</f>
        <v>2393.8459967999997</v>
      </c>
      <c r="AE16" s="73" ph="1">
        <f>AE15*268.68*LOOKUP(AE17,密度!$A$2:$A$50,密度!B2:B50)+IF(AE15&lt;=0,0,1566*LOOKUP(AE17,密度!$A$2:$A$50,密度!B2:B50))</f>
        <v>12175.7647344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25</v>
      </c>
      <c r="E17" s="74">
        <v>25</v>
      </c>
      <c r="F17" s="74">
        <v>27</v>
      </c>
      <c r="G17" s="74">
        <v>27</v>
      </c>
      <c r="H17" s="74">
        <v>22</v>
      </c>
      <c r="I17" s="74">
        <v>25</v>
      </c>
      <c r="J17" s="74">
        <v>26</v>
      </c>
      <c r="K17" s="74">
        <v>27</v>
      </c>
      <c r="L17" s="74">
        <v>27</v>
      </c>
      <c r="M17" s="74">
        <v>27</v>
      </c>
      <c r="N17" s="74">
        <v>24</v>
      </c>
      <c r="O17" s="74">
        <v>26</v>
      </c>
      <c r="P17" s="74">
        <v>24</v>
      </c>
      <c r="Q17" s="74">
        <v>25</v>
      </c>
      <c r="R17" s="74">
        <v>25</v>
      </c>
      <c r="S17" s="74">
        <v>25</v>
      </c>
      <c r="T17" s="74">
        <v>25</v>
      </c>
      <c r="U17" s="74">
        <v>21</v>
      </c>
      <c r="V17" s="74">
        <v>28</v>
      </c>
      <c r="W17" s="74">
        <v>28</v>
      </c>
      <c r="X17" s="74">
        <v>23</v>
      </c>
      <c r="Y17" s="108">
        <v>23</v>
      </c>
      <c r="Z17" s="74">
        <v>25</v>
      </c>
      <c r="AA17" s="74">
        <v>23</v>
      </c>
      <c r="AB17" s="74">
        <v>28</v>
      </c>
      <c r="AC17" s="74">
        <v>32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5907</v>
      </c>
      <c r="E18" s="71">
        <v>5878</v>
      </c>
      <c r="F18" s="71">
        <v>2795</v>
      </c>
      <c r="G18" s="71">
        <v>2154</v>
      </c>
      <c r="H18" s="71">
        <v>0</v>
      </c>
      <c r="I18" s="71">
        <v>28</v>
      </c>
      <c r="J18" s="71">
        <v>2415</v>
      </c>
      <c r="K18" s="71">
        <v>5011</v>
      </c>
      <c r="L18" s="71">
        <v>1221</v>
      </c>
      <c r="M18" s="71">
        <v>3007</v>
      </c>
      <c r="N18" s="71">
        <v>947</v>
      </c>
      <c r="O18" s="71">
        <v>1958</v>
      </c>
      <c r="P18" s="71">
        <v>0</v>
      </c>
      <c r="Q18" s="71">
        <v>0</v>
      </c>
      <c r="R18" s="71">
        <v>0</v>
      </c>
      <c r="S18" s="71">
        <v>6472</v>
      </c>
      <c r="T18" s="71">
        <v>2056</v>
      </c>
      <c r="U18" s="71">
        <v>1706</v>
      </c>
      <c r="V18" s="71">
        <v>-817</v>
      </c>
      <c r="W18" s="71">
        <v>-174</v>
      </c>
      <c r="X18" s="71">
        <v>-322</v>
      </c>
      <c r="Y18" s="109">
        <v>-9907</v>
      </c>
      <c r="Z18" s="71">
        <v>0</v>
      </c>
      <c r="AA18" s="71">
        <v>271</v>
      </c>
      <c r="AB18" s="71">
        <v>7146</v>
      </c>
      <c r="AC18" s="71">
        <v>3351</v>
      </c>
      <c r="AD18" s="71">
        <v>27.46</v>
      </c>
      <c r="AE18" s="71">
        <v>84.61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3" t="s" ph="1">
        <v>178</v>
      </c>
      <c r="D19" s="73" ph="1">
        <f>D18*7.0686*LOOKUP(D20,密度!$A$2:$A$50,密度!$L$2:$L$50)</f>
        <v>38914.933226400004</v>
      </c>
      <c r="E19" s="73" ph="1">
        <f>E18*7.0686*LOOKUP(E20,密度!$A$2:$A$50,密度!$L$2:$L$50)</f>
        <v>38723.883105599998</v>
      </c>
      <c r="F19" s="73" ph="1">
        <f>F18*9.0746*LOOKUP(F20,密度!$A$2:$A$50,密度!$L$2:$L$50)</f>
        <v>23638.788524000003</v>
      </c>
      <c r="G19" s="73" ph="1">
        <f>G18*9.0746*LOOKUP(G20,密度!$A$2:$A$50,密度!$B$2:$B$50)</f>
        <v>15221.006257079998</v>
      </c>
      <c r="H19" s="73" ph="1">
        <f>H18*9.0746*LOOKUP(H20,密度!$A$2:$A$50,密度!$L$2:$L$50)</f>
        <v>0</v>
      </c>
      <c r="I19" s="73" ph="1">
        <f>I18*9.0746*LOOKUP(I20,密度!$A$2:$A$50,密度!$U$2:$U$50)</f>
        <v>259.17057599999998</v>
      </c>
      <c r="J19" s="73" ph="1">
        <f>J18*9.0746*LOOKUP(J20,密度!$A$2:$A$50,密度!$L$2:$L$50)</f>
        <v>20468.758506000002</v>
      </c>
      <c r="K19" s="73" ph="1">
        <f>K18*9.0746*LOOKUP(K20,密度!$A$2:$A$50,密度!$C$2:$C$50)</f>
        <v>50388.432506860001</v>
      </c>
      <c r="L19" s="73" ph="1">
        <f>L18*9.0746*LOOKUP(L20,密度!$A$2:$A$50,密度!$E$2:$E$50)</f>
        <v>8615.8753401600006</v>
      </c>
      <c r="M19" s="73" ph="1">
        <f>M18*9.0746*LOOKUP(M20,密度!$A$2:$A$50,密度!$M$2:$M$50)</f>
        <v>23737.241581780003</v>
      </c>
      <c r="N19" s="73" ph="1">
        <f>N18*9.0746*LOOKUP(N20,密度!$A$2:$A$50,密度!$M$2:$M$50)</f>
        <v>7520.2997896200004</v>
      </c>
      <c r="O19" s="73" ph="1">
        <f>O18*9.0746*LOOKUP(O20,密度!$A$2:$A$50,密度!$G$2:$G$50)</f>
        <v>17021.807994399998</v>
      </c>
      <c r="P19" s="73" ph="1">
        <f ca="1">P18*9.0746*LOOKUP(P20,密度!$A$2:$A$51,密度!$Q$2:$Q$50)</f>
        <v>0</v>
      </c>
      <c r="Q19" s="73" ph="1">
        <f>Q18*9.0746*LOOKUP(Q20,密度!$A$2:$A$50,密度!$Q$2:$Q$50)</f>
        <v>0</v>
      </c>
      <c r="R19" s="73" ph="1">
        <f>MAX(R18*9.0746*LOOKUP(R20,密度!$A$2:$A$50,密度!$B$2:$B$50),0)</f>
        <v>0</v>
      </c>
      <c r="S19" s="73" ph="1">
        <f>S18*9.0746*LOOKUP(S20,密度!$A$2:$A$50,密度!$Q$2:$Q$50)</f>
        <v>55561.109319536008</v>
      </c>
      <c r="T19" s="73" ph="1">
        <f>T18*9.0746*LOOKUP(T20,密度!$A$2:$A$50,密度!$O$2:$O$50)</f>
        <v>17276.731657600001</v>
      </c>
      <c r="U19" s="73" ph="1">
        <f>U18*9.0746*LOOKUP(U20,密度!$A$2:$A$50,密度!$H$2:$H$50)</f>
        <v>14160.71547372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3797.580183608</v>
      </c>
      <c r="X19" s="73" ph="1">
        <f>MAX(5600*LOOKUP(X20,密度!$A$2:$A$50,密度!$I$2:$I$50)+X18*9.0476*LOOKUP(X20,密度!$A$2:$A$50,密度!$I$2:$I$50),0)</f>
        <v>2800.3190594400003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1910.8112982000002</v>
      </c>
      <c r="AB19" s="73" ph="1">
        <f>AB18*9.0746*LOOKUP(AB20,密度!$A$2:$A$50,密度!$L$2:$L$50)</f>
        <v>60567.183554400006</v>
      </c>
      <c r="AC19" s="73" ph="1">
        <f>AC18*9.0746*LOOKUP(AC20,密度!$A$2:$A$50,密度!$L$2:$L$50)</f>
        <v>28341.173647200001</v>
      </c>
      <c r="AD19" s="73" ph="1">
        <f>AD18*268.68*LOOKUP(AD20,密度!$A$2:$A$50,密度!B5:B53)+IF(AD18&lt;=0,0,1566*LOOKUP(AD20,密度!$A$2:$A$50,密度!B5:B53))</f>
        <v>6949.4513256</v>
      </c>
      <c r="AE19" s="73" ph="1">
        <f>AE18*268.68*LOOKUP(AE20,密度!$A$2:$A$50,密度!B5:B53)+IF(AE18&lt;=0,0,1566*LOOKUP(AE20,密度!$A$2:$A$50,密度!B5:B53))</f>
        <v>18880.334499600001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30</v>
      </c>
      <c r="E20" s="81">
        <v>30</v>
      </c>
      <c r="F20" s="81">
        <v>30</v>
      </c>
      <c r="G20" s="81">
        <v>26</v>
      </c>
      <c r="H20" s="81">
        <v>23</v>
      </c>
      <c r="I20" s="81">
        <v>30</v>
      </c>
      <c r="J20" s="81">
        <v>28</v>
      </c>
      <c r="K20" s="81">
        <v>26</v>
      </c>
      <c r="L20" s="81">
        <v>30</v>
      </c>
      <c r="M20" s="81">
        <v>30</v>
      </c>
      <c r="N20" s="81">
        <v>25</v>
      </c>
      <c r="O20" s="81">
        <v>27</v>
      </c>
      <c r="P20" s="81">
        <v>30</v>
      </c>
      <c r="Q20" s="81">
        <v>30</v>
      </c>
      <c r="R20" s="81">
        <v>30</v>
      </c>
      <c r="S20" s="81">
        <v>26</v>
      </c>
      <c r="T20" s="81">
        <v>27</v>
      </c>
      <c r="U20" s="81">
        <v>25</v>
      </c>
      <c r="V20" s="81">
        <v>30</v>
      </c>
      <c r="W20" s="81">
        <v>30</v>
      </c>
      <c r="X20" s="81">
        <v>25</v>
      </c>
      <c r="Y20" s="110">
        <v>25</v>
      </c>
      <c r="Z20" s="81">
        <v>28</v>
      </c>
      <c r="AA20" s="81">
        <v>28</v>
      </c>
      <c r="AB20" s="81">
        <v>28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3" t="s" ph="1">
        <v>177</v>
      </c>
      <c r="D24" s="71">
        <v>4.33</v>
      </c>
      <c r="E24" s="71">
        <v>5.63</v>
      </c>
      <c r="F24" s="71">
        <v>0</v>
      </c>
      <c r="G24" s="71">
        <v>3733</v>
      </c>
      <c r="H24" s="71">
        <v>3182</v>
      </c>
      <c r="I24" s="71">
        <v>0</v>
      </c>
      <c r="J24" s="71">
        <v>217</v>
      </c>
      <c r="K24" s="71">
        <v>248</v>
      </c>
      <c r="L24" s="71">
        <v>469</v>
      </c>
      <c r="M24" s="71">
        <v>4844</v>
      </c>
      <c r="N24" s="71">
        <v>2458</v>
      </c>
      <c r="O24" s="71">
        <v>5417</v>
      </c>
      <c r="P24" s="71">
        <v>1162</v>
      </c>
      <c r="Q24" s="90">
        <v>2745</v>
      </c>
      <c r="R24" s="71">
        <v>4670</v>
      </c>
      <c r="S24" s="71">
        <v>565</v>
      </c>
      <c r="T24" s="71">
        <v>1476</v>
      </c>
      <c r="U24" s="71">
        <v>6721</v>
      </c>
      <c r="V24" s="71">
        <v>10630</v>
      </c>
      <c r="W24" s="71">
        <v>1940</v>
      </c>
      <c r="X24" s="71">
        <v>2507</v>
      </c>
      <c r="Y24" s="71">
        <v>5688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2584.017386856</v>
      </c>
      <c r="E25" s="91" ph="1">
        <f>E24*268.68*LOOKUP(E26,密度!$A$2:$A$50,密度!$C$2:$C$50)+IF(E24&lt;=0,0,1566*LOOKUP(E26,密度!$A$2:$A$50,密度!$C$2:$C$50))</f>
        <v>3413.93538876</v>
      </c>
      <c r="F25" s="91" ph="1">
        <f>F24*11.702*LOOKUP(F26,密度!$A$2:$A$50,密度!$Q$2:$Q$50)</f>
        <v>0</v>
      </c>
      <c r="G25" s="91" ph="1">
        <f>G24*18.322*LOOKUP(G26,密度!$A$2:$A$50,密度!$B$2:$B$50)</f>
        <v>53444.6547164</v>
      </c>
      <c r="H25" s="91" ph="1">
        <f>H24*18.322*LOOKUP(H26,密度!$A$2:$A$50,密度!$B$2:$B$50)</f>
        <v>45608.562509199997</v>
      </c>
      <c r="I25" s="91" ph="1">
        <f>I24*18.322*LOOKUP(I26,密度!$A$2:$A$50,密度!$Q$2:$Q$50)</f>
        <v>0</v>
      </c>
      <c r="J25" s="91" ph="1">
        <f>J24*18.322*LOOKUP(J26,密度!$A$2:$A$50,密度!$Q$2:$Q$50)</f>
        <v>3769.9237268000002</v>
      </c>
      <c r="K25" s="91" ph="1">
        <f>K24*18.322*LOOKUP(K26,密度!$A$2:$A$50,密度!$Q$2:$Q$50)</f>
        <v>4312.5282910400001</v>
      </c>
      <c r="L25" s="91" ph="1">
        <f>L24*18.322*LOOKUP(L26,密度!$A$2:$A$50,密度!$Q$2:$Q$50)</f>
        <v>8141.6267644600002</v>
      </c>
      <c r="M25" s="91" ph="1">
        <f>M24*18.322*LOOKUP(M26,密度!$A$2:$A$50,密度!$Q$2:$Q$50)</f>
        <v>84089.63762696</v>
      </c>
      <c r="N25" s="91" ph="1">
        <f>N24*18.322*LOOKUP(N26,密度!$A$2:$A$50,密度!$Q$2:$Q$50)</f>
        <v>42702.6383432</v>
      </c>
      <c r="O25" s="91" ph="1">
        <f>O24*18.322*LOOKUP(O26,密度!$A$2:$A$50,密度!$C$2:$C$50)</f>
        <v>110276.97944139999</v>
      </c>
      <c r="P25" s="91" ph="1">
        <f>P24*11.702*LOOKUP(P26,密度!$A$2:$A$50,密度!$B$2:$B$50)</f>
        <v>10625.2615336</v>
      </c>
      <c r="Q25" s="92" ph="1">
        <f>Q24*18.322*LOOKUP(Q26,密度!$A$2:$A$50,密度!$B$2:$B$50)</f>
        <v>39390.174648</v>
      </c>
      <c r="R25" s="91" ph="1">
        <f>R24*35.891*LOOKUP(R26,密度!$A$2:$A$50,密度!$C$2:$C$50)</f>
        <v>185981.132312</v>
      </c>
      <c r="S25" s="91" ph="1">
        <f>S24*35.891*LOOKUP(S26,密度!$A$2:$A$50,密度!$B$2:$B$50)</f>
        <v>15809.052333999996</v>
      </c>
      <c r="T25" s="91" ph="1">
        <f>T24*35.891*LOOKUP(T26,密度!$A$2:$A$50,密度!$Q$2:$Q$50)</f>
        <v>50278.152844439996</v>
      </c>
      <c r="U25" s="91" ph="1">
        <f>U24*35.891</f>
        <v>241223.41099999999</v>
      </c>
      <c r="V25" s="91" ph="1">
        <f>V24*47.051*LOOKUP(V26,密度!$A$2:$A$50,密度!$B$2:$B$50)</f>
        <v>391719.148216</v>
      </c>
      <c r="W25" s="91" ph="1">
        <f>W24*47.051*LOOKUP(W26,密度!$A$2:$A$50,密度!$B$2:$B$50)</f>
        <v>71243.212669999994</v>
      </c>
      <c r="X25" s="91" ph="1">
        <f>X24*47.051*LOOKUP(X26,密度!$A$2:$A$61,密度!$I$2:$I$61)</f>
        <v>122816.67950839999</v>
      </c>
      <c r="Y25" s="91" ph="1">
        <f>Y24*47.051*LOOKUP(Y26,密度!$A$2:$A$50,密度!$L$2:$L$50)</f>
        <v>250765.64445600001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22</v>
      </c>
      <c r="G26" s="74">
        <v>23</v>
      </c>
      <c r="H26" s="74">
        <v>22</v>
      </c>
      <c r="I26" s="74">
        <v>22</v>
      </c>
      <c r="J26" s="74">
        <v>23</v>
      </c>
      <c r="K26" s="74">
        <v>22</v>
      </c>
      <c r="L26" s="74">
        <v>24</v>
      </c>
      <c r="M26" s="74">
        <v>24</v>
      </c>
      <c r="N26" s="74">
        <v>23</v>
      </c>
      <c r="O26" s="74">
        <v>22</v>
      </c>
      <c r="P26" s="74">
        <v>23</v>
      </c>
      <c r="Q26" s="93">
        <v>21</v>
      </c>
      <c r="R26" s="74">
        <v>24</v>
      </c>
      <c r="S26" s="74">
        <v>25</v>
      </c>
      <c r="T26" s="74">
        <v>22</v>
      </c>
      <c r="U26" s="74">
        <v>25</v>
      </c>
      <c r="V26" s="74">
        <v>21</v>
      </c>
      <c r="W26" s="74">
        <v>24</v>
      </c>
      <c r="X26" s="74">
        <v>26</v>
      </c>
      <c r="Y26" s="74">
        <v>25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3" t="s" ph="1">
        <v>180</v>
      </c>
      <c r="D27" s="71">
        <v>4.3099999999999996</v>
      </c>
      <c r="E27" s="71">
        <v>5.64</v>
      </c>
      <c r="F27" s="71">
        <v>0</v>
      </c>
      <c r="G27" s="71">
        <v>3066</v>
      </c>
      <c r="H27" s="71">
        <v>2696</v>
      </c>
      <c r="I27" s="71">
        <v>0</v>
      </c>
      <c r="J27" s="71">
        <v>212</v>
      </c>
      <c r="K27" s="71">
        <v>245</v>
      </c>
      <c r="L27" s="71">
        <v>465</v>
      </c>
      <c r="M27" s="71">
        <v>4848</v>
      </c>
      <c r="N27" s="71">
        <v>2458</v>
      </c>
      <c r="O27" s="71">
        <v>5415</v>
      </c>
      <c r="P27" s="71">
        <v>1160</v>
      </c>
      <c r="Q27" s="90">
        <v>3114</v>
      </c>
      <c r="R27" s="71">
        <v>4149</v>
      </c>
      <c r="S27" s="71">
        <v>562</v>
      </c>
      <c r="T27" s="71">
        <v>1030</v>
      </c>
      <c r="U27" s="71">
        <v>6761</v>
      </c>
      <c r="V27" s="71">
        <v>10637</v>
      </c>
      <c r="W27" s="71">
        <v>1624</v>
      </c>
      <c r="X27" s="71">
        <v>2382</v>
      </c>
      <c r="Y27" s="71">
        <v>6465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3" t="s" ph="1">
        <v>178</v>
      </c>
      <c r="D28" s="91" ph="1">
        <f>D27*268.68*LOOKUP(D29,密度!$A$2:$A$50,密度!$Q$2:$Q$50)+IF(D27&lt;=0,0,1566*LOOKUP(D29,密度!$A$2:$A$50,密度!$Q$2:$Q$50))</f>
        <v>2578.9299847920001</v>
      </c>
      <c r="E28" s="91" ph="1">
        <f>E27*268.68*LOOKUP(E29,密度!$A$2:$A$50,密度!$C$2:$C$50)+IF(E27&lt;=0,0,1566*LOOKUP(E29,密度!$A$2:$A$50,密度!$C$2:$C$50))</f>
        <v>3416.9147812800002</v>
      </c>
      <c r="F28" s="91" ph="1">
        <f>F27*11.702*LOOKUP(F29,密度!$A$2:$A$50,密度!$Q$2:$Q$50)</f>
        <v>0</v>
      </c>
      <c r="G28" s="91" ph="1">
        <f>G27*18.322*LOOKUP(G29,密度!$A$2:$A$50,密度!$B$2:$B$50)</f>
        <v>43844.784185999997</v>
      </c>
      <c r="H28" s="91" ph="1">
        <f>H27*18.322*LOOKUP(H29,密度!$A$2:$A$50,密度!$B$2:$B$50)</f>
        <v>38509.208915199997</v>
      </c>
      <c r="I28" s="91" ph="1">
        <f>I27*18.322*LOOKUP(I29,密度!$A$2:$A$50,密度!$Q$2:$Q$50)</f>
        <v>0</v>
      </c>
      <c r="J28" s="91" ph="1">
        <f>J27*18.322*LOOKUP(J29,密度!$A$2:$A$50,密度!$Q$2:$Q$50)</f>
        <v>3680.2236120799998</v>
      </c>
      <c r="K28" s="91" ph="1">
        <f>K27*18.322*LOOKUP(K29,密度!$A$2:$A$50,密度!$Q$2:$Q$50)</f>
        <v>4256.3654979999992</v>
      </c>
      <c r="L28" s="91" ph="1">
        <f>L27*18.322*LOOKUP(L29,密度!$A$2:$A$50,密度!$Q$2:$Q$50)</f>
        <v>8078.4079860000002</v>
      </c>
      <c r="M28" s="91" ph="1">
        <f>M27*18.322*LOOKUP(M29,密度!$A$2:$A$50,密度!$Q$2:$Q$50)</f>
        <v>84094.233517439992</v>
      </c>
      <c r="N28" s="91" ph="1">
        <f>N27*18.322*LOOKUP(N29,密度!$A$2:$A$50,密度!$Q$2:$Q$50)</f>
        <v>42702.6383432</v>
      </c>
      <c r="O28" s="91" ph="1">
        <f>O27*18.322*LOOKUP(O29,密度!$A$2:$A$50,密度!$C$2:$C$50)</f>
        <v>110236.26429299999</v>
      </c>
      <c r="P28" s="91" ph="1">
        <f>P27*11.702*LOOKUP(P29,密度!$A$2:$A$50,密度!$B$2:$B$50)</f>
        <v>10631.407423999999</v>
      </c>
      <c r="Q28" s="92" ph="1">
        <f>Q27*18.322*LOOKUP(Q29,密度!$A$2:$A$50,密度!$B$2:$B$50)</f>
        <v>44685.247305600002</v>
      </c>
      <c r="R28" s="91" ph="1">
        <f>R27*35.891*LOOKUP(R29,密度!$A$2:$A$50,密度!$C$2:$C$50)</f>
        <v>165574.98483210002</v>
      </c>
      <c r="S28" s="91" ph="1">
        <f>S27*35.891*LOOKUP(S29,密度!$A$2:$A$50,密度!$B$2:$B$50)</f>
        <v>15743.264130999998</v>
      </c>
      <c r="T28" s="91" ph="1">
        <f>T27*35.891*LOOKUP(T29,密度!$A$2:$A$50,密度!$Q$2:$Q$50)</f>
        <v>34998.8287002</v>
      </c>
      <c r="U28" s="91" ph="1">
        <f>U27*35.891</f>
        <v>242659.05099999998</v>
      </c>
      <c r="V28" s="91" ph="1">
        <f>V27*47.051*LOOKUP(V29,密度!$A$2:$A$50,密度!$B$2:$B$50)</f>
        <v>391076.23394180002</v>
      </c>
      <c r="W28" s="91" ph="1">
        <f>W27*47.051*LOOKUP(W29,密度!$A$2:$A$50,密度!$B$2:$B$50)</f>
        <v>59501.1086488</v>
      </c>
      <c r="X28" s="91" ph="1">
        <f>X27*47.051*LOOKUP(X29,密度!$A$2:$A$61,密度!$I$2:$I$61)</f>
        <v>116446.425798</v>
      </c>
      <c r="Y28" s="91" ph="1">
        <f>Y27*47.051*LOOKUP(Y29,密度!$A$2:$A$50,密度!$L$2:$L$50)</f>
        <v>284412.70852500002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3" t="s" ph="1">
        <v>179</v>
      </c>
      <c r="D29" s="74">
        <v>25</v>
      </c>
      <c r="E29" s="74">
        <v>25</v>
      </c>
      <c r="F29" s="74">
        <v>24</v>
      </c>
      <c r="G29" s="74">
        <v>24</v>
      </c>
      <c r="H29" s="74">
        <v>25</v>
      </c>
      <c r="I29" s="74">
        <v>23</v>
      </c>
      <c r="J29" s="74">
        <v>24</v>
      </c>
      <c r="K29" s="74">
        <v>23</v>
      </c>
      <c r="L29" s="74">
        <v>23</v>
      </c>
      <c r="M29" s="74">
        <v>25</v>
      </c>
      <c r="N29" s="74">
        <v>23</v>
      </c>
      <c r="O29" s="74">
        <v>22</v>
      </c>
      <c r="P29" s="74">
        <v>21</v>
      </c>
      <c r="Q29" s="93">
        <v>21</v>
      </c>
      <c r="R29" s="74">
        <v>21</v>
      </c>
      <c r="S29" s="74">
        <v>24</v>
      </c>
      <c r="T29" s="74">
        <v>25</v>
      </c>
      <c r="U29" s="74">
        <v>27</v>
      </c>
      <c r="V29" s="74">
        <v>23</v>
      </c>
      <c r="W29" s="74">
        <v>26</v>
      </c>
      <c r="X29" s="74">
        <v>28</v>
      </c>
      <c r="Y29" s="74">
        <v>27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3" t="s" ph="1">
        <v>5</v>
      </c>
      <c r="F32" s="152" t="s" ph="1">
        <v>43</v>
      </c>
      <c r="G32" s="97" t="s" ph="1">
        <v>4</v>
      </c>
      <c r="H32" s="153" t="s" ph="1">
        <v>5</v>
      </c>
      <c r="I32" s="152" t="s" ph="1">
        <v>43</v>
      </c>
      <c r="J32" s="97" t="s" ph="1">
        <v>4</v>
      </c>
      <c r="K32" s="153" t="s" ph="1">
        <v>5</v>
      </c>
      <c r="L32" s="152" t="s" ph="1">
        <v>43</v>
      </c>
      <c r="M32" s="97" t="s" ph="1">
        <v>4</v>
      </c>
      <c r="N32" s="153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2" t="s" ph="1">
        <v>43</v>
      </c>
      <c r="AB32" s="97" t="s" ph="1">
        <v>85</v>
      </c>
      <c r="AC32" s="15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348718.52178899996</v>
      </c>
      <c r="E33" s="190" ph="1">
        <f>M10+I10</f>
        <v>16534.982714399997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[[#This Row],[F25]]</f>
        <v>3880</v>
      </c>
      <c r="G33" s="216" ph="1">
        <f>N19</f>
        <v>7520.2997896200004</v>
      </c>
      <c r="H33" s="190" ph="1">
        <f>M19</f>
        <v>23737.241581780003</v>
      </c>
      <c r="I33" s="194" ph="1">
        <v>0</v>
      </c>
      <c r="J33" s="198" ph="1">
        <f>F10+O28</f>
        <v>324760.60961399996</v>
      </c>
      <c r="K33" s="190" ph="1">
        <f>O10+K10+E28+R28</f>
        <v>242758.44351498003</v>
      </c>
      <c r="L33" s="200" ph="1">
        <f>K19</f>
        <v>50388.432506860001</v>
      </c>
      <c r="M33" s="198" ph="1">
        <f>G10+H10+W28+S28+V28+E10+R19+P28+Q28</f>
        <v>1363562.1400502</v>
      </c>
      <c r="N33" s="190" ph="1">
        <f>L10+P10++G28+H28+AD19+AE19</f>
        <v>140997.7074664</v>
      </c>
      <c r="O33" s="194" ph="1">
        <f>G19</f>
        <v>15221.006257079998</v>
      </c>
      <c r="P33" s="198" ph="1">
        <f>L19</f>
        <v>8615.8753401600006</v>
      </c>
      <c r="Q33" s="190" ph="1">
        <f>J10+N10</f>
        <v>68527.729660000012</v>
      </c>
      <c r="R33" s="194" ph="1">
        <f>BE23</f>
        <v>890</v>
      </c>
      <c r="S33" s="198" ph="1">
        <f>X28</f>
        <v>116446.425798</v>
      </c>
      <c r="T33" s="190" ph="1">
        <f>X19</f>
        <v>2800.3190594400003</v>
      </c>
      <c r="U33" s="179" ph="1">
        <f>BE21</f>
        <v>730</v>
      </c>
      <c r="V33" s="192" ph="1">
        <f ca="1">P19+Q19+S19+M28+N28+J28+D10+AC10+D19+E19+H19+J19+O19+V19+W19+K28+L28</f>
        <v>743925.85219960404</v>
      </c>
      <c r="W33" s="192" ph="1">
        <f>D28+F28+T28+I28</f>
        <v>37577.758684991997</v>
      </c>
      <c r="X33" s="194" ph="1">
        <f>BE29+BE31</f>
        <v>10200</v>
      </c>
      <c r="Y33" s="196" ph="1">
        <f>+Q10+R10+S10+T10+U10+V10+W10+X10+Y10</f>
        <v>168799.76550359998</v>
      </c>
      <c r="Z33" s="177" ph="1">
        <f>T19+U19+Y28+Z10</f>
        <v>335438.41238632007</v>
      </c>
      <c r="AA33" s="179" ph="1">
        <f>BE19</f>
        <v>1440</v>
      </c>
      <c r="AB33" s="181" ph="1">
        <f>I19</f>
        <v>259.17057599999998</v>
      </c>
      <c r="AC33" s="183" ph="1">
        <f>AD10+AB19</f>
        <v>97010.915320800006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1" t="s" ph="1">
        <v>185</v>
      </c>
      <c r="AA36" s="151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342</v>
      </c>
      <c r="AI37" s="151" t="s" ph="1">
        <v>209</v>
      </c>
      <c r="AJ37" s="151" t="s" ph="1">
        <v>210</v>
      </c>
      <c r="AK37" s="151" t="s" ph="1">
        <v>211</v>
      </c>
      <c r="AM37" s="151" t="s" ph="1">
        <v>210</v>
      </c>
      <c r="AN37" s="151" t="s" ph="1">
        <v>211</v>
      </c>
      <c r="AO37" s="151" t="s" ph="1">
        <v>212</v>
      </c>
      <c r="AP37" s="151" t="s" ph="1">
        <v>210</v>
      </c>
      <c r="AQ37" s="151" t="s" ph="1">
        <v>211</v>
      </c>
      <c r="AR37" s="151" t="s" ph="1">
        <v>212</v>
      </c>
      <c r="AS37" s="151" t="s" ph="1">
        <v>210</v>
      </c>
      <c r="AT37" s="151" t="s" ph="1">
        <v>211</v>
      </c>
      <c r="AU37" s="151" t="s" ph="1">
        <v>212</v>
      </c>
      <c r="AV37" s="151" t="s" ph="1">
        <v>210</v>
      </c>
      <c r="AW37" s="151" t="s" ph="1">
        <v>211</v>
      </c>
      <c r="AX37" s="151" t="s" ph="1">
        <v>212</v>
      </c>
      <c r="AY37" s="151" t="s" ph="1">
        <v>211</v>
      </c>
      <c r="AZ37" s="151" t="s" ph="1">
        <v>213</v>
      </c>
      <c r="BD37" s="151" t="s" ph="1">
        <v>305</v>
      </c>
      <c r="BE37" s="15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079" priority="100">
      <formula>ABS(D$7-D$10)&gt;=1000</formula>
    </cfRule>
  </conditionalFormatting>
  <conditionalFormatting sqref="E4 E6:E11">
    <cfRule type="expression" dxfId="2078" priority="99">
      <formula>ABS(E$7-E$10)&gt;=1000</formula>
    </cfRule>
  </conditionalFormatting>
  <conditionalFormatting sqref="F4:F11">
    <cfRule type="expression" dxfId="2077" priority="98">
      <formula>ABS(F$7-F$10)&gt;=1000</formula>
    </cfRule>
  </conditionalFormatting>
  <conditionalFormatting sqref="G4:G11">
    <cfRule type="expression" dxfId="2076" priority="97">
      <formula>ABS(G$7-G$10)&gt;=1000</formula>
    </cfRule>
  </conditionalFormatting>
  <conditionalFormatting sqref="H4:H11">
    <cfRule type="expression" dxfId="2075" priority="96">
      <formula>ABS(H$7-H$10)&gt;=1000</formula>
    </cfRule>
  </conditionalFormatting>
  <conditionalFormatting sqref="I4:I11">
    <cfRule type="expression" dxfId="2074" priority="95">
      <formula>ABS(I$7-I$10)&gt;=1000</formula>
    </cfRule>
  </conditionalFormatting>
  <conditionalFormatting sqref="J4:J11">
    <cfRule type="expression" dxfId="2073" priority="94">
      <formula>ABS(J$7-J$10)&gt;=1000</formula>
    </cfRule>
  </conditionalFormatting>
  <conditionalFormatting sqref="K4:K11">
    <cfRule type="expression" dxfId="2072" priority="93">
      <formula>ABS(K$7-K$10)&gt;=1000</formula>
    </cfRule>
  </conditionalFormatting>
  <conditionalFormatting sqref="L4:L11">
    <cfRule type="expression" dxfId="2071" priority="92">
      <formula>ABS(L$7-L$10)&gt;=1000</formula>
    </cfRule>
  </conditionalFormatting>
  <conditionalFormatting sqref="M4 M6:M11">
    <cfRule type="expression" dxfId="2070" priority="91">
      <formula>ABS(M$7-M$10)&gt;=1000</formula>
    </cfRule>
  </conditionalFormatting>
  <conditionalFormatting sqref="N4 N6:N11">
    <cfRule type="expression" dxfId="2069" priority="90">
      <formula>ABS(N$7-N$10)&gt;=1000</formula>
    </cfRule>
  </conditionalFormatting>
  <conditionalFormatting sqref="O4 O6:O11">
    <cfRule type="expression" dxfId="2068" priority="89">
      <formula>ABS(O$7-O$10)&gt;=1000</formula>
    </cfRule>
  </conditionalFormatting>
  <conditionalFormatting sqref="P4 P6:P11">
    <cfRule type="expression" dxfId="2067" priority="88">
      <formula>ABS(P$7-P$10)&gt;=1000</formula>
    </cfRule>
  </conditionalFormatting>
  <conditionalFormatting sqref="Q4:Q11">
    <cfRule type="expression" dxfId="2066" priority="87">
      <formula>ABS(Q$7-Q$10)&gt;=1000</formula>
    </cfRule>
  </conditionalFormatting>
  <conditionalFormatting sqref="R4:R11">
    <cfRule type="expression" dxfId="2065" priority="86">
      <formula>ABS(R$7-R$10)&gt;=1000</formula>
    </cfRule>
  </conditionalFormatting>
  <conditionalFormatting sqref="S4:S11">
    <cfRule type="expression" dxfId="2064" priority="85">
      <formula>ABS(S$7-S$10)&gt;=1000</formula>
    </cfRule>
  </conditionalFormatting>
  <conditionalFormatting sqref="T4:T9 T11">
    <cfRule type="expression" dxfId="2063" priority="84">
      <formula>ABS(T$7-T$10)&gt;=1000</formula>
    </cfRule>
  </conditionalFormatting>
  <conditionalFormatting sqref="U4:U9 U11">
    <cfRule type="expression" dxfId="2062" priority="83">
      <formula>ABS(U$7-U$10)&gt;=1000</formula>
    </cfRule>
  </conditionalFormatting>
  <conditionalFormatting sqref="V4:V9 V11">
    <cfRule type="expression" dxfId="2061" priority="82">
      <formula>ABS(V$7-V$10)&gt;=1000</formula>
    </cfRule>
  </conditionalFormatting>
  <conditionalFormatting sqref="W4:W9 W11">
    <cfRule type="expression" dxfId="2060" priority="81">
      <formula>ABS(W$7-W$10)&gt;=1000</formula>
    </cfRule>
  </conditionalFormatting>
  <conditionalFormatting sqref="X4:X9 X11">
    <cfRule type="expression" dxfId="2059" priority="80">
      <formula>ABS(X$7-X$10)&gt;=1000</formula>
    </cfRule>
  </conditionalFormatting>
  <conditionalFormatting sqref="Y4:Y9 Y11">
    <cfRule type="expression" dxfId="2058" priority="79">
      <formula>ABS(Y$7-Y$10)&gt;=1000</formula>
    </cfRule>
  </conditionalFormatting>
  <conditionalFormatting sqref="Z4:Z11">
    <cfRule type="expression" dxfId="2057" priority="78">
      <formula>ABS(Z$7-Z$10)&gt;=1000</formula>
    </cfRule>
  </conditionalFormatting>
  <conditionalFormatting sqref="AA4:AA11">
    <cfRule type="expression" dxfId="2056" priority="77">
      <formula>ABS(AA$7-AA$10)&gt;=1000</formula>
    </cfRule>
  </conditionalFormatting>
  <conditionalFormatting sqref="AB4:AB11">
    <cfRule type="expression" dxfId="2055" priority="76">
      <formula>ABS(AB$7-AB$10)&gt;=1000</formula>
    </cfRule>
  </conditionalFormatting>
  <conditionalFormatting sqref="AC4 AC6:AC11">
    <cfRule type="expression" dxfId="2054" priority="75">
      <formula>ABS(AC$7-AC$10)&gt;=1000</formula>
    </cfRule>
  </conditionalFormatting>
  <conditionalFormatting sqref="AD4 AD6:AD11">
    <cfRule type="expression" dxfId="2053" priority="74">
      <formula>ABS(AD$7-AD$10)&gt;=1000</formula>
    </cfRule>
  </conditionalFormatting>
  <conditionalFormatting sqref="AE4 AE6:AE11">
    <cfRule type="expression" dxfId="2052" priority="73">
      <formula>ABS(AE$7-AE$10)&gt;=1000</formula>
    </cfRule>
  </conditionalFormatting>
  <conditionalFormatting sqref="D13:D20">
    <cfRule type="expression" dxfId="2051" priority="72">
      <formula>ABS(D$16-D$19)&gt;=1000</formula>
    </cfRule>
  </conditionalFormatting>
  <conditionalFormatting sqref="E13:E20">
    <cfRule type="expression" dxfId="2050" priority="71">
      <formula>ABS(E$16-E$19)&gt;=1000</formula>
    </cfRule>
  </conditionalFormatting>
  <conditionalFormatting sqref="F13 F15:F20">
    <cfRule type="expression" dxfId="2049" priority="70">
      <formula>ABS(F$16-F$19)&gt;=1000</formula>
    </cfRule>
  </conditionalFormatting>
  <conditionalFormatting sqref="G13:G20">
    <cfRule type="expression" dxfId="2048" priority="69">
      <formula>ABS(G$16-G$19)&gt;=1000</formula>
    </cfRule>
  </conditionalFormatting>
  <conditionalFormatting sqref="H13 H15:H20">
    <cfRule type="expression" dxfId="2047" priority="68">
      <formula>ABS(H$16-H$19)&gt;=1000</formula>
    </cfRule>
  </conditionalFormatting>
  <conditionalFormatting sqref="I13:I20">
    <cfRule type="expression" dxfId="2046" priority="67">
      <formula>ABS(I$16-I$19)&gt;=1000</formula>
    </cfRule>
  </conditionalFormatting>
  <conditionalFormatting sqref="J13:J20">
    <cfRule type="expression" dxfId="2045" priority="66">
      <formula>ABS(J$16-J$19)&gt;=1000</formula>
    </cfRule>
  </conditionalFormatting>
  <conditionalFormatting sqref="L13:L20">
    <cfRule type="expression" dxfId="2044" priority="65">
      <formula>ABS(L$16-L$19)&gt;=1000</formula>
    </cfRule>
  </conditionalFormatting>
  <conditionalFormatting sqref="M13 M15 M17:M18 M20">
    <cfRule type="expression" dxfId="2043" priority="64">
      <formula>ABS(M$16-M$19)&gt;=1000</formula>
    </cfRule>
  </conditionalFormatting>
  <conditionalFormatting sqref="N13:N20">
    <cfRule type="expression" dxfId="2042" priority="63">
      <formula>ABS(N$16-N$19)&gt;=1000</formula>
    </cfRule>
  </conditionalFormatting>
  <conditionalFormatting sqref="O13:O20">
    <cfRule type="expression" dxfId="2041" priority="62">
      <formula>ABS(O$16-O$19)&gt;=1000</formula>
    </cfRule>
  </conditionalFormatting>
  <conditionalFormatting sqref="P13:P20">
    <cfRule type="expression" dxfId="2040" priority="61">
      <formula>ABS(P$16-P$19)&gt;=1000</formula>
    </cfRule>
  </conditionalFormatting>
  <conditionalFormatting sqref="Q13 Q15:Q20">
    <cfRule type="expression" dxfId="2039" priority="60">
      <formula>ABS(Q$16-Q$19)&gt;=1000</formula>
    </cfRule>
  </conditionalFormatting>
  <conditionalFormatting sqref="R13:R20">
    <cfRule type="expression" dxfId="2038" priority="59">
      <formula>ABS(R$16-R$19)&gt;=1000</formula>
    </cfRule>
  </conditionalFormatting>
  <conditionalFormatting sqref="S13:S20">
    <cfRule type="expression" dxfId="2037" priority="58">
      <formula>ABS(S$16-S$19)&gt;=1000</formula>
    </cfRule>
  </conditionalFormatting>
  <conditionalFormatting sqref="T13:T20">
    <cfRule type="expression" dxfId="2036" priority="57">
      <formula>ABS(T$16-T$19)&gt;=1000</formula>
    </cfRule>
  </conditionalFormatting>
  <conditionalFormatting sqref="U13:U20">
    <cfRule type="expression" dxfId="2035" priority="56">
      <formula>ABS(U$16-U$19)&gt;=1000</formula>
    </cfRule>
  </conditionalFormatting>
  <conditionalFormatting sqref="V13:V20">
    <cfRule type="expression" dxfId="2034" priority="55">
      <formula>ABS(V$16-V$19)&gt;=1000</formula>
    </cfRule>
  </conditionalFormatting>
  <conditionalFormatting sqref="W13 W20 W15:W18">
    <cfRule type="expression" dxfId="2033" priority="54">
      <formula>ABS(W$16-W$19)&gt;=1000</formula>
    </cfRule>
  </conditionalFormatting>
  <conditionalFormatting sqref="X13 X15:X20 Y19">
    <cfRule type="expression" dxfId="2032" priority="53">
      <formula>ABS(X$16-X$19)&gt;=1000</formula>
    </cfRule>
  </conditionalFormatting>
  <conditionalFormatting sqref="Y13 Y15:Y18 Y20">
    <cfRule type="expression" dxfId="2031" priority="52">
      <formula>ABS(Y$16-Y$19)&gt;=1000</formula>
    </cfRule>
  </conditionalFormatting>
  <conditionalFormatting sqref="Z13:Z20">
    <cfRule type="expression" dxfId="2030" priority="51">
      <formula>ABS(Z$16-Z$19)&gt;=1000</formula>
    </cfRule>
  </conditionalFormatting>
  <conditionalFormatting sqref="AA13:AA20">
    <cfRule type="expression" dxfId="2029" priority="50">
      <formula>ABS(AA$16-AA$19)&gt;=1000</formula>
    </cfRule>
  </conditionalFormatting>
  <conditionalFormatting sqref="AB13 AB15:AB20">
    <cfRule type="expression" dxfId="2028" priority="49">
      <formula>ABS(AB$16-AB$19)&gt;=1000</formula>
    </cfRule>
  </conditionalFormatting>
  <conditionalFormatting sqref="AC13 AC15:AC20">
    <cfRule type="expression" dxfId="2027" priority="48">
      <formula>ABS(AC$16-AC$19)&gt;=1000</formula>
    </cfRule>
  </conditionalFormatting>
  <conditionalFormatting sqref="AD13:AD20">
    <cfRule type="expression" dxfId="2026" priority="47">
      <formula>ABS(AD$16-AD$19)&gt;=1000</formula>
    </cfRule>
  </conditionalFormatting>
  <conditionalFormatting sqref="AE13:AE20">
    <cfRule type="expression" dxfId="2025" priority="46">
      <formula>ABS(AE$16-AE$19)&gt;=1000</formula>
    </cfRule>
  </conditionalFormatting>
  <conditionalFormatting sqref="D22:D29">
    <cfRule type="expression" dxfId="2024" priority="45">
      <formula>ABS(D$25-D$28)&gt;=1000</formula>
    </cfRule>
  </conditionalFormatting>
  <conditionalFormatting sqref="E22:E29">
    <cfRule type="expression" dxfId="2023" priority="44">
      <formula>ABS(E$25-E$28)&gt;=1000</formula>
    </cfRule>
  </conditionalFormatting>
  <conditionalFormatting sqref="F22:F29">
    <cfRule type="expression" dxfId="2022" priority="43">
      <formula>ABS(F$25-F$28)&gt;=1000</formula>
    </cfRule>
  </conditionalFormatting>
  <conditionalFormatting sqref="G22:G29">
    <cfRule type="expression" dxfId="2021" priority="42">
      <formula>ABS(G$25-G$28)&gt;=1000</formula>
    </cfRule>
  </conditionalFormatting>
  <conditionalFormatting sqref="H22:H29">
    <cfRule type="expression" dxfId="2020" priority="41">
      <formula>ABS(H$25-H$28)&gt;=1000</formula>
    </cfRule>
  </conditionalFormatting>
  <conditionalFormatting sqref="I22 I24:I29">
    <cfRule type="expression" dxfId="2019" priority="40">
      <formula>ABS(I$25-I$28)&gt;=1000</formula>
    </cfRule>
  </conditionalFormatting>
  <conditionalFormatting sqref="J22:J29 K22">
    <cfRule type="expression" dxfId="2018" priority="39">
      <formula>ABS(J$25-J$28)&gt;=1000</formula>
    </cfRule>
  </conditionalFormatting>
  <conditionalFormatting sqref="K23:K29 L25 L28">
    <cfRule type="expression" dxfId="2017" priority="38">
      <formula>ABS(K$25-K$28)&gt;=1000</formula>
    </cfRule>
  </conditionalFormatting>
  <conditionalFormatting sqref="L22 L26:L27 L29 L24">
    <cfRule type="expression" dxfId="2016" priority="37">
      <formula>ABS(L$25-L$28)&gt;=1000</formula>
    </cfRule>
  </conditionalFormatting>
  <conditionalFormatting sqref="M22:M29">
    <cfRule type="expression" dxfId="2015" priority="36">
      <formula>ABS(M$25-M$28)&gt;=1000</formula>
    </cfRule>
  </conditionalFormatting>
  <conditionalFormatting sqref="N22:N29">
    <cfRule type="expression" dxfId="2014" priority="35">
      <formula>ABS(N$25-N$28)&gt;=1000</formula>
    </cfRule>
  </conditionalFormatting>
  <conditionalFormatting sqref="O22:O29">
    <cfRule type="expression" dxfId="2013" priority="34">
      <formula>ABS(O$25-O$28)&gt;=1000</formula>
    </cfRule>
  </conditionalFormatting>
  <conditionalFormatting sqref="P22:P29">
    <cfRule type="expression" dxfId="2012" priority="33">
      <formula>ABS(P$25-P$28)&gt;=1000</formula>
    </cfRule>
  </conditionalFormatting>
  <conditionalFormatting sqref="Q22:Q29">
    <cfRule type="expression" dxfId="2011" priority="32">
      <formula>ABS(Q$25-Q$28)&gt;=1000</formula>
    </cfRule>
  </conditionalFormatting>
  <conditionalFormatting sqref="R22:R29">
    <cfRule type="expression" dxfId="2010" priority="31">
      <formula>ABS(R$25-R$28)&gt;=1000</formula>
    </cfRule>
  </conditionalFormatting>
  <conditionalFormatting sqref="S22:S29">
    <cfRule type="expression" dxfId="2009" priority="30">
      <formula>ABS(S$25-S$28)&gt;=1000</formula>
    </cfRule>
  </conditionalFormatting>
  <conditionalFormatting sqref="T22:T29">
    <cfRule type="expression" dxfId="2008" priority="29">
      <formula>ABS(T$25-T$28)&gt;=1000</formula>
    </cfRule>
  </conditionalFormatting>
  <conditionalFormatting sqref="U22:U29">
    <cfRule type="expression" dxfId="2007" priority="28">
      <formula>ABS(U$25-U$28)&gt;=1000</formula>
    </cfRule>
  </conditionalFormatting>
  <conditionalFormatting sqref="V22:V29">
    <cfRule type="expression" dxfId="2006" priority="27">
      <formula>ABS(V$25-V$28)&gt;=1000</formula>
    </cfRule>
  </conditionalFormatting>
  <conditionalFormatting sqref="W22:W29">
    <cfRule type="expression" dxfId="2005" priority="26">
      <formula>ABS(W$25-W$28)&gt;=1000</formula>
    </cfRule>
  </conditionalFormatting>
  <conditionalFormatting sqref="X22:X29">
    <cfRule type="expression" dxfId="2004" priority="25">
      <formula>ABS(X$25-X$28)&gt;=1000</formula>
    </cfRule>
  </conditionalFormatting>
  <conditionalFormatting sqref="Y22:Y29">
    <cfRule type="expression" dxfId="2003" priority="24">
      <formula>ABS(Y$25-Y$28)&gt;=1000</formula>
    </cfRule>
  </conditionalFormatting>
  <conditionalFormatting sqref="I23">
    <cfRule type="expression" dxfId="2002" priority="23">
      <formula>ABS(I$25-I$28)&gt;=1000</formula>
    </cfRule>
  </conditionalFormatting>
  <conditionalFormatting sqref="Q14">
    <cfRule type="expression" dxfId="2001" priority="22">
      <formula>ABS(Q$16-Q$19)&gt;=1000</formula>
    </cfRule>
  </conditionalFormatting>
  <conditionalFormatting sqref="W14">
    <cfRule type="expression" dxfId="2000" priority="21">
      <formula>ABS(W$16-W$19)&gt;=1000</formula>
    </cfRule>
  </conditionalFormatting>
  <conditionalFormatting sqref="X14">
    <cfRule type="expression" dxfId="1999" priority="20">
      <formula>ABS(X$16-X$19)&gt;=1000</formula>
    </cfRule>
  </conditionalFormatting>
  <conditionalFormatting sqref="T10:Y10">
    <cfRule type="expression" dxfId="1998" priority="19">
      <formula>ABS(T$7-T$10)&gt;=1000</formula>
    </cfRule>
  </conditionalFormatting>
  <conditionalFormatting sqref="W19">
    <cfRule type="expression" dxfId="1997" priority="18">
      <formula>ABS(W$16-W$19)&gt;=1000</formula>
    </cfRule>
  </conditionalFormatting>
  <conditionalFormatting sqref="AC5">
    <cfRule type="expression" dxfId="1996" priority="17">
      <formula>ABS(AC$7-AC$10)&gt;=1000</formula>
    </cfRule>
  </conditionalFormatting>
  <conditionalFormatting sqref="M14">
    <cfRule type="expression" dxfId="1995" priority="16">
      <formula>ABS(M$16-M$19)&gt;=1000</formula>
    </cfRule>
  </conditionalFormatting>
  <conditionalFormatting sqref="M16">
    <cfRule type="expression" dxfId="1994" priority="15">
      <formula>ABS(M$16-M$19)&gt;=1000</formula>
    </cfRule>
  </conditionalFormatting>
  <conditionalFormatting sqref="M19">
    <cfRule type="expression" dxfId="1993" priority="14">
      <formula>ABS(M$16-M$19)&gt;=1000</formula>
    </cfRule>
  </conditionalFormatting>
  <conditionalFormatting sqref="K13:K20">
    <cfRule type="expression" dxfId="1992" priority="13">
      <formula>ABS(K$16-K$19)&gt;=1000</formula>
    </cfRule>
  </conditionalFormatting>
  <conditionalFormatting sqref="E5">
    <cfRule type="expression" dxfId="1991" priority="12">
      <formula>ABS(E$7-E$10)&gt;=1000</formula>
    </cfRule>
  </conditionalFormatting>
  <conditionalFormatting sqref="AB14:AC14">
    <cfRule type="expression" dxfId="1990" priority="11">
      <formula>ABS(AB$16-AB$19)&gt;=1000</formula>
    </cfRule>
  </conditionalFormatting>
  <conditionalFormatting sqref="M5">
    <cfRule type="expression" dxfId="1989" priority="10">
      <formula>ABS(M$7-M$10)&gt;=1000</formula>
    </cfRule>
  </conditionalFormatting>
  <conditionalFormatting sqref="N5">
    <cfRule type="expression" dxfId="1988" priority="9">
      <formula>ABS(N$7-N$10)&gt;=1000</formula>
    </cfRule>
  </conditionalFormatting>
  <conditionalFormatting sqref="O5">
    <cfRule type="expression" dxfId="1987" priority="8">
      <formula>ABS(O$7-O$10)&gt;=1000</formula>
    </cfRule>
  </conditionalFormatting>
  <conditionalFormatting sqref="P5">
    <cfRule type="expression" dxfId="1986" priority="7">
      <formula>ABS(P$7-P$10)&gt;=1000</formula>
    </cfRule>
  </conditionalFormatting>
  <conditionalFormatting sqref="L23">
    <cfRule type="expression" dxfId="1985" priority="6">
      <formula>ABS(L$25-L$28)&gt;=1000</formula>
    </cfRule>
  </conditionalFormatting>
  <conditionalFormatting sqref="Y14">
    <cfRule type="expression" dxfId="1984" priority="5">
      <formula>ABS(Y$16-Y$19)&gt;=1000</formula>
    </cfRule>
  </conditionalFormatting>
  <conditionalFormatting sqref="F14">
    <cfRule type="expression" dxfId="1983" priority="4">
      <formula>ABS(F$16-F$19)&gt;=1000</formula>
    </cfRule>
  </conditionalFormatting>
  <conditionalFormatting sqref="H14">
    <cfRule type="expression" dxfId="1982" priority="3">
      <formula>ABS(H$16-H$19)&gt;=1000</formula>
    </cfRule>
  </conditionalFormatting>
  <conditionalFormatting sqref="AD5">
    <cfRule type="expression" dxfId="1981" priority="2">
      <formula>ABS(AD$7-AD$10)&gt;=1000</formula>
    </cfRule>
  </conditionalFormatting>
  <conditionalFormatting sqref="AE5">
    <cfRule type="expression" dxfId="198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85">
    <pageSetUpPr fitToPage="1"/>
  </sheetPr>
  <dimension ref="A1:CU223"/>
  <sheetViews>
    <sheetView view="pageBreakPreview" topLeftCell="A10" zoomScale="59" zoomScaleNormal="100" zoomScaleSheetLayoutView="59" workbookViewId="0">
      <selection activeCell="B31" sqref="B31:C3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46153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3" t="s" ph="1">
        <v>177</v>
      </c>
      <c r="D6" s="71">
        <v>4476</v>
      </c>
      <c r="E6" s="71">
        <v>8486</v>
      </c>
      <c r="F6" s="71">
        <v>5829</v>
      </c>
      <c r="G6" s="71">
        <v>2500</v>
      </c>
      <c r="H6" s="71">
        <v>9142</v>
      </c>
      <c r="I6" s="71">
        <v>50</v>
      </c>
      <c r="J6" s="71">
        <v>6.31</v>
      </c>
      <c r="K6" s="71">
        <v>7.49</v>
      </c>
      <c r="L6" s="71">
        <v>7.53</v>
      </c>
      <c r="M6" s="71">
        <v>1147</v>
      </c>
      <c r="N6" s="71">
        <v>2583</v>
      </c>
      <c r="O6" s="71">
        <v>3164</v>
      </c>
      <c r="P6" s="71">
        <v>1177</v>
      </c>
      <c r="Q6" s="71">
        <v>7163</v>
      </c>
      <c r="R6" s="71">
        <v>4151</v>
      </c>
      <c r="S6" s="71">
        <v>2419</v>
      </c>
      <c r="T6" s="71">
        <v>0</v>
      </c>
      <c r="U6" s="71">
        <v>0</v>
      </c>
      <c r="V6" s="71">
        <v>0</v>
      </c>
      <c r="W6" s="71">
        <v>0</v>
      </c>
      <c r="X6" s="71">
        <v>6868</v>
      </c>
      <c r="Y6" s="71">
        <v>5319</v>
      </c>
      <c r="Z6" s="71">
        <v>627</v>
      </c>
      <c r="AA6" s="71">
        <v>5303</v>
      </c>
      <c r="AB6" s="71">
        <v>5775</v>
      </c>
      <c r="AC6" s="71">
        <v>5036</v>
      </c>
      <c r="AD6" s="71">
        <v>1848</v>
      </c>
      <c r="AE6" s="71">
        <v>4905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140833.40380560001</v>
      </c>
      <c r="E7" s="73" ph="1">
        <f>E6*51.53*LOOKUP(E8,密度!$A$2:$A$50,密度!$B$2:$B$50)</f>
        <v>341693.38941200002</v>
      </c>
      <c r="F7" s="73" ph="1">
        <f>F6*33.183*LOOKUP(F8,密度!$A$2:$A$50,密度!$C$2:$C$50)</f>
        <v>214777.68425280001</v>
      </c>
      <c r="G7" s="73" ph="1">
        <f xml:space="preserve"> (G6+2)*51.53*LOOKUP(G8,密度!$A$2:$A$50,密度!$B$2:$B$50)</f>
        <v>101092.491846</v>
      </c>
      <c r="H7" s="73" ph="1">
        <f>(H6)*51.53*LOOKUP(H8,密度!$A$2:$A$50,密度!$B$2:$B$50)</f>
        <v>369379.52056600002</v>
      </c>
      <c r="I7" s="73" ph="1">
        <f>I6*290.8*1.0267</f>
        <v>14928.217999999999</v>
      </c>
      <c r="J7" s="73" ph="1">
        <f>J6*290.8*0.7892</f>
        <v>1448.1409615999999</v>
      </c>
      <c r="K7" s="73" ph="1">
        <f>K6*290.8*1.1126</f>
        <v>2423.3451592000001</v>
      </c>
      <c r="L7" s="73" ph="1">
        <f>L6*290.8*0.777</f>
        <v>1701.4155480000002</v>
      </c>
      <c r="M7" s="73" ph="1">
        <f>M6*33.183*LOOKUP(M8,密度!$A$2:$A$50,密度!$D$2:$D$50)</f>
        <v>39111.381867600001</v>
      </c>
      <c r="N7" s="73" ph="1">
        <f>N6*33.183*LOOKUP(N8,密度!$A$2:$A$50,密度!$E$2:$E$50)</f>
        <v>67129.394824799994</v>
      </c>
      <c r="O7" s="73" ph="1">
        <f>O6*20.428*LOOKUP(O8,密度!$A$2:$A$50,密度!$C$2:$C$50)</f>
        <v>71575.904220800003</v>
      </c>
      <c r="P7" s="73" ph="1">
        <f>P6*51.53*LOOKUP(P8,密度!$A$2:$A$50,密度!$B$2:$B$50)</f>
        <v>47447.128663000003</v>
      </c>
      <c r="Q7" s="73" ph="1">
        <f>Q6*1.5*1.5*3.1416*LOOKUP(W8,密度!$A$2:$A$50,密度!$L$2:$L$50)</f>
        <v>47543.806510199996</v>
      </c>
      <c r="R7" s="73" ph="1">
        <f>R6*1.5*1.5*3.1416*LOOKUP(R8,密度!$A$2:$A$50,密度!$L$2:$L$50)</f>
        <v>27493.227808200001</v>
      </c>
      <c r="S7" s="73" ph="1">
        <f>S6*1.5*1.5*3.1416*LOOKUP(S8,密度!$A$2:$A$50,密度!$L$2:$L$50)</f>
        <v>16055.907852599999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45877.051835999999</v>
      </c>
      <c r="Y7" s="73" ph="1">
        <f>Y6*1.5*1.5*3.1416*LOOKUP(Y8,密度!$A$2:$A$50,密度!$L$2:$L$50)</f>
        <v>35266.814629199995</v>
      </c>
      <c r="Z7" s="73" ph="1">
        <f>Z6*33.183*LOOKUP(Z8,密度!$A$2:$A$50,密度!$L$2:$L$50)</f>
        <v>19640.619503999998</v>
      </c>
      <c r="AA7" s="73" ph="1">
        <f>AA6*33.183*LOOKUP(AA8,密度!$A$2:$A$50,密度!$D$2:$D$50)</f>
        <v>181160.54774550002</v>
      </c>
      <c r="AB7" s="73" ph="1">
        <f>AB6*20.428*LOOKUP(AB8,密度!$A$2:$A$50,密度!$D$2:$D$50)</f>
        <v>121876.56327</v>
      </c>
      <c r="AC7" s="73" ph="1">
        <f>AC6*51.53*LOOKUP(AC8,密度!$A$2:$A$50,密度!$Q$2:$Q$50)</f>
        <v>246628.43793040002</v>
      </c>
      <c r="AD7" s="73" ph="1">
        <f>AD6*20.428*LOOKUP(AD8,密度!$A$2:$A$50,密度!$V$2:$V$50)</f>
        <v>36271.106995200003</v>
      </c>
      <c r="AE7" s="73" ph="1">
        <f>AE6*20.428</f>
        <v>100199.34000000001</v>
      </c>
    </row>
    <row r="8" spans="1:99" ph="1">
      <c r="B8" s="241" ph="1"/>
      <c r="C8" s="68" t="s" ph="1">
        <v>179</v>
      </c>
      <c r="D8" s="74">
        <v>23</v>
      </c>
      <c r="E8" s="74">
        <v>23</v>
      </c>
      <c r="F8" s="74">
        <v>23</v>
      </c>
      <c r="G8" s="74">
        <v>20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25</v>
      </c>
      <c r="O8" s="74">
        <v>27</v>
      </c>
      <c r="P8" s="74">
        <v>22</v>
      </c>
      <c r="Q8" s="74">
        <v>27</v>
      </c>
      <c r="R8" s="74">
        <v>25</v>
      </c>
      <c r="S8" s="74">
        <v>23</v>
      </c>
      <c r="T8" s="74">
        <v>21</v>
      </c>
      <c r="U8" s="74">
        <v>23</v>
      </c>
      <c r="V8" s="74">
        <v>25</v>
      </c>
      <c r="W8" s="74">
        <v>23</v>
      </c>
      <c r="X8" s="74">
        <v>17</v>
      </c>
      <c r="Y8" s="74">
        <v>24</v>
      </c>
      <c r="Z8" s="74">
        <v>18</v>
      </c>
      <c r="AA8" s="74">
        <v>22</v>
      </c>
      <c r="AB8" s="74">
        <v>18</v>
      </c>
      <c r="AC8" s="74">
        <v>20</v>
      </c>
      <c r="AD8" s="74">
        <v>25</v>
      </c>
      <c r="AE8" s="74">
        <v>27</v>
      </c>
    </row>
    <row r="9" spans="1:99" ht="26.4" ph="1">
      <c r="B9" s="241" ph="1">
        <v>0.66666666666666663</v>
      </c>
      <c r="C9" s="153" t="s" ph="1">
        <v>180</v>
      </c>
      <c r="D9" s="71">
        <v>4061</v>
      </c>
      <c r="E9" s="71">
        <v>8488</v>
      </c>
      <c r="F9" s="71">
        <v>5830</v>
      </c>
      <c r="G9" s="71">
        <v>1611</v>
      </c>
      <c r="H9" s="71">
        <v>9145</v>
      </c>
      <c r="I9" s="71">
        <v>15.16</v>
      </c>
      <c r="J9" s="71">
        <v>6.33</v>
      </c>
      <c r="K9" s="71">
        <v>7.44</v>
      </c>
      <c r="L9" s="71">
        <v>73.38</v>
      </c>
      <c r="M9" s="71">
        <v>1176</v>
      </c>
      <c r="N9" s="71">
        <v>2559</v>
      </c>
      <c r="O9" s="71">
        <v>3163</v>
      </c>
      <c r="P9" s="71">
        <v>630</v>
      </c>
      <c r="Q9" s="71">
        <v>7170</v>
      </c>
      <c r="R9" s="71">
        <v>6486</v>
      </c>
      <c r="S9" s="71">
        <v>4339</v>
      </c>
      <c r="T9" s="71">
        <v>3044</v>
      </c>
      <c r="U9" s="71">
        <v>0</v>
      </c>
      <c r="V9" s="71">
        <v>0</v>
      </c>
      <c r="W9" s="71">
        <v>0</v>
      </c>
      <c r="X9" s="71">
        <v>2603</v>
      </c>
      <c r="Y9" s="71">
        <v>5326</v>
      </c>
      <c r="Z9" s="71">
        <v>1593</v>
      </c>
      <c r="AA9" s="71">
        <v>5016</v>
      </c>
      <c r="AB9" s="71">
        <v>5775</v>
      </c>
      <c r="AC9" s="71">
        <v>4612</v>
      </c>
      <c r="AD9" s="71">
        <v>1846</v>
      </c>
      <c r="AE9" s="71">
        <v>4903</v>
      </c>
    </row>
    <row r="10" spans="1:99" s="72" customFormat="1" ht="22.2" ph="1">
      <c r="B10" s="241" ph="1"/>
      <c r="C10" s="153" t="s" ph="1">
        <v>178</v>
      </c>
      <c r="D10" s="73" ph="1">
        <f>D9*33.183*LOOKUP(D11,密度!$A$2:$A$50,密度!$Q$2:$Q$50)</f>
        <v>127579.04975862001</v>
      </c>
      <c r="E10" s="73" ph="1">
        <f>E9*51.53*LOOKUP(E11,密度!$A$2:$A$50,密度!$B$2:$B$50)</f>
        <v>340986.62454400002</v>
      </c>
      <c r="F10" s="73" ph="1">
        <f>F9*33.183*LOOKUP(F11,密度!$A$2:$A$50,密度!$C$2:$C$50)</f>
        <v>214659.76514399998</v>
      </c>
      <c r="G10" s="73" ph="1">
        <f xml:space="preserve"> (G9+2)*51.53*LOOKUP(G11,密度!$A$2:$A$50,密度!$B$2:$B$50)</f>
        <v>64657.406631000005</v>
      </c>
      <c r="H10" s="73" ph="1">
        <f>(H9)*51.53*LOOKUP(H11,密度!$A$2:$A$50,密度!$B$2:$B$50)</f>
        <v>366579.03511500004</v>
      </c>
      <c r="I10" s="73" ph="1">
        <f>I9*290.8*1.0267</f>
        <v>4526.2356976000001</v>
      </c>
      <c r="J10" s="73" ph="1">
        <f>J9*290.8*0.7892</f>
        <v>1452.7309488000001</v>
      </c>
      <c r="K10" s="73" ph="1">
        <f>K9*290.8*1.1126</f>
        <v>2407.1679552000001</v>
      </c>
      <c r="L10" s="73" ph="1">
        <f>L9*290.8*0.777</f>
        <v>16580.328408000001</v>
      </c>
      <c r="M10" s="73" ph="1">
        <f>M9*33.183*LOOKUP(M11,密度!$A$2:$A$50,密度!$D$2:$D$50)</f>
        <v>39916.839463199998</v>
      </c>
      <c r="N10" s="73" ph="1">
        <f>N9*33.183*LOOKUP(N11,密度!$A$2:$A$50,密度!$E$2:$E$50)</f>
        <v>66412.253783700013</v>
      </c>
      <c r="O10" s="73" ph="1">
        <f>O9*20.428*LOOKUP(O11,密度!$A$2:$A$50,密度!$C$2:$C$50)</f>
        <v>71340.056832400005</v>
      </c>
      <c r="P10" s="73" ph="1">
        <f>P9*51.53*LOOKUP(P11,密度!$A$2:$A$50,密度!$B$2:$B$50)</f>
        <v>25279.638930000001</v>
      </c>
      <c r="Q10" s="73" ph="1">
        <f>Q9*1.5*1.5*3.1416*LOOKUP(W11,密度!$A$2:$A$50,密度!$L$2:$L$50)</f>
        <v>47184.813522000004</v>
      </c>
      <c r="R10" s="73" ph="1">
        <f>R9*1.5*1.5*3.1416*LOOKUP(R11,密度!$A$2:$A$50,密度!$L$2:$L$50)</f>
        <v>42729.347707200002</v>
      </c>
      <c r="S10" s="73" ph="1">
        <f>S9*1.5*1.5*3.1416*LOOKUP(S11,密度!$A$2:$A$50,密度!$L$2:$L$50)</f>
        <v>28738.404109800002</v>
      </c>
      <c r="T10" s="73" ph="1">
        <f>T9*1.5*1.5*3.1416*LOOKUP(T11,密度!$A$2:$A$50,密度!$L$2:$L$50)</f>
        <v>20268.842932799998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17295.591851999998</v>
      </c>
      <c r="Y10" s="73" ph="1">
        <f>Y9*1.5*1.5*3.1416*LOOKUP(Y11,密度!$A$2:$A$50,密度!$L$2:$L$50)</f>
        <v>35275.579693200001</v>
      </c>
      <c r="Z10" s="73" ph="1">
        <f>Z9*33.183*LOOKUP(Z11,密度!$A$2:$A$50,密度!$L$2:$L$50)</f>
        <v>49477.445784000003</v>
      </c>
      <c r="AA10" s="73" ph="1">
        <f>AA9*33.183*LOOKUP(AA11,密度!$A$2:$A$50,密度!$D$2:$D$50)</f>
        <v>171206.28154079997</v>
      </c>
      <c r="AB10" s="73" ph="1">
        <f>AB9*20.428*LOOKUP(AB11,密度!$A$2:$A$50,密度!$D$2:$D$50)</f>
        <v>121676.01138000003</v>
      </c>
      <c r="AC10" s="73" ph="1">
        <f>AC9*51.53*LOOKUP(AC11,密度!$A$2:$A$50,密度!$Q$2:$Q$50)</f>
        <v>225172.27140920001</v>
      </c>
      <c r="AD10" s="73" ph="1">
        <f>AD9*20.428*LOOKUP(AD11,密度!$A$2:$A$50,密度!$V$2:$V$50)</f>
        <v>36111.180268800003</v>
      </c>
      <c r="AE10" s="73" ph="1">
        <f>AE9*20.428</f>
        <v>100158.48400000001</v>
      </c>
    </row>
    <row r="11" spans="1:99" ph="1">
      <c r="A11" s="64" t="s" ph="1">
        <v>162</v>
      </c>
      <c r="B11" s="241" ph="1"/>
      <c r="C11" s="153" t="s" ph="1">
        <v>179</v>
      </c>
      <c r="D11" s="74">
        <v>25</v>
      </c>
      <c r="E11" s="74">
        <v>25</v>
      </c>
      <c r="F11" s="74">
        <v>24</v>
      </c>
      <c r="G11" s="74">
        <v>27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26</v>
      </c>
      <c r="O11" s="74">
        <v>31</v>
      </c>
      <c r="P11" s="74">
        <v>26</v>
      </c>
      <c r="Q11" s="74">
        <v>27</v>
      </c>
      <c r="R11" s="74">
        <v>30</v>
      </c>
      <c r="S11" s="74">
        <v>25</v>
      </c>
      <c r="T11" s="74">
        <v>20</v>
      </c>
      <c r="U11" s="74">
        <v>25</v>
      </c>
      <c r="V11" s="74">
        <v>27</v>
      </c>
      <c r="W11" s="74">
        <v>31</v>
      </c>
      <c r="X11" s="74">
        <v>22</v>
      </c>
      <c r="Y11" s="74">
        <v>25</v>
      </c>
      <c r="Z11" s="74">
        <v>26</v>
      </c>
      <c r="AA11" s="74">
        <v>23</v>
      </c>
      <c r="AB11" s="74">
        <v>20</v>
      </c>
      <c r="AC11" s="74">
        <v>24</v>
      </c>
      <c r="AD11" s="74">
        <v>28</v>
      </c>
      <c r="AE11" s="74">
        <v>30</v>
      </c>
    </row>
    <row r="12" spans="1:99" ht="9.9" customHeight="1" ph="1"/>
    <row r="13" spans="1:99" s="72" customFormat="1" ht="29.25" customHeight="1" ph="1">
      <c r="B13" s="218" t="s" ph="1">
        <v>37</v>
      </c>
      <c r="C13" s="15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3" t="s" ph="1">
        <v>177</v>
      </c>
      <c r="D15" s="78">
        <v>2805</v>
      </c>
      <c r="E15" s="78">
        <v>4955</v>
      </c>
      <c r="F15" s="78">
        <v>2804</v>
      </c>
      <c r="G15" s="78">
        <v>2774</v>
      </c>
      <c r="H15" s="78">
        <v>0</v>
      </c>
      <c r="I15" s="78">
        <v>18</v>
      </c>
      <c r="J15" s="78">
        <v>4797</v>
      </c>
      <c r="K15" s="78">
        <v>5009</v>
      </c>
      <c r="L15" s="78">
        <v>1217</v>
      </c>
      <c r="M15" s="78">
        <v>3710</v>
      </c>
      <c r="N15" s="78">
        <v>1747</v>
      </c>
      <c r="O15" s="78">
        <v>1956</v>
      </c>
      <c r="P15" s="78">
        <v>0</v>
      </c>
      <c r="Q15" s="78">
        <v>5618</v>
      </c>
      <c r="R15" s="78">
        <v>0</v>
      </c>
      <c r="S15" s="78">
        <v>1134</v>
      </c>
      <c r="T15" s="78">
        <v>2051</v>
      </c>
      <c r="U15" s="78">
        <v>1705</v>
      </c>
      <c r="V15" s="78">
        <v>547</v>
      </c>
      <c r="W15" s="71">
        <v>5009</v>
      </c>
      <c r="X15" s="78">
        <v>-321</v>
      </c>
      <c r="Y15" s="106">
        <v>-9906</v>
      </c>
      <c r="Z15" s="78">
        <v>0</v>
      </c>
      <c r="AA15" s="78">
        <v>266</v>
      </c>
      <c r="AB15" s="78" ph="1">
        <v>7119</v>
      </c>
      <c r="AC15" s="78" ph="1">
        <v>3326</v>
      </c>
      <c r="AD15" s="78">
        <v>5.75</v>
      </c>
      <c r="AE15" s="78">
        <v>54.45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3" t="s" ph="1">
        <v>178</v>
      </c>
      <c r="D16" s="73" ph="1">
        <f>D15*7.0686*LOOKUP(D17,密度!$A$2:$A$50,密度!$L$2:$L$50)</f>
        <v>18538.640504999999</v>
      </c>
      <c r="E16" s="73" ph="1">
        <f>E15*7.0686*LOOKUP(E17,密度!$A$2:$A$50,密度!$L$2:$L$50)</f>
        <v>32748.293655000001</v>
      </c>
      <c r="F16" s="73" ph="1">
        <f>F15*9.0746*LOOKUP(F17,密度!$A$2:$A$50,密度!$L$2:$L$50)</f>
        <v>23816.686982400002</v>
      </c>
      <c r="G16" s="73" ph="1">
        <f>G15*9.0746*LOOKUP(G17,密度!$A$2:$A$50,密度!$B$2:$B$50)</f>
        <v>19647.479982199999</v>
      </c>
      <c r="H16" s="73" ph="1">
        <f>H15*9.0746*LOOKUP(H17,密度!$A$2:$A$50,密度!$L$2:$L$50)</f>
        <v>0</v>
      </c>
      <c r="I16" s="73" ph="1">
        <f>I15*9.0746*LOOKUP(I17,密度!$A$2:$A$50,密度!$U$2:$U$50)</f>
        <v>167.91639840000002</v>
      </c>
      <c r="J16" s="73" ph="1">
        <f>J15*9.0746*LOOKUP(J17,密度!$A$2:$A$50,密度!$L$2:$L$50)</f>
        <v>40744.881403200001</v>
      </c>
      <c r="K16" s="73" ph="1">
        <f>K15*9.0746*LOOKUP(K17,密度!$A$2:$A$50,密度!$C$2:$C$50)</f>
        <v>50472.867122560005</v>
      </c>
      <c r="L16" s="73" ph="1">
        <f>L15*9.0746*LOOKUP(L17,密度!$A$2:$A$50,密度!$E$2:$E$50)</f>
        <v>8676.0000099200006</v>
      </c>
      <c r="M16" s="73" ph="1">
        <f>M15*9.0746*LOOKUP(M17,密度!$A$2:$A$50,密度!$M$2:$M$50)</f>
        <v>29525.753782000003</v>
      </c>
      <c r="N16" s="73" ph="1">
        <f>N15*9.0746*LOOKUP(N17,密度!$A$2:$A$50,密度!$M$2:$M$50)</f>
        <v>13919.2204036</v>
      </c>
      <c r="O16" s="73" ph="1">
        <f>O15*9.0746*LOOKUP(O17,密度!$A$2:$A$50,密度!$G$2:$G$50)</f>
        <v>17043.470879520002</v>
      </c>
      <c r="P16" s="73" ph="1">
        <f ca="1">P15*9.0746*LOOKUP(P17,密度!$A$2:$A$51,密度!$Q$2:$Q$50)</f>
        <v>0</v>
      </c>
      <c r="Q16" s="73" ph="1">
        <f>Q15*9.0746*LOOKUP(Q17,密度!$A$2:$A$50,密度!$Q$2:$Q$50)</f>
        <v>48193.456098896</v>
      </c>
      <c r="R16" s="73" ph="1">
        <f>MAX(R15*9.0746*LOOKUP(R17,密度!$A$2:$A$50,密度!$B$2:$B$50),0)</f>
        <v>0</v>
      </c>
      <c r="S16" s="73" ph="1">
        <f>S15*9.0746*LOOKUP(S17,密度!$A$2:$A$50,密度!$Q$2:$Q$50)</f>
        <v>9750.0313711079998</v>
      </c>
      <c r="T16" s="73" ph="1">
        <f>T15*9.0746*LOOKUP(T17,密度!$A$2:$A$50,密度!$O$2:$O$50)</f>
        <v>17309.164278</v>
      </c>
      <c r="U16" s="73" ph="1">
        <f>U15*9.0746*LOOKUP(U17,密度!$A$2:$A$50,密度!$H$2:$H$50)</f>
        <v>14215.850928400001</v>
      </c>
      <c r="V16" s="73" ph="1">
        <f>MAX(5600*LOOKUP(V17,密度!$A$2:$A$50,密度!$Q$2:$Q$50)+V15*9.0476*LOOKUP(V17,密度!$A$2:$A$50,密度!$Q$2:$Q$50),0)</f>
        <v>9987.195478728001</v>
      </c>
      <c r="W16" s="73" ph="1">
        <f>MAX(5600*LOOKUP(W17,密度!$A$2:$A$50,密度!$Q$2:$Q$50)+W15*9.0476*LOOKUP(W17,密度!$A$2:$A$50,密度!$Q$2:$Q$50),0)</f>
        <v>48207.459643415998</v>
      </c>
      <c r="X16" s="73" ph="1">
        <f>MAX(5600*LOOKUP(X17,密度!$A$2:$A$50,密度!$I$2:$I$50)+X15*9.0476*LOOKUP(X17,密度!$A$2:$A$50,密度!$I$2:$I$50),0)</f>
        <v>2815.9495298400007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1888.3498482800001</v>
      </c>
      <c r="AB16" s="73" ph="1">
        <f>AB15*9.0746*LOOKUP(AB17,密度!$A$2:$A$50,密度!$L$2:$L$50)</f>
        <v>60532.146523800002</v>
      </c>
      <c r="AC16" s="73" ph="1">
        <f>AC15*9.0746*LOOKUP(AC17,密度!$A$2:$A$50,密度!$L$2:$L$50)</f>
        <v>28341.010304399999</v>
      </c>
      <c r="AD16" s="73" ph="1">
        <f>AD15*268.68*LOOKUP(AD17,密度!$A$2:$A$50,密度!B2:B50)+IF(AD15&lt;=0,0,1566*LOOKUP(AD17,密度!$A$2:$A$50,密度!B2:B50))</f>
        <v>2425.2654359999997</v>
      </c>
      <c r="AE16" s="73" ph="1">
        <f>AE15*268.68*LOOKUP(AE17,密度!$A$2:$A$50,密度!B2:B50)+IF(AE15&lt;=0,0,1566*LOOKUP(AE17,密度!$A$2:$A$50,密度!B2:B50))</f>
        <v>12626.110029600002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27</v>
      </c>
      <c r="E17" s="74">
        <v>27</v>
      </c>
      <c r="F17" s="74">
        <v>26</v>
      </c>
      <c r="G17" s="74">
        <v>24</v>
      </c>
      <c r="H17" s="74">
        <v>20</v>
      </c>
      <c r="I17" s="74">
        <v>21</v>
      </c>
      <c r="J17" s="74">
        <v>26</v>
      </c>
      <c r="K17" s="74">
        <v>23</v>
      </c>
      <c r="L17" s="74">
        <v>23</v>
      </c>
      <c r="M17" s="74">
        <v>23</v>
      </c>
      <c r="N17" s="74">
        <v>22</v>
      </c>
      <c r="O17" s="74">
        <v>25</v>
      </c>
      <c r="P17" s="74">
        <v>23</v>
      </c>
      <c r="Q17" s="74">
        <v>27</v>
      </c>
      <c r="R17" s="74">
        <v>24</v>
      </c>
      <c r="S17" s="74">
        <v>24</v>
      </c>
      <c r="T17" s="74">
        <v>24</v>
      </c>
      <c r="U17" s="74">
        <v>21</v>
      </c>
      <c r="V17" s="74">
        <v>25</v>
      </c>
      <c r="W17" s="74">
        <v>25</v>
      </c>
      <c r="X17" s="74">
        <v>23</v>
      </c>
      <c r="Y17" s="108">
        <v>23</v>
      </c>
      <c r="Z17" s="74">
        <v>24</v>
      </c>
      <c r="AA17" s="74">
        <v>22</v>
      </c>
      <c r="AB17" s="74">
        <v>25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5101</v>
      </c>
      <c r="E18" s="71">
        <v>2081</v>
      </c>
      <c r="F18" s="71">
        <v>499</v>
      </c>
      <c r="G18" s="71">
        <v>2852</v>
      </c>
      <c r="H18" s="71">
        <v>0</v>
      </c>
      <c r="I18" s="71">
        <v>2527</v>
      </c>
      <c r="J18" s="71">
        <v>5087</v>
      </c>
      <c r="K18" s="71">
        <v>2622</v>
      </c>
      <c r="L18" s="71">
        <v>1219</v>
      </c>
      <c r="M18" s="71">
        <v>3716</v>
      </c>
      <c r="N18" s="71">
        <v>1748</v>
      </c>
      <c r="O18" s="71">
        <v>1958</v>
      </c>
      <c r="P18" s="71">
        <v>0</v>
      </c>
      <c r="Q18" s="71">
        <v>6767</v>
      </c>
      <c r="R18" s="71">
        <v>0</v>
      </c>
      <c r="S18" s="71">
        <v>0</v>
      </c>
      <c r="T18" s="71">
        <v>2051</v>
      </c>
      <c r="U18" s="71">
        <v>1706</v>
      </c>
      <c r="V18" s="71">
        <v>1782</v>
      </c>
      <c r="W18" s="71">
        <v>5008</v>
      </c>
      <c r="X18" s="71">
        <v>-321</v>
      </c>
      <c r="Y18" s="109">
        <v>-9906</v>
      </c>
      <c r="Z18" s="71">
        <v>0</v>
      </c>
      <c r="AA18" s="71">
        <v>266</v>
      </c>
      <c r="AB18" s="71">
        <v>7124</v>
      </c>
      <c r="AC18" s="71">
        <v>3328</v>
      </c>
      <c r="AD18" s="71">
        <v>31.78</v>
      </c>
      <c r="AE18" s="71">
        <v>84.61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3" t="s" ph="1">
        <v>178</v>
      </c>
      <c r="D19" s="73" ph="1">
        <f>D18*7.0686*LOOKUP(D20,密度!$A$2:$A$50,密度!$L$2:$L$50)</f>
        <v>33641.114383799999</v>
      </c>
      <c r="E19" s="73" ph="1">
        <f>E18*7.0686*LOOKUP(E20,密度!$A$2:$A$50,密度!$L$2:$L$50)</f>
        <v>13724.202907800001</v>
      </c>
      <c r="F19" s="73" ph="1">
        <f>F18*9.0746*LOOKUP(F20,密度!$A$2:$A$50,密度!$L$2:$L$50)</f>
        <v>4220.3060728</v>
      </c>
      <c r="G19" s="73" ph="1">
        <f>G18*9.0746*LOOKUP(G20,密度!$A$2:$A$50,密度!$B$2:$B$50)</f>
        <v>20199.9325556</v>
      </c>
      <c r="H19" s="73" ph="1">
        <f>H18*9.0746*LOOKUP(H20,密度!$A$2:$A$50,密度!$L$2:$L$50)</f>
        <v>0</v>
      </c>
      <c r="I19" s="73" ph="1">
        <f>I18*9.0746*LOOKUP(I20,密度!$A$2:$A$50,密度!$U$2:$U$50)</f>
        <v>23390.144484</v>
      </c>
      <c r="J19" s="73" ph="1">
        <f>J18*9.0746*LOOKUP(J20,密度!$A$2:$A$50,密度!$L$2:$L$50)</f>
        <v>43115.765846800001</v>
      </c>
      <c r="K19" s="73" ph="1">
        <f>K18*9.0746*LOOKUP(K20,密度!$A$2:$A$50,密度!$C$2:$C$50)</f>
        <v>26349.033968880001</v>
      </c>
      <c r="L19" s="73" ph="1">
        <f>L18*9.0746*LOOKUP(L20,密度!$A$2:$A$50,密度!$E$2:$E$50)</f>
        <v>8626.0987845200016</v>
      </c>
      <c r="M19" s="73" ph="1">
        <f>M18*9.0746*LOOKUP(M20,密度!$A$2:$A$50,密度!$M$2:$M$50)</f>
        <v>29404.898259200003</v>
      </c>
      <c r="N19" s="73" ph="1">
        <f>N18*9.0746*LOOKUP(N20,密度!$A$2:$A$50,密度!$M$2:$M$50)</f>
        <v>13893.876860720002</v>
      </c>
      <c r="O19" s="73" ph="1">
        <f>O18*9.0746*LOOKUP(O20,密度!$A$2:$A$50,密度!$G$2:$G$50)</f>
        <v>17021.807994399998</v>
      </c>
      <c r="P19" s="73" ph="1">
        <f ca="1">P18*9.0746*LOOKUP(P20,密度!$A$2:$A$51,密度!$Q$2:$Q$50)</f>
        <v>0</v>
      </c>
      <c r="Q19" s="73" ph="1">
        <f>Q18*9.0746*LOOKUP(Q20,密度!$A$2:$A$50,密度!$Q$2:$Q$50)</f>
        <v>57964.681833526003</v>
      </c>
      <c r="R19" s="73" ph="1">
        <f>MAX(R18*9.0746*LOOKUP(R20,密度!$A$2:$A$50,密度!$B$2:$B$50),0)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17234.716259600002</v>
      </c>
      <c r="U19" s="73" ph="1">
        <f>U18*9.0746*LOOKUP(U20,密度!$A$2:$A$50,密度!$H$2:$H$50)</f>
        <v>14160.71547372</v>
      </c>
      <c r="V19" s="73" ph="1">
        <f>MAX(5600*LOOKUP(V20,密度!$A$2:$A$50,密度!$Q$2:$Q$50)+V18*9.0476*LOOKUP(V20,密度!$A$2:$A$50,密度!$Q$2:$Q$50),0)</f>
        <v>20519.813251184001</v>
      </c>
      <c r="W19" s="73" ph="1">
        <f>MAX(5600*LOOKUP(W20,密度!$A$2:$A$50,密度!$Q$2:$Q$50)+W18*9.0476*LOOKUP(W20,密度!$A$2:$A$50,密度!$Q$2:$Q$50),0)</f>
        <v>48090.963911295999</v>
      </c>
      <c r="X19" s="73" ph="1">
        <f>MAX(5600*LOOKUP(X20,密度!$A$2:$A$50,密度!$I$2:$I$50)+X18*9.0476*LOOKUP(X20,密度!$A$2:$A$50,密度!$I$2:$I$50),0)</f>
        <v>2809.74937292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1877.7289364400001</v>
      </c>
      <c r="AB19" s="73" ph="1">
        <f>AB18*9.0746*LOOKUP(AB20,密度!$A$2:$A$50,密度!$L$2:$L$50)</f>
        <v>60510.013574400007</v>
      </c>
      <c r="AC19" s="73" ph="1">
        <f>AC18*9.0746*LOOKUP(AC20,密度!$A$2:$A$50,密度!$L$2:$L$50)</f>
        <v>28267.451596800001</v>
      </c>
      <c r="AD19" s="73" ph="1">
        <f>AD18*268.68*LOOKUP(AD20,密度!$A$2:$A$50,密度!B5:B53)+IF(AD18&lt;=0,0,1566*LOOKUP(AD20,密度!$A$2:$A$50,密度!B5:B53))</f>
        <v>7851.3133608000007</v>
      </c>
      <c r="AE19" s="73" ph="1">
        <f>AE18*268.68*LOOKUP(AE20,密度!$A$2:$A$50,密度!B5:B53)+IF(AE18&lt;=0,0,1566*LOOKUP(AE20,密度!$A$2:$A$50,密度!B5:B53))</f>
        <v>18880.334499600001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29</v>
      </c>
      <c r="E20" s="81">
        <v>29</v>
      </c>
      <c r="F20" s="81">
        <v>30</v>
      </c>
      <c r="G20" s="81">
        <v>24</v>
      </c>
      <c r="H20" s="81">
        <v>23</v>
      </c>
      <c r="I20" s="81">
        <v>30</v>
      </c>
      <c r="J20" s="81">
        <v>28</v>
      </c>
      <c r="K20" s="81">
        <v>27</v>
      </c>
      <c r="L20" s="81">
        <v>28</v>
      </c>
      <c r="M20" s="81">
        <v>28</v>
      </c>
      <c r="N20" s="81">
        <v>24</v>
      </c>
      <c r="O20" s="81">
        <v>27</v>
      </c>
      <c r="P20" s="81">
        <v>30</v>
      </c>
      <c r="Q20" s="81">
        <v>29</v>
      </c>
      <c r="R20" s="81">
        <v>30</v>
      </c>
      <c r="S20" s="81">
        <v>29</v>
      </c>
      <c r="T20" s="81">
        <v>26</v>
      </c>
      <c r="U20" s="81">
        <v>25</v>
      </c>
      <c r="V20" s="81">
        <v>28</v>
      </c>
      <c r="W20" s="81">
        <v>28</v>
      </c>
      <c r="X20" s="81">
        <v>25</v>
      </c>
      <c r="Y20" s="110">
        <v>25</v>
      </c>
      <c r="Z20" s="81">
        <v>29</v>
      </c>
      <c r="AA20" s="81">
        <v>27</v>
      </c>
      <c r="AB20" s="81">
        <v>26</v>
      </c>
      <c r="AC20" s="81">
        <v>26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3" t="s" ph="1">
        <v>177</v>
      </c>
      <c r="D24" s="71">
        <v>4.2699999999999996</v>
      </c>
      <c r="E24" s="71">
        <v>5.63</v>
      </c>
      <c r="F24" s="71">
        <v>0</v>
      </c>
      <c r="G24" s="71">
        <v>3020</v>
      </c>
      <c r="H24" s="71">
        <v>3909</v>
      </c>
      <c r="I24" s="71">
        <v>0</v>
      </c>
      <c r="J24" s="71">
        <v>217</v>
      </c>
      <c r="K24" s="71">
        <v>248</v>
      </c>
      <c r="L24" s="71">
        <v>469</v>
      </c>
      <c r="M24" s="71">
        <v>4845</v>
      </c>
      <c r="N24" s="71">
        <v>2461</v>
      </c>
      <c r="O24" s="71">
        <v>5417</v>
      </c>
      <c r="P24" s="71">
        <v>1161</v>
      </c>
      <c r="Q24" s="90">
        <v>3753</v>
      </c>
      <c r="R24" s="71">
        <v>3613</v>
      </c>
      <c r="S24" s="71">
        <v>566</v>
      </c>
      <c r="T24" s="71">
        <v>1030</v>
      </c>
      <c r="U24" s="71">
        <v>6603</v>
      </c>
      <c r="V24" s="71">
        <v>8783</v>
      </c>
      <c r="W24" s="71">
        <v>1010</v>
      </c>
      <c r="X24" s="71">
        <v>2381</v>
      </c>
      <c r="Y24" s="71">
        <v>8330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2568.7551806639999</v>
      </c>
      <c r="E25" s="91" ph="1">
        <f>E24*268.68*LOOKUP(E26,密度!$A$2:$A$50,密度!$C$2:$C$50)+IF(E24&lt;=0,0,1566*LOOKUP(E26,密度!$A$2:$A$50,密度!$C$2:$C$50))</f>
        <v>3413.93538876</v>
      </c>
      <c r="F25" s="91" ph="1">
        <f>F24*11.702*LOOKUP(F26,密度!$A$2:$A$50,密度!$Q$2:$Q$50)</f>
        <v>0</v>
      </c>
      <c r="G25" s="91" ph="1">
        <f>G24*18.322*LOOKUP(G26,密度!$A$2:$A$50,密度!$B$2:$B$50)</f>
        <v>43236.768615999994</v>
      </c>
      <c r="H25" s="91" ph="1">
        <f>H24*18.322*LOOKUP(H26,密度!$A$2:$A$50,密度!$B$2:$B$50)</f>
        <v>56028.872045399999</v>
      </c>
      <c r="I25" s="91" ph="1">
        <f>I24*18.322*LOOKUP(I26,密度!$A$2:$A$50,密度!$Q$2:$Q$50)</f>
        <v>0</v>
      </c>
      <c r="J25" s="91" ph="1">
        <f>J24*18.322*LOOKUP(J26,密度!$A$2:$A$50,密度!$Q$2:$Q$50)</f>
        <v>3773.4622546599999</v>
      </c>
      <c r="K25" s="91" ph="1">
        <f>K24*18.322*LOOKUP(K26,密度!$A$2:$A$50,密度!$Q$2:$Q$50)</f>
        <v>4312.5282910400001</v>
      </c>
      <c r="L25" s="91" ph="1">
        <f>L24*18.322*LOOKUP(L26,密度!$A$2:$A$50,密度!$Q$2:$Q$50)</f>
        <v>8147.8996676000006</v>
      </c>
      <c r="M25" s="91" ph="1">
        <f>M24*18.322*LOOKUP(M26,密度!$A$2:$A$50,密度!$Q$2:$Q$50)</f>
        <v>84171.799337999997</v>
      </c>
      <c r="N25" s="91" ph="1">
        <f>N24*18.322*LOOKUP(N26,密度!$A$2:$A$50,密度!$Q$2:$Q$50)</f>
        <v>42754.7571044</v>
      </c>
      <c r="O25" s="91" ph="1">
        <f>O24*18.322*LOOKUP(O26,密度!$A$2:$A$50,密度!$C$2:$C$50)</f>
        <v>110356.3796606</v>
      </c>
      <c r="P25" s="91" ph="1">
        <f>P24*11.702*LOOKUP(P26,密度!$A$2:$A$50,密度!$B$2:$B$50)</f>
        <v>10616.1175908</v>
      </c>
      <c r="Q25" s="92" ph="1">
        <f>Q24*18.322*LOOKUP(Q26,密度!$A$2:$A$50,密度!$B$2:$B$50)</f>
        <v>53854.763371200002</v>
      </c>
      <c r="R25" s="91" ph="1">
        <f>R24*35.891*LOOKUP(R26,密度!$A$2:$A$50,密度!$C$2:$C$50)</f>
        <v>143990.2128032</v>
      </c>
      <c r="S25" s="91" ph="1">
        <f>S24*35.891*LOOKUP(S26,密度!$A$2:$A$50,密度!$B$2:$B$50)</f>
        <v>15855.315833000001</v>
      </c>
      <c r="T25" s="91" ph="1">
        <f>T24*35.891*LOOKUP(T26,密度!$A$2:$A$50,密度!$Q$2:$Q$50)</f>
        <v>35085.702865699997</v>
      </c>
      <c r="U25" s="91" ph="1">
        <f>U24*35.891</f>
        <v>236988.27299999999</v>
      </c>
      <c r="V25" s="91" ph="1">
        <f>V24*47.051*LOOKUP(V26,密度!$A$2:$A$50,密度!$B$2:$B$50)</f>
        <v>323656.56432559999</v>
      </c>
      <c r="W25" s="91" ph="1">
        <f>W24*47.051*LOOKUP(W26,密度!$A$2:$A$50,密度!$B$2:$B$50)</f>
        <v>37090.538554999999</v>
      </c>
      <c r="X25" s="91" ph="1">
        <f>X24*47.051*LOOKUP(X26,密度!$A$2:$A$61,密度!$I$2:$I$61)</f>
        <v>116767.23363130001</v>
      </c>
      <c r="Y25" s="91" ph="1">
        <f>Y24*47.051*LOOKUP(Y26,密度!$A$2:$A$50,密度!$L$2:$L$50)</f>
        <v>367634.87053999997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22</v>
      </c>
      <c r="G26" s="74">
        <v>23</v>
      </c>
      <c r="H26" s="74">
        <v>22</v>
      </c>
      <c r="I26" s="74">
        <v>22</v>
      </c>
      <c r="J26" s="74">
        <v>22</v>
      </c>
      <c r="K26" s="74">
        <v>22</v>
      </c>
      <c r="L26" s="74">
        <v>23</v>
      </c>
      <c r="M26" s="74">
        <v>23</v>
      </c>
      <c r="N26" s="74">
        <v>23</v>
      </c>
      <c r="O26" s="74">
        <v>21</v>
      </c>
      <c r="P26" s="74">
        <v>23</v>
      </c>
      <c r="Q26" s="93">
        <v>21</v>
      </c>
      <c r="R26" s="74">
        <v>23</v>
      </c>
      <c r="S26" s="74">
        <v>24</v>
      </c>
      <c r="T26" s="74">
        <v>22</v>
      </c>
      <c r="U26" s="74">
        <v>25</v>
      </c>
      <c r="V26" s="74">
        <v>21</v>
      </c>
      <c r="W26" s="74">
        <v>24</v>
      </c>
      <c r="X26" s="74">
        <v>25</v>
      </c>
      <c r="Y26" s="74">
        <v>24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3" t="s" ph="1">
        <v>180</v>
      </c>
      <c r="D27" s="71">
        <v>4.24</v>
      </c>
      <c r="E27" s="71">
        <v>5.62</v>
      </c>
      <c r="F27" s="71">
        <v>0</v>
      </c>
      <c r="G27" s="71">
        <v>2464</v>
      </c>
      <c r="H27" s="71">
        <v>3422</v>
      </c>
      <c r="I27" s="71">
        <v>0</v>
      </c>
      <c r="J27" s="71">
        <v>213</v>
      </c>
      <c r="K27" s="71">
        <v>245</v>
      </c>
      <c r="L27" s="71">
        <v>466</v>
      </c>
      <c r="M27" s="71">
        <v>4848</v>
      </c>
      <c r="N27" s="71">
        <v>2460</v>
      </c>
      <c r="O27" s="71">
        <v>5416</v>
      </c>
      <c r="P27" s="71">
        <v>1160</v>
      </c>
      <c r="Q27" s="90">
        <v>4080</v>
      </c>
      <c r="R27" s="71">
        <v>3150</v>
      </c>
      <c r="S27" s="71">
        <v>564</v>
      </c>
      <c r="T27" s="71">
        <v>1029</v>
      </c>
      <c r="U27" s="71">
        <v>6481</v>
      </c>
      <c r="V27" s="71">
        <v>8445</v>
      </c>
      <c r="W27" s="71">
        <v>1009</v>
      </c>
      <c r="X27" s="71">
        <v>2381</v>
      </c>
      <c r="Y27" s="71">
        <v>6177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3" t="s" ph="1">
        <v>178</v>
      </c>
      <c r="D28" s="91" ph="1">
        <f>D27*268.68*LOOKUP(D29,密度!$A$2:$A$50,密度!$Q$2:$Q$50)+IF(D27&lt;=0,0,1566*LOOKUP(D29,密度!$A$2:$A$50,密度!$Q$2:$Q$50))</f>
        <v>2561.1240775679998</v>
      </c>
      <c r="E28" s="91" ph="1">
        <f>E27*268.68*LOOKUP(E29,密度!$A$2:$A$50,密度!$C$2:$C$50)+IF(E27&lt;=0,0,1566*LOOKUP(E29,密度!$A$2:$A$50,密度!$C$2:$C$50))</f>
        <v>3410.9559962399999</v>
      </c>
      <c r="F28" s="91" ph="1">
        <f>F27*11.702*LOOKUP(F29,密度!$A$2:$A$50,密度!$Q$2:$Q$50)</f>
        <v>0</v>
      </c>
      <c r="G28" s="91" ph="1">
        <f>G27*18.322*LOOKUP(G29,密度!$A$2:$A$50,密度!$B$2:$B$50)</f>
        <v>35235.990943999997</v>
      </c>
      <c r="H28" s="91" ph="1">
        <f>H27*18.322*LOOKUP(H29,密度!$A$2:$A$50,密度!$B$2:$B$50)</f>
        <v>48879.270366399993</v>
      </c>
      <c r="I28" s="91" ph="1">
        <f>I27*18.322*LOOKUP(I29,密度!$A$2:$A$50,密度!$Q$2:$Q$50)</f>
        <v>0</v>
      </c>
      <c r="J28" s="91" ph="1">
        <f>J27*18.322*LOOKUP(J29,密度!$A$2:$A$50,密度!$Q$2:$Q$50)</f>
        <v>3697.5831574200001</v>
      </c>
      <c r="K28" s="91" ph="1">
        <f>K27*18.322*LOOKUP(K29,密度!$A$2:$A$50,密度!$Q$2:$Q$50)</f>
        <v>4256.3654979999992</v>
      </c>
      <c r="L28" s="91" ph="1">
        <f>L27*18.322*LOOKUP(L29,密度!$A$2:$A$50,密度!$Q$2:$Q$50)</f>
        <v>8095.7809064000003</v>
      </c>
      <c r="M28" s="91" ph="1">
        <f>M27*18.322*LOOKUP(M29,密度!$A$2:$A$50,密度!$Q$2:$Q$50)</f>
        <v>84094.233517439992</v>
      </c>
      <c r="N28" s="91" ph="1">
        <f>N27*18.322*LOOKUP(N29,密度!$A$2:$A$50,密度!$Q$2:$Q$50)</f>
        <v>42737.384183999995</v>
      </c>
      <c r="O28" s="91" ph="1">
        <f>O27*18.322*LOOKUP(O29,密度!$A$2:$A$50,密度!$C$2:$C$50)</f>
        <v>110256.62186719998</v>
      </c>
      <c r="P28" s="91" ph="1">
        <f>P27*11.702*LOOKUP(P29,密度!$A$2:$A$50,密度!$B$2:$B$50)</f>
        <v>10631.407423999999</v>
      </c>
      <c r="Q28" s="92" ph="1">
        <f>Q27*18.322*LOOKUP(Q29,密度!$A$2:$A$50,密度!$B$2:$B$50)</f>
        <v>58547.144831999998</v>
      </c>
      <c r="R28" s="91" ph="1">
        <f>R27*35.891*LOOKUP(R29,密度!$A$2:$A$50,密度!$C$2:$C$50)</f>
        <v>125707.68913500001</v>
      </c>
      <c r="S28" s="91" ph="1">
        <f>S27*35.891*LOOKUP(S29,密度!$A$2:$A$50,密度!$B$2:$B$50)</f>
        <v>15799.289981999998</v>
      </c>
      <c r="T28" s="91" ph="1">
        <f>T27*35.891*LOOKUP(T29,密度!$A$2:$A$50,密度!$Q$2:$Q$50)</f>
        <v>34964.849254860004</v>
      </c>
      <c r="U28" s="91" ph="1">
        <f>U27*35.891</f>
        <v>232609.571</v>
      </c>
      <c r="V28" s="91" ph="1">
        <f>V27*47.051*LOOKUP(V29,密度!$A$2:$A$50,密度!$B$2:$B$50)</f>
        <v>310485.92607300001</v>
      </c>
      <c r="W28" s="91" ph="1">
        <f>W27*47.051*LOOKUP(W29,密度!$A$2:$A$50,密度!$B$2:$B$50)</f>
        <v>36968.361223300002</v>
      </c>
      <c r="X28" s="91" ph="1">
        <f>X27*47.051*LOOKUP(X29,密度!$A$2:$A$61,密度!$I$2:$I$61)</f>
        <v>116397.53980900001</v>
      </c>
      <c r="Y28" s="91" ph="1">
        <f>Y27*47.051*LOOKUP(Y29,密度!$A$2:$A$50,密度!$L$2:$L$50)</f>
        <v>271742.81524500001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3" t="s" ph="1">
        <v>179</v>
      </c>
      <c r="D29" s="74">
        <v>25</v>
      </c>
      <c r="E29" s="74">
        <v>25</v>
      </c>
      <c r="F29" s="74">
        <v>24</v>
      </c>
      <c r="G29" s="74">
        <v>24</v>
      </c>
      <c r="H29" s="74">
        <v>25</v>
      </c>
      <c r="I29" s="74">
        <v>23</v>
      </c>
      <c r="J29" s="74">
        <v>24</v>
      </c>
      <c r="K29" s="74">
        <v>23</v>
      </c>
      <c r="L29" s="74">
        <v>23</v>
      </c>
      <c r="M29" s="74">
        <v>25</v>
      </c>
      <c r="N29" s="74">
        <v>23</v>
      </c>
      <c r="O29" s="74">
        <v>22</v>
      </c>
      <c r="P29" s="74">
        <v>21</v>
      </c>
      <c r="Q29" s="93">
        <v>21</v>
      </c>
      <c r="R29" s="74">
        <v>21</v>
      </c>
      <c r="S29" s="74">
        <v>24</v>
      </c>
      <c r="T29" s="74">
        <v>25</v>
      </c>
      <c r="U29" s="74">
        <v>27</v>
      </c>
      <c r="V29" s="74">
        <v>23</v>
      </c>
      <c r="W29" s="74">
        <v>26</v>
      </c>
      <c r="X29" s="74">
        <v>28</v>
      </c>
      <c r="Y29" s="74">
        <v>27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3" t="s" ph="1">
        <v>5</v>
      </c>
      <c r="F32" s="152" t="s" ph="1">
        <v>43</v>
      </c>
      <c r="G32" s="97" t="s" ph="1">
        <v>4</v>
      </c>
      <c r="H32" s="153" t="s" ph="1">
        <v>5</v>
      </c>
      <c r="I32" s="152" t="s" ph="1">
        <v>43</v>
      </c>
      <c r="J32" s="97" t="s" ph="1">
        <v>4</v>
      </c>
      <c r="K32" s="153" t="s" ph="1">
        <v>5</v>
      </c>
      <c r="L32" s="152" t="s" ph="1">
        <v>43</v>
      </c>
      <c r="M32" s="97" t="s" ph="1">
        <v>4</v>
      </c>
      <c r="N32" s="153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2" t="s" ph="1">
        <v>43</v>
      </c>
      <c r="AB32" s="97" t="s" ph="1">
        <v>85</v>
      </c>
      <c r="AC32" s="15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292882.29292079998</v>
      </c>
      <c r="E33" s="190" ph="1">
        <f>M10+I10</f>
        <v>44443.075160799999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[[#This Row],[F25]]</f>
        <v>3880</v>
      </c>
      <c r="G33" s="216" ph="1">
        <f>N19</f>
        <v>13893.876860720002</v>
      </c>
      <c r="H33" s="190" ph="1">
        <f>M19</f>
        <v>29404.898259200003</v>
      </c>
      <c r="I33" s="194" ph="1">
        <v>0</v>
      </c>
      <c r="J33" s="198" ph="1">
        <f>F10+O28</f>
        <v>324916.38701119996</v>
      </c>
      <c r="K33" s="190" ph="1">
        <f>O10+K10+E28+R28</f>
        <v>202865.86991884001</v>
      </c>
      <c r="L33" s="200" ph="1">
        <f>K19</f>
        <v>26349.033968880001</v>
      </c>
      <c r="M33" s="198" ph="1">
        <f>G10+H10+W28+S28+V28+E10+R19+P28+Q28</f>
        <v>1204655.1958243002</v>
      </c>
      <c r="N33" s="190" ph="1">
        <f>L10+P10++G28+H28+AD19+AE19</f>
        <v>152706.87650879999</v>
      </c>
      <c r="O33" s="194" ph="1">
        <f>G19</f>
        <v>20199.9325556</v>
      </c>
      <c r="P33" s="198" ph="1">
        <f>L19</f>
        <v>8626.0987845200016</v>
      </c>
      <c r="Q33" s="190" ph="1">
        <f>J10+N10</f>
        <v>67864.984732500016</v>
      </c>
      <c r="R33" s="194" ph="1">
        <f>BE23</f>
        <v>890</v>
      </c>
      <c r="S33" s="198" ph="1">
        <f>X28</f>
        <v>116397.53980900001</v>
      </c>
      <c r="T33" s="190" ph="1">
        <f>X19</f>
        <v>2809.74937292</v>
      </c>
      <c r="U33" s="179" ph="1">
        <f>BE21</f>
        <v>730</v>
      </c>
      <c r="V33" s="192" ph="1">
        <f ca="1">P19+Q19+S19+M28+N28+J28+D10+AC10+D19+E19+H19+J19+O19+V19+W19+K28+L28</f>
        <v>729711.01855988591</v>
      </c>
      <c r="W33" s="192" ph="1">
        <f>D28+F28+T28+I28</f>
        <v>37525.973332428002</v>
      </c>
      <c r="X33" s="194" ph="1">
        <f>BE29+BE31</f>
        <v>10200</v>
      </c>
      <c r="Y33" s="196" ph="1">
        <f>+Q10+R10+S10+T10+U10+V10+W10+X10+Y10</f>
        <v>191492.57981700002</v>
      </c>
      <c r="Z33" s="177" ph="1">
        <f>T19+U19+Y28+Z10</f>
        <v>352615.69276231999</v>
      </c>
      <c r="AA33" s="179" ph="1">
        <f>BE19</f>
        <v>1440</v>
      </c>
      <c r="AB33" s="181" ph="1">
        <f>I19</f>
        <v>23390.144484</v>
      </c>
      <c r="AC33" s="183" ph="1">
        <f>AD10+AB19</f>
        <v>96621.193843200017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1" t="s" ph="1">
        <v>185</v>
      </c>
      <c r="AA36" s="151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342</v>
      </c>
      <c r="AI37" s="151" t="s" ph="1">
        <v>209</v>
      </c>
      <c r="AJ37" s="151" t="s" ph="1">
        <v>210</v>
      </c>
      <c r="AK37" s="151" t="s" ph="1">
        <v>211</v>
      </c>
      <c r="AM37" s="151" t="s" ph="1">
        <v>210</v>
      </c>
      <c r="AN37" s="151" t="s" ph="1">
        <v>211</v>
      </c>
      <c r="AO37" s="151" t="s" ph="1">
        <v>212</v>
      </c>
      <c r="AP37" s="151" t="s" ph="1">
        <v>210</v>
      </c>
      <c r="AQ37" s="151" t="s" ph="1">
        <v>211</v>
      </c>
      <c r="AR37" s="151" t="s" ph="1">
        <v>212</v>
      </c>
      <c r="AS37" s="151" t="s" ph="1">
        <v>210</v>
      </c>
      <c r="AT37" s="151" t="s" ph="1">
        <v>211</v>
      </c>
      <c r="AU37" s="151" t="s" ph="1">
        <v>212</v>
      </c>
      <c r="AV37" s="151" t="s" ph="1">
        <v>210</v>
      </c>
      <c r="AW37" s="151" t="s" ph="1">
        <v>211</v>
      </c>
      <c r="AX37" s="151" t="s" ph="1">
        <v>212</v>
      </c>
      <c r="AY37" s="151" t="s" ph="1">
        <v>211</v>
      </c>
      <c r="AZ37" s="151" t="s" ph="1">
        <v>213</v>
      </c>
      <c r="BD37" s="151" t="s" ph="1">
        <v>305</v>
      </c>
      <c r="BE37" s="15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949" priority="100">
      <formula>ABS(D$7-D$10)&gt;=1000</formula>
    </cfRule>
  </conditionalFormatting>
  <conditionalFormatting sqref="E4 E6:E11">
    <cfRule type="expression" dxfId="1948" priority="99">
      <formula>ABS(E$7-E$10)&gt;=1000</formula>
    </cfRule>
  </conditionalFormatting>
  <conditionalFormatting sqref="F4:F11">
    <cfRule type="expression" dxfId="1947" priority="98">
      <formula>ABS(F$7-F$10)&gt;=1000</formula>
    </cfRule>
  </conditionalFormatting>
  <conditionalFormatting sqref="G4:G11">
    <cfRule type="expression" dxfId="1946" priority="97">
      <formula>ABS(G$7-G$10)&gt;=1000</formula>
    </cfRule>
  </conditionalFormatting>
  <conditionalFormatting sqref="H4:H11">
    <cfRule type="expression" dxfId="1945" priority="96">
      <formula>ABS(H$7-H$10)&gt;=1000</formula>
    </cfRule>
  </conditionalFormatting>
  <conditionalFormatting sqref="I4:I11">
    <cfRule type="expression" dxfId="1944" priority="95">
      <formula>ABS(I$7-I$10)&gt;=1000</formula>
    </cfRule>
  </conditionalFormatting>
  <conditionalFormatting sqref="J4:J11">
    <cfRule type="expression" dxfId="1943" priority="94">
      <formula>ABS(J$7-J$10)&gt;=1000</formula>
    </cfRule>
  </conditionalFormatting>
  <conditionalFormatting sqref="K4:K11">
    <cfRule type="expression" dxfId="1942" priority="93">
      <formula>ABS(K$7-K$10)&gt;=1000</formula>
    </cfRule>
  </conditionalFormatting>
  <conditionalFormatting sqref="L4:L11">
    <cfRule type="expression" dxfId="1941" priority="92">
      <formula>ABS(L$7-L$10)&gt;=1000</formula>
    </cfRule>
  </conditionalFormatting>
  <conditionalFormatting sqref="M4 M6:M11">
    <cfRule type="expression" dxfId="1940" priority="91">
      <formula>ABS(M$7-M$10)&gt;=1000</formula>
    </cfRule>
  </conditionalFormatting>
  <conditionalFormatting sqref="N4 N6:N11">
    <cfRule type="expression" dxfId="1939" priority="90">
      <formula>ABS(N$7-N$10)&gt;=1000</formula>
    </cfRule>
  </conditionalFormatting>
  <conditionalFormatting sqref="O4 O6:O11">
    <cfRule type="expression" dxfId="1938" priority="89">
      <formula>ABS(O$7-O$10)&gt;=1000</formula>
    </cfRule>
  </conditionalFormatting>
  <conditionalFormatting sqref="P4 P6:P11">
    <cfRule type="expression" dxfId="1937" priority="88">
      <formula>ABS(P$7-P$10)&gt;=1000</formula>
    </cfRule>
  </conditionalFormatting>
  <conditionalFormatting sqref="Q4:Q11">
    <cfRule type="expression" dxfId="1936" priority="87">
      <formula>ABS(Q$7-Q$10)&gt;=1000</formula>
    </cfRule>
  </conditionalFormatting>
  <conditionalFormatting sqref="R4:R11">
    <cfRule type="expression" dxfId="1935" priority="86">
      <formula>ABS(R$7-R$10)&gt;=1000</formula>
    </cfRule>
  </conditionalFormatting>
  <conditionalFormatting sqref="S4:S11">
    <cfRule type="expression" dxfId="1934" priority="85">
      <formula>ABS(S$7-S$10)&gt;=1000</formula>
    </cfRule>
  </conditionalFormatting>
  <conditionalFormatting sqref="T4:T9 T11">
    <cfRule type="expression" dxfId="1933" priority="84">
      <formula>ABS(T$7-T$10)&gt;=1000</formula>
    </cfRule>
  </conditionalFormatting>
  <conditionalFormatting sqref="U4:U9 U11">
    <cfRule type="expression" dxfId="1932" priority="83">
      <formula>ABS(U$7-U$10)&gt;=1000</formula>
    </cfRule>
  </conditionalFormatting>
  <conditionalFormatting sqref="V4:V9 V11">
    <cfRule type="expression" dxfId="1931" priority="82">
      <formula>ABS(V$7-V$10)&gt;=1000</formula>
    </cfRule>
  </conditionalFormatting>
  <conditionalFormatting sqref="W4:W9 W11">
    <cfRule type="expression" dxfId="1930" priority="81">
      <formula>ABS(W$7-W$10)&gt;=1000</formula>
    </cfRule>
  </conditionalFormatting>
  <conditionalFormatting sqref="X4:X9 X11">
    <cfRule type="expression" dxfId="1929" priority="80">
      <formula>ABS(X$7-X$10)&gt;=1000</formula>
    </cfRule>
  </conditionalFormatting>
  <conditionalFormatting sqref="Y4:Y9 Y11">
    <cfRule type="expression" dxfId="1928" priority="79">
      <formula>ABS(Y$7-Y$10)&gt;=1000</formula>
    </cfRule>
  </conditionalFormatting>
  <conditionalFormatting sqref="Z4:Z11">
    <cfRule type="expression" dxfId="1927" priority="78">
      <formula>ABS(Z$7-Z$10)&gt;=1000</formula>
    </cfRule>
  </conditionalFormatting>
  <conditionalFormatting sqref="AA4:AA11">
    <cfRule type="expression" dxfId="1926" priority="77">
      <formula>ABS(AA$7-AA$10)&gt;=1000</formula>
    </cfRule>
  </conditionalFormatting>
  <conditionalFormatting sqref="AB4:AB11">
    <cfRule type="expression" dxfId="1925" priority="76">
      <formula>ABS(AB$7-AB$10)&gt;=1000</formula>
    </cfRule>
  </conditionalFormatting>
  <conditionalFormatting sqref="AC4 AC6:AC11">
    <cfRule type="expression" dxfId="1924" priority="75">
      <formula>ABS(AC$7-AC$10)&gt;=1000</formula>
    </cfRule>
  </conditionalFormatting>
  <conditionalFormatting sqref="AD4 AD6:AD11">
    <cfRule type="expression" dxfId="1923" priority="74">
      <formula>ABS(AD$7-AD$10)&gt;=1000</formula>
    </cfRule>
  </conditionalFormatting>
  <conditionalFormatting sqref="AE4 AE6:AE11">
    <cfRule type="expression" dxfId="1922" priority="73">
      <formula>ABS(AE$7-AE$10)&gt;=1000</formula>
    </cfRule>
  </conditionalFormatting>
  <conditionalFormatting sqref="D13:D20">
    <cfRule type="expression" dxfId="1921" priority="72">
      <formula>ABS(D$16-D$19)&gt;=1000</formula>
    </cfRule>
  </conditionalFormatting>
  <conditionalFormatting sqref="E13:E20">
    <cfRule type="expression" dxfId="1920" priority="71">
      <formula>ABS(E$16-E$19)&gt;=1000</formula>
    </cfRule>
  </conditionalFormatting>
  <conditionalFormatting sqref="F13 F15:F20">
    <cfRule type="expression" dxfId="1919" priority="70">
      <formula>ABS(F$16-F$19)&gt;=1000</formula>
    </cfRule>
  </conditionalFormatting>
  <conditionalFormatting sqref="G13:G20">
    <cfRule type="expression" dxfId="1918" priority="69">
      <formula>ABS(G$16-G$19)&gt;=1000</formula>
    </cfRule>
  </conditionalFormatting>
  <conditionalFormatting sqref="H13 H15:H20">
    <cfRule type="expression" dxfId="1917" priority="68">
      <formula>ABS(H$16-H$19)&gt;=1000</formula>
    </cfRule>
  </conditionalFormatting>
  <conditionalFormatting sqref="I13:I20">
    <cfRule type="expression" dxfId="1916" priority="67">
      <formula>ABS(I$16-I$19)&gt;=1000</formula>
    </cfRule>
  </conditionalFormatting>
  <conditionalFormatting sqref="J13:J20">
    <cfRule type="expression" dxfId="1915" priority="66">
      <formula>ABS(J$16-J$19)&gt;=1000</formula>
    </cfRule>
  </conditionalFormatting>
  <conditionalFormatting sqref="L13:L20">
    <cfRule type="expression" dxfId="1914" priority="65">
      <formula>ABS(L$16-L$19)&gt;=1000</formula>
    </cfRule>
  </conditionalFormatting>
  <conditionalFormatting sqref="M13 M15 M17:M18 M20">
    <cfRule type="expression" dxfId="1913" priority="64">
      <formula>ABS(M$16-M$19)&gt;=1000</formula>
    </cfRule>
  </conditionalFormatting>
  <conditionalFormatting sqref="N13:N20">
    <cfRule type="expression" dxfId="1912" priority="63">
      <formula>ABS(N$16-N$19)&gt;=1000</formula>
    </cfRule>
  </conditionalFormatting>
  <conditionalFormatting sqref="O13:O20">
    <cfRule type="expression" dxfId="1911" priority="62">
      <formula>ABS(O$16-O$19)&gt;=1000</formula>
    </cfRule>
  </conditionalFormatting>
  <conditionalFormatting sqref="P13:P20">
    <cfRule type="expression" dxfId="1910" priority="61">
      <formula>ABS(P$16-P$19)&gt;=1000</formula>
    </cfRule>
  </conditionalFormatting>
  <conditionalFormatting sqref="Q13 Q15:Q20">
    <cfRule type="expression" dxfId="1909" priority="60">
      <formula>ABS(Q$16-Q$19)&gt;=1000</formula>
    </cfRule>
  </conditionalFormatting>
  <conditionalFormatting sqref="R13:R20">
    <cfRule type="expression" dxfId="1908" priority="59">
      <formula>ABS(R$16-R$19)&gt;=1000</formula>
    </cfRule>
  </conditionalFormatting>
  <conditionalFormatting sqref="S13:S20">
    <cfRule type="expression" dxfId="1907" priority="58">
      <formula>ABS(S$16-S$19)&gt;=1000</formula>
    </cfRule>
  </conditionalFormatting>
  <conditionalFormatting sqref="T13:T20">
    <cfRule type="expression" dxfId="1906" priority="57">
      <formula>ABS(T$16-T$19)&gt;=1000</formula>
    </cfRule>
  </conditionalFormatting>
  <conditionalFormatting sqref="U13:U20">
    <cfRule type="expression" dxfId="1905" priority="56">
      <formula>ABS(U$16-U$19)&gt;=1000</formula>
    </cfRule>
  </conditionalFormatting>
  <conditionalFormatting sqref="V13:V20">
    <cfRule type="expression" dxfId="1904" priority="55">
      <formula>ABS(V$16-V$19)&gt;=1000</formula>
    </cfRule>
  </conditionalFormatting>
  <conditionalFormatting sqref="W13 W20 W15:W18">
    <cfRule type="expression" dxfId="1903" priority="54">
      <formula>ABS(W$16-W$19)&gt;=1000</formula>
    </cfRule>
  </conditionalFormatting>
  <conditionalFormatting sqref="X13 X15:X20 Y19">
    <cfRule type="expression" dxfId="1902" priority="53">
      <formula>ABS(X$16-X$19)&gt;=1000</formula>
    </cfRule>
  </conditionalFormatting>
  <conditionalFormatting sqref="Y13 Y15:Y18 Y20">
    <cfRule type="expression" dxfId="1901" priority="52">
      <formula>ABS(Y$16-Y$19)&gt;=1000</formula>
    </cfRule>
  </conditionalFormatting>
  <conditionalFormatting sqref="Z13:Z20">
    <cfRule type="expression" dxfId="1900" priority="51">
      <formula>ABS(Z$16-Z$19)&gt;=1000</formula>
    </cfRule>
  </conditionalFormatting>
  <conditionalFormatting sqref="AA13:AA20">
    <cfRule type="expression" dxfId="1899" priority="50">
      <formula>ABS(AA$16-AA$19)&gt;=1000</formula>
    </cfRule>
  </conditionalFormatting>
  <conditionalFormatting sqref="AB13 AB15:AB20">
    <cfRule type="expression" dxfId="1898" priority="49">
      <formula>ABS(AB$16-AB$19)&gt;=1000</formula>
    </cfRule>
  </conditionalFormatting>
  <conditionalFormatting sqref="AC13 AC15:AC20">
    <cfRule type="expression" dxfId="1897" priority="48">
      <formula>ABS(AC$16-AC$19)&gt;=1000</formula>
    </cfRule>
  </conditionalFormatting>
  <conditionalFormatting sqref="AD13:AD20">
    <cfRule type="expression" dxfId="1896" priority="47">
      <formula>ABS(AD$16-AD$19)&gt;=1000</formula>
    </cfRule>
  </conditionalFormatting>
  <conditionalFormatting sqref="AE13:AE20">
    <cfRule type="expression" dxfId="1895" priority="46">
      <formula>ABS(AE$16-AE$19)&gt;=1000</formula>
    </cfRule>
  </conditionalFormatting>
  <conditionalFormatting sqref="D22:D29">
    <cfRule type="expression" dxfId="1894" priority="45">
      <formula>ABS(D$25-D$28)&gt;=1000</formula>
    </cfRule>
  </conditionalFormatting>
  <conditionalFormatting sqref="E22:E29">
    <cfRule type="expression" dxfId="1893" priority="44">
      <formula>ABS(E$25-E$28)&gt;=1000</formula>
    </cfRule>
  </conditionalFormatting>
  <conditionalFormatting sqref="F22:F29">
    <cfRule type="expression" dxfId="1892" priority="43">
      <formula>ABS(F$25-F$28)&gt;=1000</formula>
    </cfRule>
  </conditionalFormatting>
  <conditionalFormatting sqref="G22:G29">
    <cfRule type="expression" dxfId="1891" priority="42">
      <formula>ABS(G$25-G$28)&gt;=1000</formula>
    </cfRule>
  </conditionalFormatting>
  <conditionalFormatting sqref="H22:H29">
    <cfRule type="expression" dxfId="1890" priority="41">
      <formula>ABS(H$25-H$28)&gt;=1000</formula>
    </cfRule>
  </conditionalFormatting>
  <conditionalFormatting sqref="I22 I24:I29">
    <cfRule type="expression" dxfId="1889" priority="40">
      <formula>ABS(I$25-I$28)&gt;=1000</formula>
    </cfRule>
  </conditionalFormatting>
  <conditionalFormatting sqref="J22:J29 K22">
    <cfRule type="expression" dxfId="1888" priority="39">
      <formula>ABS(J$25-J$28)&gt;=1000</formula>
    </cfRule>
  </conditionalFormatting>
  <conditionalFormatting sqref="K23:K29 L25 L28">
    <cfRule type="expression" dxfId="1887" priority="38">
      <formula>ABS(K$25-K$28)&gt;=1000</formula>
    </cfRule>
  </conditionalFormatting>
  <conditionalFormatting sqref="L22 L26:L27 L29 L24">
    <cfRule type="expression" dxfId="1886" priority="37">
      <formula>ABS(L$25-L$28)&gt;=1000</formula>
    </cfRule>
  </conditionalFormatting>
  <conditionalFormatting sqref="M22:M29">
    <cfRule type="expression" dxfId="1885" priority="36">
      <formula>ABS(M$25-M$28)&gt;=1000</formula>
    </cfRule>
  </conditionalFormatting>
  <conditionalFormatting sqref="N22:N29">
    <cfRule type="expression" dxfId="1884" priority="35">
      <formula>ABS(N$25-N$28)&gt;=1000</formula>
    </cfRule>
  </conditionalFormatting>
  <conditionalFormatting sqref="O22:O29">
    <cfRule type="expression" dxfId="1883" priority="34">
      <formula>ABS(O$25-O$28)&gt;=1000</formula>
    </cfRule>
  </conditionalFormatting>
  <conditionalFormatting sqref="P22:P29">
    <cfRule type="expression" dxfId="1882" priority="33">
      <formula>ABS(P$25-P$28)&gt;=1000</formula>
    </cfRule>
  </conditionalFormatting>
  <conditionalFormatting sqref="Q22:Q29">
    <cfRule type="expression" dxfId="1881" priority="32">
      <formula>ABS(Q$25-Q$28)&gt;=1000</formula>
    </cfRule>
  </conditionalFormatting>
  <conditionalFormatting sqref="R22:R29">
    <cfRule type="expression" dxfId="1880" priority="31">
      <formula>ABS(R$25-R$28)&gt;=1000</formula>
    </cfRule>
  </conditionalFormatting>
  <conditionalFormatting sqref="S22:S29">
    <cfRule type="expression" dxfId="1879" priority="30">
      <formula>ABS(S$25-S$28)&gt;=1000</formula>
    </cfRule>
  </conditionalFormatting>
  <conditionalFormatting sqref="T22:T29">
    <cfRule type="expression" dxfId="1878" priority="29">
      <formula>ABS(T$25-T$28)&gt;=1000</formula>
    </cfRule>
  </conditionalFormatting>
  <conditionalFormatting sqref="U22:U29">
    <cfRule type="expression" dxfId="1877" priority="28">
      <formula>ABS(U$25-U$28)&gt;=1000</formula>
    </cfRule>
  </conditionalFormatting>
  <conditionalFormatting sqref="V22:V29">
    <cfRule type="expression" dxfId="1876" priority="27">
      <formula>ABS(V$25-V$28)&gt;=1000</formula>
    </cfRule>
  </conditionalFormatting>
  <conditionalFormatting sqref="W22:W29">
    <cfRule type="expression" dxfId="1875" priority="26">
      <formula>ABS(W$25-W$28)&gt;=1000</formula>
    </cfRule>
  </conditionalFormatting>
  <conditionalFormatting sqref="X22:X29">
    <cfRule type="expression" dxfId="1874" priority="25">
      <formula>ABS(X$25-X$28)&gt;=1000</formula>
    </cfRule>
  </conditionalFormatting>
  <conditionalFormatting sqref="Y22:Y29">
    <cfRule type="expression" dxfId="1873" priority="24">
      <formula>ABS(Y$25-Y$28)&gt;=1000</formula>
    </cfRule>
  </conditionalFormatting>
  <conditionalFormatting sqref="I23">
    <cfRule type="expression" dxfId="1872" priority="23">
      <formula>ABS(I$25-I$28)&gt;=1000</formula>
    </cfRule>
  </conditionalFormatting>
  <conditionalFormatting sqref="Q14">
    <cfRule type="expression" dxfId="1871" priority="22">
      <formula>ABS(Q$16-Q$19)&gt;=1000</formula>
    </cfRule>
  </conditionalFormatting>
  <conditionalFormatting sqref="W14">
    <cfRule type="expression" dxfId="1870" priority="21">
      <formula>ABS(W$16-W$19)&gt;=1000</formula>
    </cfRule>
  </conditionalFormatting>
  <conditionalFormatting sqref="X14">
    <cfRule type="expression" dxfId="1869" priority="20">
      <formula>ABS(X$16-X$19)&gt;=1000</formula>
    </cfRule>
  </conditionalFormatting>
  <conditionalFormatting sqref="T10:Y10">
    <cfRule type="expression" dxfId="1868" priority="19">
      <formula>ABS(T$7-T$10)&gt;=1000</formula>
    </cfRule>
  </conditionalFormatting>
  <conditionalFormatting sqref="W19">
    <cfRule type="expression" dxfId="1867" priority="18">
      <formula>ABS(W$16-W$19)&gt;=1000</formula>
    </cfRule>
  </conditionalFormatting>
  <conditionalFormatting sqref="AC5">
    <cfRule type="expression" dxfId="1866" priority="17">
      <formula>ABS(AC$7-AC$10)&gt;=1000</formula>
    </cfRule>
  </conditionalFormatting>
  <conditionalFormatting sqref="M14">
    <cfRule type="expression" dxfId="1865" priority="16">
      <formula>ABS(M$16-M$19)&gt;=1000</formula>
    </cfRule>
  </conditionalFormatting>
  <conditionalFormatting sqref="M16">
    <cfRule type="expression" dxfId="1864" priority="15">
      <formula>ABS(M$16-M$19)&gt;=1000</formula>
    </cfRule>
  </conditionalFormatting>
  <conditionalFormatting sqref="M19">
    <cfRule type="expression" dxfId="1863" priority="14">
      <formula>ABS(M$16-M$19)&gt;=1000</formula>
    </cfRule>
  </conditionalFormatting>
  <conditionalFormatting sqref="K13:K20">
    <cfRule type="expression" dxfId="1862" priority="13">
      <formula>ABS(K$16-K$19)&gt;=1000</formula>
    </cfRule>
  </conditionalFormatting>
  <conditionalFormatting sqref="E5">
    <cfRule type="expression" dxfId="1861" priority="12">
      <formula>ABS(E$7-E$10)&gt;=1000</formula>
    </cfRule>
  </conditionalFormatting>
  <conditionalFormatting sqref="AB14:AC14">
    <cfRule type="expression" dxfId="1860" priority="11">
      <formula>ABS(AB$16-AB$19)&gt;=1000</formula>
    </cfRule>
  </conditionalFormatting>
  <conditionalFormatting sqref="M5">
    <cfRule type="expression" dxfId="1859" priority="10">
      <formula>ABS(M$7-M$10)&gt;=1000</formula>
    </cfRule>
  </conditionalFormatting>
  <conditionalFormatting sqref="N5">
    <cfRule type="expression" dxfId="1858" priority="9">
      <formula>ABS(N$7-N$10)&gt;=1000</formula>
    </cfRule>
  </conditionalFormatting>
  <conditionalFormatting sqref="O5">
    <cfRule type="expression" dxfId="1857" priority="8">
      <formula>ABS(O$7-O$10)&gt;=1000</formula>
    </cfRule>
  </conditionalFormatting>
  <conditionalFormatting sqref="P5">
    <cfRule type="expression" dxfId="1856" priority="7">
      <formula>ABS(P$7-P$10)&gt;=1000</formula>
    </cfRule>
  </conditionalFormatting>
  <conditionalFormatting sqref="L23">
    <cfRule type="expression" dxfId="1855" priority="6">
      <formula>ABS(L$25-L$28)&gt;=1000</formula>
    </cfRule>
  </conditionalFormatting>
  <conditionalFormatting sqref="Y14">
    <cfRule type="expression" dxfId="1854" priority="5">
      <formula>ABS(Y$16-Y$19)&gt;=1000</formula>
    </cfRule>
  </conditionalFormatting>
  <conditionalFormatting sqref="F14">
    <cfRule type="expression" dxfId="1853" priority="4">
      <formula>ABS(F$16-F$19)&gt;=1000</formula>
    </cfRule>
  </conditionalFormatting>
  <conditionalFormatting sqref="H14">
    <cfRule type="expression" dxfId="1852" priority="3">
      <formula>ABS(H$16-H$19)&gt;=1000</formula>
    </cfRule>
  </conditionalFormatting>
  <conditionalFormatting sqref="AD5">
    <cfRule type="expression" dxfId="1851" priority="2">
      <formula>ABS(AD$7-AD$10)&gt;=1000</formula>
    </cfRule>
  </conditionalFormatting>
  <conditionalFormatting sqref="AE5">
    <cfRule type="expression" dxfId="185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77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86">
    <pageSetUpPr fitToPage="1"/>
  </sheetPr>
  <dimension ref="A1:CU223"/>
  <sheetViews>
    <sheetView view="pageBreakPreview" zoomScale="59" zoomScaleNormal="100" zoomScaleSheetLayoutView="59" workbookViewId="0">
      <selection activeCell="B31" sqref="B31:C3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46154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3" t="s" ph="1">
        <v>177</v>
      </c>
      <c r="D6" s="71">
        <v>3007</v>
      </c>
      <c r="E6" s="71">
        <v>8488</v>
      </c>
      <c r="F6" s="71">
        <v>5829</v>
      </c>
      <c r="G6" s="71">
        <v>2200</v>
      </c>
      <c r="H6" s="71">
        <v>9142</v>
      </c>
      <c r="I6" s="71">
        <v>44.5</v>
      </c>
      <c r="J6" s="71">
        <v>6.27</v>
      </c>
      <c r="K6" s="71">
        <v>7.47</v>
      </c>
      <c r="L6" s="71">
        <v>73.290000000000006</v>
      </c>
      <c r="M6" s="71">
        <v>1256</v>
      </c>
      <c r="N6" s="71">
        <v>2336</v>
      </c>
      <c r="O6" s="71">
        <v>3164</v>
      </c>
      <c r="P6" s="71">
        <v>0</v>
      </c>
      <c r="Q6" s="71">
        <v>7169</v>
      </c>
      <c r="R6" s="71">
        <v>6496</v>
      </c>
      <c r="S6" s="71">
        <v>4340</v>
      </c>
      <c r="T6" s="71">
        <v>3070</v>
      </c>
      <c r="U6" s="71">
        <v>0</v>
      </c>
      <c r="V6" s="71">
        <v>0</v>
      </c>
      <c r="W6" s="71">
        <v>0</v>
      </c>
      <c r="X6" s="71">
        <v>0</v>
      </c>
      <c r="Y6" s="71">
        <v>5316</v>
      </c>
      <c r="Z6" s="71">
        <v>2151</v>
      </c>
      <c r="AA6" s="71">
        <v>4627</v>
      </c>
      <c r="AB6" s="71">
        <v>5775</v>
      </c>
      <c r="AC6" s="71">
        <v>4616</v>
      </c>
      <c r="AD6" s="71">
        <v>1846</v>
      </c>
      <c r="AE6" s="71">
        <v>4903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94612.610644200002</v>
      </c>
      <c r="E7" s="73" ph="1">
        <f>E6*51.53*LOOKUP(E8,密度!$A$2:$A$50,密度!$B$2:$B$50)</f>
        <v>341773.92049599998</v>
      </c>
      <c r="F7" s="73" ph="1">
        <f>F6*33.183*LOOKUP(F8,密度!$A$2:$A$50,密度!$C$2:$C$50)</f>
        <v>214622.94528719998</v>
      </c>
      <c r="G7" s="73" ph="1">
        <f xml:space="preserve"> (G6+2)*51.53*LOOKUP(G8,密度!$A$2:$A$50,密度!$B$2:$B$50)</f>
        <v>88868.967791999996</v>
      </c>
      <c r="H7" s="73" ph="1">
        <f>(H6)*51.53*LOOKUP(H8,密度!$A$2:$A$50,密度!$B$2:$B$50)</f>
        <v>368955.54203200003</v>
      </c>
      <c r="I7" s="73" ph="1">
        <f>I6*290.8*1.0267</f>
        <v>13286.114019999999</v>
      </c>
      <c r="J7" s="73" ph="1">
        <f>J6*290.8*0.7892</f>
        <v>1438.9609872000001</v>
      </c>
      <c r="K7" s="73" ph="1">
        <f>K6*290.8*1.1126</f>
        <v>2416.8742775999999</v>
      </c>
      <c r="L7" s="73" ph="1">
        <f>L6*290.8*0.777</f>
        <v>16559.992764000002</v>
      </c>
      <c r="M7" s="73" ph="1">
        <f>M6*33.183*LOOKUP(M8,密度!$A$2:$A$50,密度!$D$2:$D$50)</f>
        <v>42673.948567200001</v>
      </c>
      <c r="N7" s="73" ph="1">
        <f>N6*33.183*LOOKUP(N8,密度!$A$2:$A$50,密度!$E$2:$E$50)</f>
        <v>60710.130201599997</v>
      </c>
      <c r="O7" s="73" ph="1">
        <f>O6*20.428*LOOKUP(O8,密度!$A$2:$A$50,密度!$C$2:$C$50)</f>
        <v>71524.196867200008</v>
      </c>
      <c r="P7" s="73" ph="1">
        <f>P6*51.53*LOOKUP(P8,密度!$A$2:$A$50,密度!$B$2:$B$50)</f>
        <v>0</v>
      </c>
      <c r="Q7" s="73" ph="1">
        <f>Q6*1.5*1.5*3.1416*LOOKUP(W8,密度!$A$2:$A$50,密度!$L$2:$L$50)</f>
        <v>47482.281415800004</v>
      </c>
      <c r="R7" s="73" ph="1">
        <f>R6*1.5*1.5*3.1416*LOOKUP(R8,密度!$A$2:$A$50,密度!$L$2:$L$50)</f>
        <v>43024.815187200002</v>
      </c>
      <c r="S7" s="73" ph="1">
        <f>S6*1.5*1.5*3.1416*LOOKUP(S8,密度!$A$2:$A$50,密度!$L$2:$L$50)</f>
        <v>28806.382835999997</v>
      </c>
      <c r="T7" s="73" ph="1">
        <f>T6*1.5*1.5*3.1416*LOOKUP(T8,密度!$A$2:$A$50,密度!$L$2:$L$50)</f>
        <v>20420.266481999999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35246.923588800004</v>
      </c>
      <c r="Z7" s="73" ph="1">
        <f>Z6*33.183*LOOKUP(Z8,密度!$A$2:$A$50,密度!$L$2:$L$50)</f>
        <v>66879.905121000003</v>
      </c>
      <c r="AA7" s="73" ph="1">
        <f>AA6*33.183*LOOKUP(AA8,密度!$A$2:$A$50,密度!$D$2:$D$50)</f>
        <v>158067.10435950002</v>
      </c>
      <c r="AB7" s="73" ph="1">
        <f>AB6*20.428*LOOKUP(AB8,密度!$A$2:$A$50,密度!$D$2:$D$50)</f>
        <v>121876.56327</v>
      </c>
      <c r="AC7" s="73" ph="1">
        <f>AC6*51.53*LOOKUP(AC8,密度!$A$2:$A$50,密度!$Q$2:$Q$50)</f>
        <v>226059.74374240002</v>
      </c>
      <c r="AD7" s="73" ph="1">
        <f>AD6*20.428*LOOKUP(AD8,密度!$A$2:$A$50,密度!$V$2:$V$50)</f>
        <v>36231.852550400006</v>
      </c>
      <c r="AE7" s="73" ph="1">
        <f>AE6*20.428</f>
        <v>100158.48400000001</v>
      </c>
    </row>
    <row r="8" spans="1:99" ph="1">
      <c r="B8" s="241" ph="1"/>
      <c r="C8" s="68" t="s" ph="1">
        <v>179</v>
      </c>
      <c r="D8" s="74">
        <v>23</v>
      </c>
      <c r="E8" s="74">
        <v>23</v>
      </c>
      <c r="F8" s="74">
        <v>24</v>
      </c>
      <c r="G8" s="74">
        <v>21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25</v>
      </c>
      <c r="O8" s="74">
        <v>28</v>
      </c>
      <c r="P8" s="74">
        <v>23</v>
      </c>
      <c r="Q8" s="74">
        <v>27</v>
      </c>
      <c r="R8" s="74">
        <v>25</v>
      </c>
      <c r="S8" s="74">
        <v>23</v>
      </c>
      <c r="T8" s="74">
        <v>21</v>
      </c>
      <c r="U8" s="74">
        <v>23</v>
      </c>
      <c r="V8" s="74">
        <v>25</v>
      </c>
      <c r="W8" s="74">
        <v>25</v>
      </c>
      <c r="X8" s="74">
        <v>17</v>
      </c>
      <c r="Y8" s="74">
        <v>24</v>
      </c>
      <c r="Z8" s="74">
        <v>25</v>
      </c>
      <c r="AA8" s="74">
        <v>22</v>
      </c>
      <c r="AB8" s="74">
        <v>18</v>
      </c>
      <c r="AC8" s="74">
        <v>20</v>
      </c>
      <c r="AD8" s="74">
        <v>25</v>
      </c>
      <c r="AE8" s="74">
        <v>27</v>
      </c>
    </row>
    <row r="9" spans="1:99" ht="26.4" ph="1">
      <c r="B9" s="241" ph="1">
        <v>0.66666666666666663</v>
      </c>
      <c r="C9" s="153" t="s" ph="1">
        <v>180</v>
      </c>
      <c r="D9" s="71">
        <v>3010</v>
      </c>
      <c r="E9" s="71">
        <v>8491</v>
      </c>
      <c r="F9" s="71">
        <v>5831</v>
      </c>
      <c r="G9" s="71">
        <v>1643</v>
      </c>
      <c r="H9" s="71">
        <v>9149</v>
      </c>
      <c r="I9" s="71">
        <v>15.6</v>
      </c>
      <c r="J9" s="71">
        <v>6.34</v>
      </c>
      <c r="K9" s="71">
        <v>7.38</v>
      </c>
      <c r="L9" s="71">
        <v>73.38</v>
      </c>
      <c r="M9" s="71">
        <v>1821</v>
      </c>
      <c r="N9" s="71">
        <v>2338</v>
      </c>
      <c r="O9" s="71">
        <v>2235</v>
      </c>
      <c r="P9" s="71">
        <v>337</v>
      </c>
      <c r="Q9" s="71">
        <v>7178</v>
      </c>
      <c r="R9" s="71">
        <v>7119</v>
      </c>
      <c r="S9" s="71">
        <v>6206</v>
      </c>
      <c r="T9" s="71">
        <v>5424</v>
      </c>
      <c r="U9" s="71">
        <v>1809</v>
      </c>
      <c r="V9" s="71">
        <v>0</v>
      </c>
      <c r="W9" s="71">
        <v>0</v>
      </c>
      <c r="X9" s="71">
        <v>0</v>
      </c>
      <c r="Y9" s="71">
        <v>838</v>
      </c>
      <c r="Z9" s="71">
        <v>3131</v>
      </c>
      <c r="AA9" s="71">
        <v>4342</v>
      </c>
      <c r="AB9" s="71">
        <v>5775</v>
      </c>
      <c r="AC9" s="71">
        <v>4183</v>
      </c>
      <c r="AD9" s="71">
        <v>1846</v>
      </c>
      <c r="AE9" s="71">
        <v>4904</v>
      </c>
    </row>
    <row r="10" spans="1:99" s="72" customFormat="1" ht="22.2" ph="1">
      <c r="B10" s="241" ph="1"/>
      <c r="C10" s="153" t="s" ph="1">
        <v>178</v>
      </c>
      <c r="D10" s="73" ph="1">
        <f>D9*33.183*LOOKUP(D11,密度!$A$2:$A$50,密度!$Q$2:$Q$50)</f>
        <v>94561.17699420001</v>
      </c>
      <c r="E10" s="73" ph="1">
        <f>E9*51.53*LOOKUP(E11,密度!$A$2:$A$50,密度!$B$2:$B$50)</f>
        <v>341107.14290799998</v>
      </c>
      <c r="F10" s="73" ph="1">
        <f>F9*33.183*LOOKUP(F11,密度!$A$2:$A$50,密度!$C$2:$C$50)</f>
        <v>214696.5850008</v>
      </c>
      <c r="G10" s="73" ph="1">
        <f xml:space="preserve"> (G9+2)*51.53*LOOKUP(G11,密度!$A$2:$A$50,密度!$B$2:$B$50)</f>
        <v>66084.236260000005</v>
      </c>
      <c r="H10" s="73" ph="1">
        <f>(H9)*51.53*LOOKUP(H11,密度!$A$2:$A$50,密度!$B$2:$B$50)</f>
        <v>367540.83741199999</v>
      </c>
      <c r="I10" s="73" ph="1">
        <f>I9*290.8*1.0267</f>
        <v>4657.6040160000002</v>
      </c>
      <c r="J10" s="73" ph="1">
        <f>J9*290.8*0.7892</f>
        <v>1455.0259424000001</v>
      </c>
      <c r="K10" s="73" ph="1">
        <f>K9*290.8*1.1126</f>
        <v>2387.7553104000003</v>
      </c>
      <c r="L10" s="73" ph="1">
        <f>L9*290.8*0.777</f>
        <v>16580.328408000001</v>
      </c>
      <c r="M10" s="73" ph="1">
        <f>M9*33.183*LOOKUP(M11,密度!$A$2:$A$50,密度!$D$2:$D$50)</f>
        <v>61810.003964699994</v>
      </c>
      <c r="N10" s="73" ph="1">
        <f>N9*33.183*LOOKUP(N11,密度!$A$2:$A$50,密度!$E$2:$E$50)</f>
        <v>60591.427974000006</v>
      </c>
      <c r="O10" s="73" ph="1">
        <f>O9*20.428*LOOKUP(O11,密度!$A$2:$A$50,密度!$C$2:$C$50)</f>
        <v>50455.086558000003</v>
      </c>
      <c r="P10" s="73" ph="1">
        <f>P9*51.53*LOOKUP(P11,密度!$A$2:$A$50,密度!$B$2:$B$50)</f>
        <v>13493.07897</v>
      </c>
      <c r="Q10" s="73" ph="1">
        <f>Q9*1.5*1.5*3.1416*LOOKUP(W11,密度!$A$2:$A$50,密度!$L$2:$L$50)</f>
        <v>47744.844562799997</v>
      </c>
      <c r="R10" s="73" ph="1">
        <f>R9*1.5*1.5*3.1416*LOOKUP(R11,密度!$A$2:$A$50,密度!$L$2:$L$50)</f>
        <v>47402.724322800001</v>
      </c>
      <c r="S10" s="73" ph="1">
        <f>S9*1.5*1.5*3.1416*LOOKUP(S11,密度!$A$2:$A$50,密度!$L$2:$L$50)</f>
        <v>41104.064509200005</v>
      </c>
      <c r="T10" s="73" ph="1">
        <f>T9*1.5*1.5*3.1416*LOOKUP(T11,密度!$A$2:$A$50,密度!$L$2:$L$50)</f>
        <v>36078.021302399997</v>
      </c>
      <c r="U10" s="73" ph="1">
        <f>U9*1.5*1.5*3.1416*LOOKUP(U11,密度!$A$2:$A$50,密度!$L$2:$L$50)</f>
        <v>11981.510263800001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5526.6131844000001</v>
      </c>
      <c r="Z10" s="73" ph="1">
        <f>Z9*33.183*LOOKUP(Z11,密度!$A$2:$A$50,密度!$L$2:$L$50)</f>
        <v>97142.734754999998</v>
      </c>
      <c r="AA10" s="73" ph="1">
        <f>AA9*33.183*LOOKUP(AA11,密度!$A$2:$A$50,密度!$D$2:$D$50)</f>
        <v>148201.2907596</v>
      </c>
      <c r="AB10" s="73" ph="1">
        <f>AB9*20.428*LOOKUP(AB11,密度!$A$2:$A$50,密度!$D$2:$D$50)</f>
        <v>121569.83685000001</v>
      </c>
      <c r="AC10" s="73" ph="1">
        <f>AC9*51.53*LOOKUP(AC11,密度!$A$2:$A$50,密度!$Q$2:$Q$50)</f>
        <v>204227.14902529999</v>
      </c>
      <c r="AD10" s="73" ph="1">
        <f>AD9*20.428*LOOKUP(AD11,密度!$A$2:$A$50,密度!$V$2:$V$50)</f>
        <v>36111.180268800003</v>
      </c>
      <c r="AE10" s="73" ph="1">
        <f>AE9*20.428</f>
        <v>100178.91200000001</v>
      </c>
    </row>
    <row r="11" spans="1:99" ph="1">
      <c r="A11" s="64" t="s" ph="1">
        <v>162</v>
      </c>
      <c r="B11" s="241" ph="1"/>
      <c r="C11" s="153" t="s" ph="1">
        <v>179</v>
      </c>
      <c r="D11" s="74">
        <v>25</v>
      </c>
      <c r="E11" s="74">
        <v>25</v>
      </c>
      <c r="F11" s="74">
        <v>24</v>
      </c>
      <c r="G11" s="74">
        <v>25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27</v>
      </c>
      <c r="O11" s="74">
        <v>30</v>
      </c>
      <c r="P11" s="74">
        <v>28</v>
      </c>
      <c r="Q11" s="74">
        <v>27</v>
      </c>
      <c r="R11" s="74">
        <v>20</v>
      </c>
      <c r="S11" s="74">
        <v>25</v>
      </c>
      <c r="T11" s="74">
        <v>21</v>
      </c>
      <c r="U11" s="74">
        <v>25</v>
      </c>
      <c r="V11" s="74">
        <v>26</v>
      </c>
      <c r="W11" s="74">
        <v>21</v>
      </c>
      <c r="X11" s="74">
        <v>22</v>
      </c>
      <c r="Y11" s="74">
        <v>29</v>
      </c>
      <c r="Z11" s="74">
        <v>27</v>
      </c>
      <c r="AA11" s="74">
        <v>23</v>
      </c>
      <c r="AB11" s="74">
        <v>21</v>
      </c>
      <c r="AC11" s="74">
        <v>24</v>
      </c>
      <c r="AD11" s="74">
        <v>27</v>
      </c>
      <c r="AE11" s="74">
        <v>29</v>
      </c>
    </row>
    <row r="12" spans="1:99" ht="9.9" customHeight="1" ph="1"/>
    <row r="13" spans="1:99" s="72" customFormat="1" ht="29.25" customHeight="1" ph="1">
      <c r="B13" s="218" t="s" ph="1">
        <v>37</v>
      </c>
      <c r="C13" s="15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3" t="s" ph="1">
        <v>177</v>
      </c>
      <c r="D15" s="78">
        <v>5099</v>
      </c>
      <c r="E15" s="78">
        <v>956</v>
      </c>
      <c r="F15" s="78">
        <v>498</v>
      </c>
      <c r="G15" s="78">
        <v>2989</v>
      </c>
      <c r="H15" s="78">
        <v>0</v>
      </c>
      <c r="I15" s="78">
        <v>2524</v>
      </c>
      <c r="J15" s="78">
        <v>5165</v>
      </c>
      <c r="K15" s="78">
        <v>2622</v>
      </c>
      <c r="L15" s="78">
        <v>1217</v>
      </c>
      <c r="M15" s="78">
        <v>3711</v>
      </c>
      <c r="N15" s="78">
        <v>1746</v>
      </c>
      <c r="O15" s="78">
        <v>1957</v>
      </c>
      <c r="P15" s="78">
        <v>0</v>
      </c>
      <c r="Q15" s="78">
        <v>6759</v>
      </c>
      <c r="R15" s="78">
        <v>0</v>
      </c>
      <c r="S15" s="78">
        <v>423</v>
      </c>
      <c r="T15" s="78">
        <v>2052</v>
      </c>
      <c r="U15" s="78">
        <v>1706</v>
      </c>
      <c r="V15" s="78">
        <v>4992</v>
      </c>
      <c r="W15" s="71">
        <v>5007</v>
      </c>
      <c r="X15" s="78">
        <v>-321</v>
      </c>
      <c r="Y15" s="106">
        <v>-9906</v>
      </c>
      <c r="Z15" s="78">
        <v>0</v>
      </c>
      <c r="AA15" s="78">
        <v>266</v>
      </c>
      <c r="AB15" s="78" ph="1">
        <v>7121</v>
      </c>
      <c r="AC15" s="78" ph="1">
        <v>3326</v>
      </c>
      <c r="AD15" s="78">
        <v>5.56</v>
      </c>
      <c r="AE15" s="78">
        <v>55.03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3" t="s" ph="1">
        <v>178</v>
      </c>
      <c r="D16" s="73" ph="1">
        <f>D15*7.0686*LOOKUP(D17,密度!$A$2:$A$50,密度!$L$2:$L$50)</f>
        <v>33700.009959000003</v>
      </c>
      <c r="E16" s="73" ph="1">
        <f>E15*7.0686*LOOKUP(E17,密度!$A$2:$A$50,密度!$L$2:$L$50)</f>
        <v>6318.3387960000009</v>
      </c>
      <c r="F16" s="73" ph="1">
        <f>F15*9.0746*LOOKUP(F17,密度!$A$2:$A$50,密度!$L$2:$L$50)</f>
        <v>4229.9251488000009</v>
      </c>
      <c r="G16" s="73" ph="1">
        <f>G15*9.0746*LOOKUP(G17,密度!$A$2:$A$50,密度!$B$2:$B$50)</f>
        <v>21145.854340239999</v>
      </c>
      <c r="H16" s="73" ph="1">
        <f>H15*9.0746*LOOKUP(H17,密度!$A$2:$A$50,密度!$L$2:$L$50)</f>
        <v>0</v>
      </c>
      <c r="I16" s="73" ph="1">
        <f>I15*9.0746*LOOKUP(I17,密度!$A$2:$A$50,密度!$U$2:$U$50)</f>
        <v>23545.610531200004</v>
      </c>
      <c r="J16" s="73" ph="1">
        <f>J15*9.0746*LOOKUP(J17,密度!$A$2:$A$50,密度!$L$2:$L$50)</f>
        <v>43917.479533000005</v>
      </c>
      <c r="K16" s="73" ph="1">
        <f>K15*9.0746*LOOKUP(K17,密度!$A$2:$A$50,密度!$C$2:$C$50)</f>
        <v>26384.72437068</v>
      </c>
      <c r="L16" s="73" ph="1">
        <f>L15*9.0746*LOOKUP(L17,密度!$A$2:$A$50,密度!$E$2:$E$50)</f>
        <v>8649.4949182400014</v>
      </c>
      <c r="M16" s="73" ph="1">
        <f>M15*9.0746*LOOKUP(M17,密度!$A$2:$A$50,密度!$M$2:$M$50)</f>
        <v>29469.728109060001</v>
      </c>
      <c r="N16" s="73" ph="1">
        <f>N15*9.0746*LOOKUP(N17,密度!$A$2:$A$50,密度!$M$2:$M$50)</f>
        <v>13895.4086532</v>
      </c>
      <c r="O16" s="73" ph="1">
        <f>O15*9.0746*LOOKUP(O17,密度!$A$2:$A$50,密度!$G$2:$G$50)</f>
        <v>17030.873519799999</v>
      </c>
      <c r="P16" s="73" ph="1">
        <f ca="1">P15*9.0746*LOOKUP(P17,密度!$A$2:$A$51,密度!$Q$2:$Q$50)</f>
        <v>0</v>
      </c>
      <c r="Q16" s="73" ph="1">
        <f>Q15*9.0746*LOOKUP(Q17,密度!$A$2:$A$50,密度!$Q$2:$Q$50)</f>
        <v>57981.411493848005</v>
      </c>
      <c r="R16" s="73" ph="1">
        <f>MAX(R15*9.0746*LOOKUP(R17,密度!$A$2:$A$50,密度!$B$2:$B$50),0)</f>
        <v>0</v>
      </c>
      <c r="S16" s="73" ph="1">
        <f>S15*9.0746*LOOKUP(S17,密度!$A$2:$A$50,密度!$Q$2:$Q$50)</f>
        <v>3634.1143180920003</v>
      </c>
      <c r="T16" s="73" ph="1">
        <f>T15*9.0746*LOOKUP(T17,密度!$A$2:$A$50,密度!$O$2:$O$50)</f>
        <v>17243.119339200002</v>
      </c>
      <c r="U16" s="73" ph="1">
        <f>U15*9.0746*LOOKUP(U17,密度!$A$2:$A$50,密度!$H$2:$H$50)</f>
        <v>14208.707403280001</v>
      </c>
      <c r="V16" s="73" ph="1">
        <f>MAX(5600*LOOKUP(V17,密度!$A$2:$A$50,密度!$Q$2:$Q$50)+V15*9.0476*LOOKUP(V17,密度!$A$2:$A$50,密度!$Q$2:$Q$50),0)</f>
        <v>47888.731559935994</v>
      </c>
      <c r="W16" s="73" ph="1">
        <f>MAX(5600*LOOKUP(W17,密度!$A$2:$A$50,密度!$Q$2:$Q$50)+W15*9.0476*LOOKUP(W17,密度!$A$2:$A$50,密度!$Q$2:$Q$50),0)</f>
        <v>48016.754647555994</v>
      </c>
      <c r="X16" s="73" ph="1">
        <f>MAX(5600*LOOKUP(X17,密度!$A$2:$A$50,密度!$I$2:$I$50)+X15*9.0476*LOOKUP(X17,密度!$A$2:$A$50,密度!$I$2:$I$50),0)</f>
        <v>2815.9495298400007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1886.17738904</v>
      </c>
      <c r="AB16" s="73" ph="1">
        <f>AB15*9.0746*LOOKUP(AB17,密度!$A$2:$A$50,密度!$L$2:$L$50)</f>
        <v>60549.152324200004</v>
      </c>
      <c r="AC16" s="73" ph="1">
        <f>AC15*9.0746*LOOKUP(AC17,密度!$A$2:$A$50,密度!$L$2:$L$50)</f>
        <v>28341.010304399999</v>
      </c>
      <c r="AD16" s="73" ph="1">
        <f>AD15*268.68*LOOKUP(AD17,密度!$A$2:$A$50,密度!B2:B50)+IF(AD15&lt;=0,0,1566*LOOKUP(AD17,密度!$A$2:$A$50,密度!B2:B50))</f>
        <v>2385.46747968</v>
      </c>
      <c r="AE16" s="73" ph="1">
        <f>AE15*268.68*LOOKUP(AE17,密度!$A$2:$A$50,密度!B2:B50)+IF(AE15&lt;=0,0,1566*LOOKUP(AE17,密度!$A$2:$A$50,密度!B2:B50))</f>
        <v>12747.59852784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27</v>
      </c>
      <c r="E17" s="74">
        <v>27</v>
      </c>
      <c r="F17" s="74">
        <v>26</v>
      </c>
      <c r="G17" s="74">
        <v>25</v>
      </c>
      <c r="H17" s="74">
        <v>22</v>
      </c>
      <c r="I17" s="74">
        <v>22</v>
      </c>
      <c r="J17" s="74">
        <v>25</v>
      </c>
      <c r="K17" s="74">
        <v>25</v>
      </c>
      <c r="L17" s="74">
        <v>25</v>
      </c>
      <c r="M17" s="74">
        <v>25</v>
      </c>
      <c r="N17" s="74">
        <v>23</v>
      </c>
      <c r="O17" s="74">
        <v>26</v>
      </c>
      <c r="P17" s="74">
        <v>23</v>
      </c>
      <c r="Q17" s="74">
        <v>27</v>
      </c>
      <c r="R17" s="74">
        <v>25</v>
      </c>
      <c r="S17" s="74">
        <v>25</v>
      </c>
      <c r="T17" s="74">
        <v>25</v>
      </c>
      <c r="U17" s="74">
        <v>22</v>
      </c>
      <c r="V17" s="74">
        <v>30</v>
      </c>
      <c r="W17" s="74">
        <v>30</v>
      </c>
      <c r="X17" s="74">
        <v>23</v>
      </c>
      <c r="Y17" s="108">
        <v>23</v>
      </c>
      <c r="Z17" s="74">
        <v>25</v>
      </c>
      <c r="AA17" s="74">
        <v>23</v>
      </c>
      <c r="AB17" s="74">
        <v>25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4527</v>
      </c>
      <c r="E18" s="71">
        <v>74</v>
      </c>
      <c r="F18" s="71">
        <v>498</v>
      </c>
      <c r="G18" s="71">
        <v>3086</v>
      </c>
      <c r="H18" s="71">
        <v>0</v>
      </c>
      <c r="I18" s="71">
        <v>5048</v>
      </c>
      <c r="J18" s="71">
        <v>5186</v>
      </c>
      <c r="K18" s="71">
        <v>2275</v>
      </c>
      <c r="L18" s="71">
        <v>1220</v>
      </c>
      <c r="M18" s="71">
        <v>5472</v>
      </c>
      <c r="N18" s="71">
        <v>1605</v>
      </c>
      <c r="O18" s="71">
        <v>1959</v>
      </c>
      <c r="P18" s="71">
        <v>0</v>
      </c>
      <c r="Q18" s="71">
        <v>4988</v>
      </c>
      <c r="R18" s="71">
        <v>0</v>
      </c>
      <c r="S18" s="71">
        <v>561</v>
      </c>
      <c r="T18" s="71">
        <v>1465</v>
      </c>
      <c r="U18" s="71">
        <v>3548</v>
      </c>
      <c r="V18" s="71">
        <v>4949</v>
      </c>
      <c r="W18" s="71">
        <v>4750</v>
      </c>
      <c r="X18" s="71">
        <v>-321</v>
      </c>
      <c r="Y18" s="109">
        <v>-9907</v>
      </c>
      <c r="Z18" s="71">
        <v>0</v>
      </c>
      <c r="AA18" s="71">
        <v>267</v>
      </c>
      <c r="AB18" s="71">
        <v>7128</v>
      </c>
      <c r="AC18" s="71">
        <v>3329</v>
      </c>
      <c r="AD18" s="71">
        <v>31.94</v>
      </c>
      <c r="AE18" s="71">
        <v>84.36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3" t="s" ph="1">
        <v>178</v>
      </c>
      <c r="D19" s="73" ph="1">
        <f>D18*7.0686*LOOKUP(D20,密度!$A$2:$A$50,密度!$L$2:$L$50)</f>
        <v>29855.582202599999</v>
      </c>
      <c r="E19" s="73" ph="1">
        <f>E18*7.0686*LOOKUP(E20,密度!$A$2:$A$50,密度!$L$2:$L$50)</f>
        <v>488.03028120000005</v>
      </c>
      <c r="F19" s="73" ph="1">
        <f>F18*9.0746*LOOKUP(F20,密度!$A$2:$A$50,密度!$L$2:$L$50)</f>
        <v>4211.8485456000008</v>
      </c>
      <c r="G19" s="73" ph="1">
        <f>G18*9.0746*LOOKUP(G20,密度!$A$2:$A$50,密度!$B$2:$B$50)</f>
        <v>21806.882687719997</v>
      </c>
      <c r="H19" s="73" ph="1">
        <f>H18*9.0746*LOOKUP(H20,密度!$A$2:$A$50,密度!$L$2:$L$50)</f>
        <v>0</v>
      </c>
      <c r="I19" s="73" ph="1">
        <f>I18*9.0746*LOOKUP(I20,密度!$A$2:$A$50,密度!$U$2:$U$50)</f>
        <v>46724.752416000003</v>
      </c>
      <c r="J19" s="73" ph="1">
        <f>J18*9.0746*LOOKUP(J20,密度!$A$2:$A$50,密度!$L$2:$L$50)</f>
        <v>43954.857810400004</v>
      </c>
      <c r="K19" s="73" ph="1">
        <f>K18*9.0746*LOOKUP(K20,密度!$A$2:$A$50,密度!$C$2:$C$50)</f>
        <v>22861.957391</v>
      </c>
      <c r="L19" s="73" ph="1">
        <f>L18*9.0746*LOOKUP(L20,密度!$A$2:$A$50,密度!$E$2:$E$50)</f>
        <v>8608.8189311999995</v>
      </c>
      <c r="M19" s="73" ph="1">
        <f>M18*9.0746*LOOKUP(M20,密度!$A$2:$A$50,密度!$M$2:$M$50)</f>
        <v>43195.938122879998</v>
      </c>
      <c r="N19" s="73" ph="1">
        <f>N18*9.0746*LOOKUP(N20,密度!$A$2:$A$50,密度!$M$2:$M$50)</f>
        <v>12716.4683823</v>
      </c>
      <c r="O19" s="73" ph="1">
        <f>O18*9.0746*LOOKUP(O20,密度!$A$2:$A$50,密度!$G$2:$G$50)</f>
        <v>17012.7243198</v>
      </c>
      <c r="P19" s="73" ph="1">
        <f ca="1">P18*9.0746*LOOKUP(P20,密度!$A$2:$A$51,密度!$Q$2:$Q$50)</f>
        <v>0</v>
      </c>
      <c r="Q19" s="73" ph="1">
        <f>Q18*9.0746*LOOKUP(Q20,密度!$A$2:$A$50,密度!$Q$2:$Q$50)</f>
        <v>42726.146443864003</v>
      </c>
      <c r="R19" s="73" ph="1">
        <f>MAX(R18*9.0746*LOOKUP(R20,密度!$A$2:$A$50,密度!$B$2:$B$50),0)</f>
        <v>0</v>
      </c>
      <c r="S19" s="73" ph="1">
        <f>S18*9.0746*LOOKUP(S20,密度!$A$2:$A$50,密度!$Q$2:$Q$50)</f>
        <v>4802.3520964979998</v>
      </c>
      <c r="T19" s="73" ph="1">
        <f>T18*9.0746*LOOKUP(T20,密度!$A$2:$A$50,密度!$O$2:$O$50)</f>
        <v>12310.511614000001</v>
      </c>
      <c r="U19" s="73" ph="1">
        <f>U18*9.0746*LOOKUP(U20,密度!$A$2:$A$50,密度!$H$2:$H$50)</f>
        <v>29450.30392776</v>
      </c>
      <c r="V19" s="73" ph="1">
        <f>MAX(5600*LOOKUP(V20,密度!$A$2:$A$50,密度!$Q$2:$Q$50)+V18*9.0476*LOOKUP(V20,密度!$A$2:$A$50,密度!$Q$2:$Q$50),0)</f>
        <v>47521.732042092</v>
      </c>
      <c r="W19" s="73" ph="1">
        <f>MAX(5600*LOOKUP(W20,密度!$A$2:$A$50,密度!$Q$2:$Q$50)+W18*9.0476*LOOKUP(W20,密度!$A$2:$A$50,密度!$Q$2:$Q$50),0)</f>
        <v>45823.292413000003</v>
      </c>
      <c r="X19" s="73" ph="1">
        <f>MAX(5600*LOOKUP(X20,密度!$A$2:$A$50,密度!$I$2:$I$50)+X18*9.0476*LOOKUP(X20,密度!$A$2:$A$50,密度!$I$2:$I$50),0)</f>
        <v>2809.74937292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1880.66910684</v>
      </c>
      <c r="AB19" s="73" ph="1">
        <f>AB18*9.0746*LOOKUP(AB20,密度!$A$2:$A$50,密度!$L$2:$L$50)</f>
        <v>60543.988876800002</v>
      </c>
      <c r="AC19" s="73" ph="1">
        <f>AC18*9.0746*LOOKUP(AC20,密度!$A$2:$A$50,密度!$L$2:$L$50)</f>
        <v>28245.736079000002</v>
      </c>
      <c r="AD19" s="73" ph="1">
        <f>AD18*268.68*LOOKUP(AD20,密度!$A$2:$A$50,密度!B5:B53)+IF(AD18&lt;=0,0,1566*LOOKUP(AD20,密度!$A$2:$A$50,密度!B5:B53))</f>
        <v>7884.7156584000013</v>
      </c>
      <c r="AE19" s="73" ph="1">
        <f>AE18*268.68*LOOKUP(AE20,密度!$A$2:$A$50,密度!B5:B53)+IF(AE18&lt;=0,0,1566*LOOKUP(AE20,密度!$A$2:$A$50,密度!B5:B53))</f>
        <v>18828.143409599998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29</v>
      </c>
      <c r="E20" s="81">
        <v>29</v>
      </c>
      <c r="F20" s="81">
        <v>30</v>
      </c>
      <c r="G20" s="81">
        <v>26</v>
      </c>
      <c r="H20" s="81">
        <v>24</v>
      </c>
      <c r="I20" s="81">
        <v>30</v>
      </c>
      <c r="J20" s="81">
        <v>28</v>
      </c>
      <c r="K20" s="81">
        <v>27</v>
      </c>
      <c r="L20" s="81">
        <v>30</v>
      </c>
      <c r="M20" s="81">
        <v>30</v>
      </c>
      <c r="N20" s="81">
        <v>27</v>
      </c>
      <c r="O20" s="81">
        <v>28</v>
      </c>
      <c r="P20" s="81">
        <v>30</v>
      </c>
      <c r="Q20" s="81">
        <v>29</v>
      </c>
      <c r="R20" s="81">
        <v>30</v>
      </c>
      <c r="S20" s="81">
        <v>30</v>
      </c>
      <c r="T20" s="81">
        <v>29</v>
      </c>
      <c r="U20" s="81">
        <v>25</v>
      </c>
      <c r="V20" s="81">
        <v>30</v>
      </c>
      <c r="W20" s="81">
        <v>30</v>
      </c>
      <c r="X20" s="81">
        <v>25</v>
      </c>
      <c r="Y20" s="110">
        <v>25</v>
      </c>
      <c r="Z20" s="81">
        <v>30</v>
      </c>
      <c r="AA20" s="81">
        <v>29</v>
      </c>
      <c r="AB20" s="81">
        <v>26</v>
      </c>
      <c r="AC20" s="81">
        <v>27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3" t="s" ph="1">
        <v>177</v>
      </c>
      <c r="D24" s="71">
        <v>4.2699999999999996</v>
      </c>
      <c r="E24" s="71">
        <v>5.63</v>
      </c>
      <c r="F24" s="71">
        <v>0</v>
      </c>
      <c r="G24" s="71">
        <v>3026</v>
      </c>
      <c r="H24" s="71">
        <v>3834</v>
      </c>
      <c r="I24" s="71">
        <v>0</v>
      </c>
      <c r="J24" s="71">
        <v>217</v>
      </c>
      <c r="K24" s="71">
        <v>247</v>
      </c>
      <c r="L24" s="71">
        <v>469</v>
      </c>
      <c r="M24" s="71">
        <v>4849</v>
      </c>
      <c r="N24" s="71">
        <v>2462</v>
      </c>
      <c r="O24" s="71">
        <v>5418</v>
      </c>
      <c r="P24" s="71">
        <v>1161</v>
      </c>
      <c r="Q24" s="90">
        <v>4151</v>
      </c>
      <c r="R24" s="71">
        <v>3151</v>
      </c>
      <c r="S24" s="71">
        <v>565</v>
      </c>
      <c r="T24" s="71">
        <v>1030</v>
      </c>
      <c r="U24" s="71">
        <v>6656</v>
      </c>
      <c r="V24" s="71">
        <v>7846</v>
      </c>
      <c r="W24" s="71">
        <v>1010</v>
      </c>
      <c r="X24" s="71">
        <v>2381</v>
      </c>
      <c r="Y24" s="71">
        <v>6162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2568.7551806639999</v>
      </c>
      <c r="E25" s="91" ph="1">
        <f>E24*268.68*LOOKUP(E26,密度!$A$2:$A$50,密度!$C$2:$C$50)+IF(E24&lt;=0,0,1566*LOOKUP(E26,密度!$A$2:$A$50,密度!$C$2:$C$50))</f>
        <v>3413.93538876</v>
      </c>
      <c r="F25" s="91" ph="1">
        <f>F24*11.702*LOOKUP(F26,密度!$A$2:$A$50,密度!$Q$2:$Q$50)</f>
        <v>0</v>
      </c>
      <c r="G25" s="91" ph="1">
        <f>G24*18.322*LOOKUP(G26,密度!$A$2:$A$50,密度!$B$2:$B$50)</f>
        <v>43322.669480799996</v>
      </c>
      <c r="H25" s="91" ph="1">
        <f>H24*18.322*LOOKUP(H26,密度!$A$2:$A$50,密度!$B$2:$B$50)</f>
        <v>54953.874500399994</v>
      </c>
      <c r="I25" s="91" ph="1">
        <f>I24*18.322*LOOKUP(I26,密度!$A$2:$A$50,密度!$Q$2:$Q$50)</f>
        <v>0</v>
      </c>
      <c r="J25" s="91" ph="1">
        <f>J24*18.322*LOOKUP(J26,密度!$A$2:$A$50,密度!$Q$2:$Q$50)</f>
        <v>3773.4622546599999</v>
      </c>
      <c r="K25" s="91" ph="1">
        <f>K24*18.322*LOOKUP(K26,密度!$A$2:$A$50,密度!$Q$2:$Q$50)</f>
        <v>4295.1390640599993</v>
      </c>
      <c r="L25" s="91" ph="1">
        <f>L24*18.322*LOOKUP(L26,密度!$A$2:$A$50,密度!$Q$2:$Q$50)</f>
        <v>8147.8996676000006</v>
      </c>
      <c r="M25" s="91" ph="1">
        <f>M24*18.322*LOOKUP(M26,密度!$A$2:$A$50,密度!$Q$2:$Q$50)</f>
        <v>84241.291019600001</v>
      </c>
      <c r="N25" s="91" ph="1">
        <f>N24*18.322*LOOKUP(N26,密度!$A$2:$A$50,密度!$Q$2:$Q$50)</f>
        <v>42772.130024799997</v>
      </c>
      <c r="O25" s="91" ph="1">
        <f>O24*18.322*LOOKUP(O26,密度!$A$2:$A$50,密度!$C$2:$C$50)</f>
        <v>110376.7518924</v>
      </c>
      <c r="P25" s="91" ph="1">
        <f>P24*11.702*LOOKUP(P26,密度!$A$2:$A$50,密度!$B$2:$B$50)</f>
        <v>10616.1175908</v>
      </c>
      <c r="Q25" s="92" ph="1">
        <f>Q24*18.322*LOOKUP(Q26,密度!$A$2:$A$50,密度!$B$2:$B$50)</f>
        <v>59565.979950400004</v>
      </c>
      <c r="R25" s="91" ph="1">
        <f>R24*35.891*LOOKUP(R26,密度!$A$2:$A$50,密度!$C$2:$C$50)</f>
        <v>125577.9575264</v>
      </c>
      <c r="S25" s="91" ph="1">
        <f>S24*35.891*LOOKUP(S26,密度!$A$2:$A$50,密度!$B$2:$B$50)</f>
        <v>15827.302907499998</v>
      </c>
      <c r="T25" s="91" ph="1">
        <f>T24*35.891*LOOKUP(T26,密度!$A$2:$A$50,密度!$Q$2:$Q$50)</f>
        <v>35085.702865699997</v>
      </c>
      <c r="U25" s="91" ph="1">
        <f>U24*35.891</f>
        <v>238890.49599999998</v>
      </c>
      <c r="V25" s="91" ph="1">
        <f>V24*47.051*LOOKUP(V26,密度!$A$2:$A$50,密度!$B$2:$B$50)</f>
        <v>289127.7927472</v>
      </c>
      <c r="W25" s="91" ph="1">
        <f>W24*47.051*LOOKUP(W26,密度!$A$2:$A$50,密度!$B$2:$B$50)</f>
        <v>37090.538554999999</v>
      </c>
      <c r="X25" s="91" ph="1">
        <f>X24*47.051*LOOKUP(X26,密度!$A$2:$A$61,密度!$I$2:$I$61)</f>
        <v>116767.23363130001</v>
      </c>
      <c r="Y25" s="91" ph="1">
        <f>Y24*47.051*LOOKUP(Y26,密度!$A$2:$A$50,密度!$L$2:$L$50)</f>
        <v>271952.70975599997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22</v>
      </c>
      <c r="G26" s="74">
        <v>23</v>
      </c>
      <c r="H26" s="74">
        <v>22</v>
      </c>
      <c r="I26" s="74">
        <v>22</v>
      </c>
      <c r="J26" s="74">
        <v>22</v>
      </c>
      <c r="K26" s="74">
        <v>22</v>
      </c>
      <c r="L26" s="74">
        <v>23</v>
      </c>
      <c r="M26" s="74">
        <v>23</v>
      </c>
      <c r="N26" s="74">
        <v>23</v>
      </c>
      <c r="O26" s="74">
        <v>21</v>
      </c>
      <c r="P26" s="74">
        <v>23</v>
      </c>
      <c r="Q26" s="93">
        <v>21</v>
      </c>
      <c r="R26" s="74">
        <v>23</v>
      </c>
      <c r="S26" s="74">
        <v>24</v>
      </c>
      <c r="T26" s="74">
        <v>22</v>
      </c>
      <c r="U26" s="74">
        <v>25</v>
      </c>
      <c r="V26" s="74">
        <v>21</v>
      </c>
      <c r="W26" s="74">
        <v>24</v>
      </c>
      <c r="X26" s="74">
        <v>25</v>
      </c>
      <c r="Y26" s="74">
        <v>24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3" t="s" ph="1">
        <v>180</v>
      </c>
      <c r="D27" s="71">
        <v>4.2699999999999996</v>
      </c>
      <c r="E27" s="71">
        <v>5.63</v>
      </c>
      <c r="F27" s="71">
        <v>0</v>
      </c>
      <c r="G27" s="71">
        <v>2371</v>
      </c>
      <c r="H27" s="71">
        <v>2390</v>
      </c>
      <c r="I27" s="71">
        <v>0</v>
      </c>
      <c r="J27" s="71">
        <v>213</v>
      </c>
      <c r="K27" s="71">
        <v>245</v>
      </c>
      <c r="L27" s="71">
        <v>465</v>
      </c>
      <c r="M27" s="71">
        <v>4852</v>
      </c>
      <c r="N27" s="71">
        <v>2461</v>
      </c>
      <c r="O27" s="71">
        <v>5417</v>
      </c>
      <c r="P27" s="71">
        <v>1160</v>
      </c>
      <c r="Q27" s="90">
        <v>4352</v>
      </c>
      <c r="R27" s="71">
        <v>3150</v>
      </c>
      <c r="S27" s="71">
        <v>563</v>
      </c>
      <c r="T27" s="71">
        <v>1030</v>
      </c>
      <c r="U27" s="71">
        <v>6635</v>
      </c>
      <c r="V27" s="71">
        <v>7519</v>
      </c>
      <c r="W27" s="71">
        <v>2557</v>
      </c>
      <c r="X27" s="71">
        <v>2381</v>
      </c>
      <c r="Y27" s="71">
        <v>4558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3" t="s" ph="1">
        <v>178</v>
      </c>
      <c r="D28" s="91" ph="1">
        <f>D27*268.68*LOOKUP(D29,密度!$A$2:$A$50,密度!$Q$2:$Q$50)+IF(D27&lt;=0,0,1566*LOOKUP(D29,密度!$A$2:$A$50,密度!$Q$2:$Q$50))</f>
        <v>2568.7551806639999</v>
      </c>
      <c r="E28" s="91" ph="1">
        <f>E27*268.68*LOOKUP(E29,密度!$A$2:$A$50,密度!$C$2:$C$50)+IF(E27&lt;=0,0,1566*LOOKUP(E29,密度!$A$2:$A$50,密度!$C$2:$C$50))</f>
        <v>3413.93538876</v>
      </c>
      <c r="F28" s="91" ph="1">
        <f>F27*11.702*LOOKUP(F29,密度!$A$2:$A$50,密度!$Q$2:$Q$50)</f>
        <v>0</v>
      </c>
      <c r="G28" s="91" ph="1">
        <f>G27*18.322*LOOKUP(G29,密度!$A$2:$A$50,密度!$B$2:$B$50)</f>
        <v>33906.061090999996</v>
      </c>
      <c r="H28" s="91" ph="1">
        <f>H27*18.322*LOOKUP(H29,密度!$A$2:$A$50,密度!$B$2:$B$50)</f>
        <v>34138.356567999996</v>
      </c>
      <c r="I28" s="91" ph="1">
        <f>I27*18.322*LOOKUP(I29,密度!$A$2:$A$50,密度!$Q$2:$Q$50)</f>
        <v>0</v>
      </c>
      <c r="J28" s="91" ph="1">
        <f>J27*18.322*LOOKUP(J29,密度!$A$2:$A$50,密度!$Q$2:$Q$50)</f>
        <v>3697.5831574200001</v>
      </c>
      <c r="K28" s="91" ph="1">
        <f>K27*18.322*LOOKUP(K29,密度!$A$2:$A$50,密度!$Q$2:$Q$50)</f>
        <v>4256.3654979999992</v>
      </c>
      <c r="L28" s="91" ph="1">
        <f>L27*18.322*LOOKUP(L29,密度!$A$2:$A$50,密度!$Q$2:$Q$50)</f>
        <v>8078.4079860000002</v>
      </c>
      <c r="M28" s="91" ph="1">
        <f>M27*18.322*LOOKUP(M29,密度!$A$2:$A$50,密度!$Q$2:$Q$50)</f>
        <v>84228.513989679996</v>
      </c>
      <c r="N28" s="91" ph="1">
        <f>N27*18.322*LOOKUP(N29,密度!$A$2:$A$50,密度!$Q$2:$Q$50)</f>
        <v>42754.7571044</v>
      </c>
      <c r="O28" s="91" ph="1">
        <f>O27*18.322*LOOKUP(O29,密度!$A$2:$A$50,密度!$C$2:$C$50)</f>
        <v>110276.97944139999</v>
      </c>
      <c r="P28" s="91" ph="1">
        <f>P27*11.702*LOOKUP(P29,密度!$A$2:$A$50,密度!$B$2:$B$50)</f>
        <v>10619.190536</v>
      </c>
      <c r="Q28" s="92" ph="1">
        <f>Q27*18.322*LOOKUP(Q29,密度!$A$2:$A$50,密度!$B$2:$B$50)</f>
        <v>62450.287820799997</v>
      </c>
      <c r="R28" s="91" ph="1">
        <f>R27*35.891*LOOKUP(R29,密度!$A$2:$A$50,密度!$C$2:$C$50)</f>
        <v>125707.68913500001</v>
      </c>
      <c r="S28" s="91" ph="1">
        <f>S27*35.891*LOOKUP(S29,密度!$A$2:$A$50,密度!$B$2:$B$50)</f>
        <v>15825.834965599999</v>
      </c>
      <c r="T28" s="91" ph="1">
        <f>T27*35.891*LOOKUP(T29,密度!$A$2:$A$50,密度!$Q$2:$Q$50)</f>
        <v>35025.815143100001</v>
      </c>
      <c r="U28" s="91" ph="1">
        <f>U27*35.891</f>
        <v>238136.78499999997</v>
      </c>
      <c r="V28" s="91" ph="1">
        <f>V27*47.051*LOOKUP(V29,密度!$A$2:$A$50,密度!$B$2:$B$50)</f>
        <v>276440.93287660001</v>
      </c>
      <c r="W28" s="91" ph="1">
        <f>W27*47.051*LOOKUP(W29,密度!$A$2:$A$50,密度!$B$2:$B$50)</f>
        <v>93684.935230899995</v>
      </c>
      <c r="X28" s="91" ph="1">
        <f>X27*47.051*LOOKUP(X29,密度!$A$2:$A$61,密度!$I$2:$I$61)</f>
        <v>116520.77108310001</v>
      </c>
      <c r="Y28" s="91" ph="1">
        <f>Y27*47.051*LOOKUP(Y29,密度!$A$2:$A$50,密度!$L$2:$L$50)</f>
        <v>200518.65823000003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3" t="s" ph="1">
        <v>179</v>
      </c>
      <c r="D29" s="74">
        <v>25</v>
      </c>
      <c r="E29" s="74">
        <v>25</v>
      </c>
      <c r="F29" s="74">
        <v>24</v>
      </c>
      <c r="G29" s="74">
        <v>24</v>
      </c>
      <c r="H29" s="74">
        <v>25</v>
      </c>
      <c r="I29" s="74">
        <v>23</v>
      </c>
      <c r="J29" s="74">
        <v>24</v>
      </c>
      <c r="K29" s="74">
        <v>23</v>
      </c>
      <c r="L29" s="74">
        <v>23</v>
      </c>
      <c r="M29" s="74">
        <v>24</v>
      </c>
      <c r="N29" s="74">
        <v>23</v>
      </c>
      <c r="O29" s="74">
        <v>22</v>
      </c>
      <c r="P29" s="74">
        <v>22</v>
      </c>
      <c r="Q29" s="93">
        <v>21</v>
      </c>
      <c r="R29" s="74">
        <v>21</v>
      </c>
      <c r="S29" s="74">
        <v>21</v>
      </c>
      <c r="T29" s="74">
        <v>24</v>
      </c>
      <c r="U29" s="74">
        <v>26</v>
      </c>
      <c r="V29" s="74">
        <v>23</v>
      </c>
      <c r="W29" s="74">
        <v>26</v>
      </c>
      <c r="X29" s="74">
        <v>27</v>
      </c>
      <c r="Y29" s="74">
        <v>27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3" t="s" ph="1">
        <v>5</v>
      </c>
      <c r="F32" s="152" t="s" ph="1">
        <v>43</v>
      </c>
      <c r="G32" s="97" t="s" ph="1">
        <v>4</v>
      </c>
      <c r="H32" s="153" t="s" ph="1">
        <v>5</v>
      </c>
      <c r="I32" s="152" t="s" ph="1">
        <v>43</v>
      </c>
      <c r="J32" s="97" t="s" ph="1">
        <v>4</v>
      </c>
      <c r="K32" s="153" t="s" ph="1">
        <v>5</v>
      </c>
      <c r="L32" s="152" t="s" ph="1">
        <v>43</v>
      </c>
      <c r="M32" s="97" t="s" ph="1">
        <v>4</v>
      </c>
      <c r="N32" s="153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2" t="s" ph="1">
        <v>43</v>
      </c>
      <c r="AB32" s="97" t="s" ph="1">
        <v>85</v>
      </c>
      <c r="AC32" s="15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269771.12760960002</v>
      </c>
      <c r="E33" s="190" ph="1">
        <f>M10+I10</f>
        <v>66467.607980699991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16" ph="1">
        <f>N19</f>
        <v>12716.4683823</v>
      </c>
      <c r="H33" s="190" ph="1">
        <f>M19</f>
        <v>43195.938122879998</v>
      </c>
      <c r="I33" s="194" ph="1">
        <v>0</v>
      </c>
      <c r="J33" s="198" ph="1">
        <f>F10+O28</f>
        <v>324973.5644422</v>
      </c>
      <c r="K33" s="190" ph="1">
        <f>O10+K10+E28+R28</f>
        <v>181964.46639216001</v>
      </c>
      <c r="L33" s="200" ph="1">
        <f>K19</f>
        <v>22861.957391</v>
      </c>
      <c r="M33" s="198" ph="1">
        <f>G10+H10+W28+S28+V28+E10+R19+P28+Q28</f>
        <v>1233753.3980099</v>
      </c>
      <c r="N33" s="190" ph="1">
        <f>L10+P10++G28+H28+AD19+AE19</f>
        <v>124830.68410500001</v>
      </c>
      <c r="O33" s="194" ph="1">
        <f>G19</f>
        <v>21806.882687719997</v>
      </c>
      <c r="P33" s="198" ph="1">
        <f>L19</f>
        <v>8608.8189311999995</v>
      </c>
      <c r="Q33" s="190" ph="1">
        <f>J10+N10</f>
        <v>62046.453916400009</v>
      </c>
      <c r="R33" s="194" ph="1">
        <f>BE23</f>
        <v>890</v>
      </c>
      <c r="S33" s="198" ph="1">
        <f>X28</f>
        <v>116520.77108310001</v>
      </c>
      <c r="T33" s="190" ph="1">
        <f>X19</f>
        <v>2809.74937292</v>
      </c>
      <c r="U33" s="179" ph="1">
        <f>BE21</f>
        <v>730</v>
      </c>
      <c r="V33" s="192" ph="1">
        <f ca="1">P19+Q19+S19+M28+N28+J28+D10+AC10+D19+E19+H19+J19+O19+V19+W19+K28+L28</f>
        <v>673988.67136445409</v>
      </c>
      <c r="W33" s="192" ph="1">
        <f>D28+F28+T28+I28</f>
        <v>37594.570323763997</v>
      </c>
      <c r="X33" s="194" ph="1">
        <f>BE29+BE31</f>
        <v>10200</v>
      </c>
      <c r="Y33" s="196" ph="1">
        <f>+Q10+R10+S10+T10+U10+V10+W10+X10+Y10</f>
        <v>189837.77814539999</v>
      </c>
      <c r="Z33" s="177" ph="1">
        <f>T19+U19+Y28+Z10</f>
        <v>339422.20852676005</v>
      </c>
      <c r="AA33" s="179" ph="1">
        <f>BE19</f>
        <v>1440</v>
      </c>
      <c r="AB33" s="181" ph="1">
        <f>I19</f>
        <v>46724.752416000003</v>
      </c>
      <c r="AC33" s="183" ph="1">
        <f>AD10+AB19</f>
        <v>96655.169145599997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1" t="s" ph="1">
        <v>185</v>
      </c>
      <c r="AA36" s="151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342</v>
      </c>
      <c r="AI37" s="151" t="s" ph="1">
        <v>209</v>
      </c>
      <c r="AJ37" s="151" t="s" ph="1">
        <v>210</v>
      </c>
      <c r="AK37" s="151" t="s" ph="1">
        <v>211</v>
      </c>
      <c r="AM37" s="151" t="s" ph="1">
        <v>210</v>
      </c>
      <c r="AN37" s="151" t="s" ph="1">
        <v>211</v>
      </c>
      <c r="AO37" s="151" t="s" ph="1">
        <v>212</v>
      </c>
      <c r="AP37" s="151" t="s" ph="1">
        <v>210</v>
      </c>
      <c r="AQ37" s="151" t="s" ph="1">
        <v>211</v>
      </c>
      <c r="AR37" s="151" t="s" ph="1">
        <v>212</v>
      </c>
      <c r="AS37" s="151" t="s" ph="1">
        <v>210</v>
      </c>
      <c r="AT37" s="151" t="s" ph="1">
        <v>211</v>
      </c>
      <c r="AU37" s="151" t="s" ph="1">
        <v>212</v>
      </c>
      <c r="AV37" s="151" t="s" ph="1">
        <v>210</v>
      </c>
      <c r="AW37" s="151" t="s" ph="1">
        <v>211</v>
      </c>
      <c r="AX37" s="151" t="s" ph="1">
        <v>212</v>
      </c>
      <c r="AY37" s="151" t="s" ph="1">
        <v>211</v>
      </c>
      <c r="AZ37" s="151" t="s" ph="1">
        <v>213</v>
      </c>
      <c r="BD37" s="151" t="s" ph="1">
        <v>305</v>
      </c>
      <c r="BE37" s="15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819" priority="100">
      <formula>ABS(D$7-D$10)&gt;=1000</formula>
    </cfRule>
  </conditionalFormatting>
  <conditionalFormatting sqref="E4 E6:E11">
    <cfRule type="expression" dxfId="1818" priority="99">
      <formula>ABS(E$7-E$10)&gt;=1000</formula>
    </cfRule>
  </conditionalFormatting>
  <conditionalFormatting sqref="F4:F11">
    <cfRule type="expression" dxfId="1817" priority="98">
      <formula>ABS(F$7-F$10)&gt;=1000</formula>
    </cfRule>
  </conditionalFormatting>
  <conditionalFormatting sqref="G4:G11">
    <cfRule type="expression" dxfId="1816" priority="97">
      <formula>ABS(G$7-G$10)&gt;=1000</formula>
    </cfRule>
  </conditionalFormatting>
  <conditionalFormatting sqref="H4:H11">
    <cfRule type="expression" dxfId="1815" priority="96">
      <formula>ABS(H$7-H$10)&gt;=1000</formula>
    </cfRule>
  </conditionalFormatting>
  <conditionalFormatting sqref="I4:I11">
    <cfRule type="expression" dxfId="1814" priority="95">
      <formula>ABS(I$7-I$10)&gt;=1000</formula>
    </cfRule>
  </conditionalFormatting>
  <conditionalFormatting sqref="J4:J11">
    <cfRule type="expression" dxfId="1813" priority="94">
      <formula>ABS(J$7-J$10)&gt;=1000</formula>
    </cfRule>
  </conditionalFormatting>
  <conditionalFormatting sqref="K4:K11">
    <cfRule type="expression" dxfId="1812" priority="93">
      <formula>ABS(K$7-K$10)&gt;=1000</formula>
    </cfRule>
  </conditionalFormatting>
  <conditionalFormatting sqref="L4:L11">
    <cfRule type="expression" dxfId="1811" priority="92">
      <formula>ABS(L$7-L$10)&gt;=1000</formula>
    </cfRule>
  </conditionalFormatting>
  <conditionalFormatting sqref="M4 M6:M11">
    <cfRule type="expression" dxfId="1810" priority="91">
      <formula>ABS(M$7-M$10)&gt;=1000</formula>
    </cfRule>
  </conditionalFormatting>
  <conditionalFormatting sqref="N4 N6:N11">
    <cfRule type="expression" dxfId="1809" priority="90">
      <formula>ABS(N$7-N$10)&gt;=1000</formula>
    </cfRule>
  </conditionalFormatting>
  <conditionalFormatting sqref="O4 O6:O11">
    <cfRule type="expression" dxfId="1808" priority="89">
      <formula>ABS(O$7-O$10)&gt;=1000</formula>
    </cfRule>
  </conditionalFormatting>
  <conditionalFormatting sqref="P4 P6:P11">
    <cfRule type="expression" dxfId="1807" priority="88">
      <formula>ABS(P$7-P$10)&gt;=1000</formula>
    </cfRule>
  </conditionalFormatting>
  <conditionalFormatting sqref="Q4:Q11">
    <cfRule type="expression" dxfId="1806" priority="87">
      <formula>ABS(Q$7-Q$10)&gt;=1000</formula>
    </cfRule>
  </conditionalFormatting>
  <conditionalFormatting sqref="R4:R11">
    <cfRule type="expression" dxfId="1805" priority="86">
      <formula>ABS(R$7-R$10)&gt;=1000</formula>
    </cfRule>
  </conditionalFormatting>
  <conditionalFormatting sqref="S4:S11">
    <cfRule type="expression" dxfId="1804" priority="85">
      <formula>ABS(S$7-S$10)&gt;=1000</formula>
    </cfRule>
  </conditionalFormatting>
  <conditionalFormatting sqref="T4:T9 T11">
    <cfRule type="expression" dxfId="1803" priority="84">
      <formula>ABS(T$7-T$10)&gt;=1000</formula>
    </cfRule>
  </conditionalFormatting>
  <conditionalFormatting sqref="U4:U9 U11">
    <cfRule type="expression" dxfId="1802" priority="83">
      <formula>ABS(U$7-U$10)&gt;=1000</formula>
    </cfRule>
  </conditionalFormatting>
  <conditionalFormatting sqref="V4:V9 V11">
    <cfRule type="expression" dxfId="1801" priority="82">
      <formula>ABS(V$7-V$10)&gt;=1000</formula>
    </cfRule>
  </conditionalFormatting>
  <conditionalFormatting sqref="W4:W9 W11">
    <cfRule type="expression" dxfId="1800" priority="81">
      <formula>ABS(W$7-W$10)&gt;=1000</formula>
    </cfRule>
  </conditionalFormatting>
  <conditionalFormatting sqref="X4:X9 X11">
    <cfRule type="expression" dxfId="1799" priority="80">
      <formula>ABS(X$7-X$10)&gt;=1000</formula>
    </cfRule>
  </conditionalFormatting>
  <conditionalFormatting sqref="Y4:Y9 Y11">
    <cfRule type="expression" dxfId="1798" priority="79">
      <formula>ABS(Y$7-Y$10)&gt;=1000</formula>
    </cfRule>
  </conditionalFormatting>
  <conditionalFormatting sqref="Z4:Z11">
    <cfRule type="expression" dxfId="1797" priority="78">
      <formula>ABS(Z$7-Z$10)&gt;=1000</formula>
    </cfRule>
  </conditionalFormatting>
  <conditionalFormatting sqref="AA4:AA11">
    <cfRule type="expression" dxfId="1796" priority="77">
      <formula>ABS(AA$7-AA$10)&gt;=1000</formula>
    </cfRule>
  </conditionalFormatting>
  <conditionalFormatting sqref="AB4:AB11">
    <cfRule type="expression" dxfId="1795" priority="76">
      <formula>ABS(AB$7-AB$10)&gt;=1000</formula>
    </cfRule>
  </conditionalFormatting>
  <conditionalFormatting sqref="AC4 AC6:AC11">
    <cfRule type="expression" dxfId="1794" priority="75">
      <formula>ABS(AC$7-AC$10)&gt;=1000</formula>
    </cfRule>
  </conditionalFormatting>
  <conditionalFormatting sqref="AD4 AD6:AD11">
    <cfRule type="expression" dxfId="1793" priority="74">
      <formula>ABS(AD$7-AD$10)&gt;=1000</formula>
    </cfRule>
  </conditionalFormatting>
  <conditionalFormatting sqref="AE4 AE6:AE11">
    <cfRule type="expression" dxfId="1792" priority="73">
      <formula>ABS(AE$7-AE$10)&gt;=1000</formula>
    </cfRule>
  </conditionalFormatting>
  <conditionalFormatting sqref="D13:D20">
    <cfRule type="expression" dxfId="1791" priority="72">
      <formula>ABS(D$16-D$19)&gt;=1000</formula>
    </cfRule>
  </conditionalFormatting>
  <conditionalFormatting sqref="E13:E20">
    <cfRule type="expression" dxfId="1790" priority="71">
      <formula>ABS(E$16-E$19)&gt;=1000</formula>
    </cfRule>
  </conditionalFormatting>
  <conditionalFormatting sqref="F13 F15:F20">
    <cfRule type="expression" dxfId="1789" priority="70">
      <formula>ABS(F$16-F$19)&gt;=1000</formula>
    </cfRule>
  </conditionalFormatting>
  <conditionalFormatting sqref="G13:G20">
    <cfRule type="expression" dxfId="1788" priority="69">
      <formula>ABS(G$16-G$19)&gt;=1000</formula>
    </cfRule>
  </conditionalFormatting>
  <conditionalFormatting sqref="H13 H15:H20">
    <cfRule type="expression" dxfId="1787" priority="68">
      <formula>ABS(H$16-H$19)&gt;=1000</formula>
    </cfRule>
  </conditionalFormatting>
  <conditionalFormatting sqref="I13:I20">
    <cfRule type="expression" dxfId="1786" priority="67">
      <formula>ABS(I$16-I$19)&gt;=1000</formula>
    </cfRule>
  </conditionalFormatting>
  <conditionalFormatting sqref="J13:J20">
    <cfRule type="expression" dxfId="1785" priority="66">
      <formula>ABS(J$16-J$19)&gt;=1000</formula>
    </cfRule>
  </conditionalFormatting>
  <conditionalFormatting sqref="L13:L20">
    <cfRule type="expression" dxfId="1784" priority="65">
      <formula>ABS(L$16-L$19)&gt;=1000</formula>
    </cfRule>
  </conditionalFormatting>
  <conditionalFormatting sqref="M13 M15 M17:M18 M20">
    <cfRule type="expression" dxfId="1783" priority="64">
      <formula>ABS(M$16-M$19)&gt;=1000</formula>
    </cfRule>
  </conditionalFormatting>
  <conditionalFormatting sqref="N13:N20">
    <cfRule type="expression" dxfId="1782" priority="63">
      <formula>ABS(N$16-N$19)&gt;=1000</formula>
    </cfRule>
  </conditionalFormatting>
  <conditionalFormatting sqref="O13:O20">
    <cfRule type="expression" dxfId="1781" priority="62">
      <formula>ABS(O$16-O$19)&gt;=1000</formula>
    </cfRule>
  </conditionalFormatting>
  <conditionalFormatting sqref="P13:P20">
    <cfRule type="expression" dxfId="1780" priority="61">
      <formula>ABS(P$16-P$19)&gt;=1000</formula>
    </cfRule>
  </conditionalFormatting>
  <conditionalFormatting sqref="Q13 Q15:Q20">
    <cfRule type="expression" dxfId="1779" priority="60">
      <formula>ABS(Q$16-Q$19)&gt;=1000</formula>
    </cfRule>
  </conditionalFormatting>
  <conditionalFormatting sqref="R13:R20">
    <cfRule type="expression" dxfId="1778" priority="59">
      <formula>ABS(R$16-R$19)&gt;=1000</formula>
    </cfRule>
  </conditionalFormatting>
  <conditionalFormatting sqref="S13:S20">
    <cfRule type="expression" dxfId="1777" priority="58">
      <formula>ABS(S$16-S$19)&gt;=1000</formula>
    </cfRule>
  </conditionalFormatting>
  <conditionalFormatting sqref="T13:T20">
    <cfRule type="expression" dxfId="1776" priority="57">
      <formula>ABS(T$16-T$19)&gt;=1000</formula>
    </cfRule>
  </conditionalFormatting>
  <conditionalFormatting sqref="U13:U20">
    <cfRule type="expression" dxfId="1775" priority="56">
      <formula>ABS(U$16-U$19)&gt;=1000</formula>
    </cfRule>
  </conditionalFormatting>
  <conditionalFormatting sqref="V13:V20">
    <cfRule type="expression" dxfId="1774" priority="55">
      <formula>ABS(V$16-V$19)&gt;=1000</formula>
    </cfRule>
  </conditionalFormatting>
  <conditionalFormatting sqref="W13 W20 W15:W18">
    <cfRule type="expression" dxfId="1773" priority="54">
      <formula>ABS(W$16-W$19)&gt;=1000</formula>
    </cfRule>
  </conditionalFormatting>
  <conditionalFormatting sqref="X13 X15:X20 Y19">
    <cfRule type="expression" dxfId="1772" priority="53">
      <formula>ABS(X$16-X$19)&gt;=1000</formula>
    </cfRule>
  </conditionalFormatting>
  <conditionalFormatting sqref="Y13 Y15:Y18 Y20">
    <cfRule type="expression" dxfId="1771" priority="52">
      <formula>ABS(Y$16-Y$19)&gt;=1000</formula>
    </cfRule>
  </conditionalFormatting>
  <conditionalFormatting sqref="Z13:Z20">
    <cfRule type="expression" dxfId="1770" priority="51">
      <formula>ABS(Z$16-Z$19)&gt;=1000</formula>
    </cfRule>
  </conditionalFormatting>
  <conditionalFormatting sqref="AA13:AA20">
    <cfRule type="expression" dxfId="1769" priority="50">
      <formula>ABS(AA$16-AA$19)&gt;=1000</formula>
    </cfRule>
  </conditionalFormatting>
  <conditionalFormatting sqref="AB13 AB15:AB20">
    <cfRule type="expression" dxfId="1768" priority="49">
      <formula>ABS(AB$16-AB$19)&gt;=1000</formula>
    </cfRule>
  </conditionalFormatting>
  <conditionalFormatting sqref="AC13 AC15:AC20">
    <cfRule type="expression" dxfId="1767" priority="48">
      <formula>ABS(AC$16-AC$19)&gt;=1000</formula>
    </cfRule>
  </conditionalFormatting>
  <conditionalFormatting sqref="AD13:AD20">
    <cfRule type="expression" dxfId="1766" priority="47">
      <formula>ABS(AD$16-AD$19)&gt;=1000</formula>
    </cfRule>
  </conditionalFormatting>
  <conditionalFormatting sqref="AE13:AE20">
    <cfRule type="expression" dxfId="1765" priority="46">
      <formula>ABS(AE$16-AE$19)&gt;=1000</formula>
    </cfRule>
  </conditionalFormatting>
  <conditionalFormatting sqref="D22:D29">
    <cfRule type="expression" dxfId="1764" priority="45">
      <formula>ABS(D$25-D$28)&gt;=1000</formula>
    </cfRule>
  </conditionalFormatting>
  <conditionalFormatting sqref="E22:E29">
    <cfRule type="expression" dxfId="1763" priority="44">
      <formula>ABS(E$25-E$28)&gt;=1000</formula>
    </cfRule>
  </conditionalFormatting>
  <conditionalFormatting sqref="F22:F29">
    <cfRule type="expression" dxfId="1762" priority="43">
      <formula>ABS(F$25-F$28)&gt;=1000</formula>
    </cfRule>
  </conditionalFormatting>
  <conditionalFormatting sqref="G22:G29">
    <cfRule type="expression" dxfId="1761" priority="42">
      <formula>ABS(G$25-G$28)&gt;=1000</formula>
    </cfRule>
  </conditionalFormatting>
  <conditionalFormatting sqref="H22:H29">
    <cfRule type="expression" dxfId="1760" priority="41">
      <formula>ABS(H$25-H$28)&gt;=1000</formula>
    </cfRule>
  </conditionalFormatting>
  <conditionalFormatting sqref="I22 I24:I29">
    <cfRule type="expression" dxfId="1759" priority="40">
      <formula>ABS(I$25-I$28)&gt;=1000</formula>
    </cfRule>
  </conditionalFormatting>
  <conditionalFormatting sqref="J22:J29 K22">
    <cfRule type="expression" dxfId="1758" priority="39">
      <formula>ABS(J$25-J$28)&gt;=1000</formula>
    </cfRule>
  </conditionalFormatting>
  <conditionalFormatting sqref="K23:K29 L25 L28">
    <cfRule type="expression" dxfId="1757" priority="38">
      <formula>ABS(K$25-K$28)&gt;=1000</formula>
    </cfRule>
  </conditionalFormatting>
  <conditionalFormatting sqref="L22 L26:L27 L29 L24">
    <cfRule type="expression" dxfId="1756" priority="37">
      <formula>ABS(L$25-L$28)&gt;=1000</formula>
    </cfRule>
  </conditionalFormatting>
  <conditionalFormatting sqref="M22:M29">
    <cfRule type="expression" dxfId="1755" priority="36">
      <formula>ABS(M$25-M$28)&gt;=1000</formula>
    </cfRule>
  </conditionalFormatting>
  <conditionalFormatting sqref="N22:N29">
    <cfRule type="expression" dxfId="1754" priority="35">
      <formula>ABS(N$25-N$28)&gt;=1000</formula>
    </cfRule>
  </conditionalFormatting>
  <conditionalFormatting sqref="O22:O29">
    <cfRule type="expression" dxfId="1753" priority="34">
      <formula>ABS(O$25-O$28)&gt;=1000</formula>
    </cfRule>
  </conditionalFormatting>
  <conditionalFormatting sqref="P22:P29">
    <cfRule type="expression" dxfId="1752" priority="33">
      <formula>ABS(P$25-P$28)&gt;=1000</formula>
    </cfRule>
  </conditionalFormatting>
  <conditionalFormatting sqref="Q22:Q29">
    <cfRule type="expression" dxfId="1751" priority="32">
      <formula>ABS(Q$25-Q$28)&gt;=1000</formula>
    </cfRule>
  </conditionalFormatting>
  <conditionalFormatting sqref="R22:R29">
    <cfRule type="expression" dxfId="1750" priority="31">
      <formula>ABS(R$25-R$28)&gt;=1000</formula>
    </cfRule>
  </conditionalFormatting>
  <conditionalFormatting sqref="S22:S29">
    <cfRule type="expression" dxfId="1749" priority="30">
      <formula>ABS(S$25-S$28)&gt;=1000</formula>
    </cfRule>
  </conditionalFormatting>
  <conditionalFormatting sqref="T22:T29">
    <cfRule type="expression" dxfId="1748" priority="29">
      <formula>ABS(T$25-T$28)&gt;=1000</formula>
    </cfRule>
  </conditionalFormatting>
  <conditionalFormatting sqref="U22:U29">
    <cfRule type="expression" dxfId="1747" priority="28">
      <formula>ABS(U$25-U$28)&gt;=1000</formula>
    </cfRule>
  </conditionalFormatting>
  <conditionalFormatting sqref="V22:V29">
    <cfRule type="expression" dxfId="1746" priority="27">
      <formula>ABS(V$25-V$28)&gt;=1000</formula>
    </cfRule>
  </conditionalFormatting>
  <conditionalFormatting sqref="W22:W29">
    <cfRule type="expression" dxfId="1745" priority="26">
      <formula>ABS(W$25-W$28)&gt;=1000</formula>
    </cfRule>
  </conditionalFormatting>
  <conditionalFormatting sqref="X22:X29">
    <cfRule type="expression" dxfId="1744" priority="25">
      <formula>ABS(X$25-X$28)&gt;=1000</formula>
    </cfRule>
  </conditionalFormatting>
  <conditionalFormatting sqref="Y22:Y29">
    <cfRule type="expression" dxfId="1743" priority="24">
      <formula>ABS(Y$25-Y$28)&gt;=1000</formula>
    </cfRule>
  </conditionalFormatting>
  <conditionalFormatting sqref="I23">
    <cfRule type="expression" dxfId="1742" priority="23">
      <formula>ABS(I$25-I$28)&gt;=1000</formula>
    </cfRule>
  </conditionalFormatting>
  <conditionalFormatting sqref="Q14">
    <cfRule type="expression" dxfId="1741" priority="22">
      <formula>ABS(Q$16-Q$19)&gt;=1000</formula>
    </cfRule>
  </conditionalFormatting>
  <conditionalFormatting sqref="W14">
    <cfRule type="expression" dxfId="1740" priority="21">
      <formula>ABS(W$16-W$19)&gt;=1000</formula>
    </cfRule>
  </conditionalFormatting>
  <conditionalFormatting sqref="X14">
    <cfRule type="expression" dxfId="1739" priority="20">
      <formula>ABS(X$16-X$19)&gt;=1000</formula>
    </cfRule>
  </conditionalFormatting>
  <conditionalFormatting sqref="T10:Y10">
    <cfRule type="expression" dxfId="1738" priority="19">
      <formula>ABS(T$7-T$10)&gt;=1000</formula>
    </cfRule>
  </conditionalFormatting>
  <conditionalFormatting sqref="W19">
    <cfRule type="expression" dxfId="1737" priority="18">
      <formula>ABS(W$16-W$19)&gt;=1000</formula>
    </cfRule>
  </conditionalFormatting>
  <conditionalFormatting sqref="AC5">
    <cfRule type="expression" dxfId="1736" priority="17">
      <formula>ABS(AC$7-AC$10)&gt;=1000</formula>
    </cfRule>
  </conditionalFormatting>
  <conditionalFormatting sqref="M14">
    <cfRule type="expression" dxfId="1735" priority="16">
      <formula>ABS(M$16-M$19)&gt;=1000</formula>
    </cfRule>
  </conditionalFormatting>
  <conditionalFormatting sqref="M16">
    <cfRule type="expression" dxfId="1734" priority="15">
      <formula>ABS(M$16-M$19)&gt;=1000</formula>
    </cfRule>
  </conditionalFormatting>
  <conditionalFormatting sqref="M19">
    <cfRule type="expression" dxfId="1733" priority="14">
      <formula>ABS(M$16-M$19)&gt;=1000</formula>
    </cfRule>
  </conditionalFormatting>
  <conditionalFormatting sqref="K13:K20">
    <cfRule type="expression" dxfId="1732" priority="13">
      <formula>ABS(K$16-K$19)&gt;=1000</formula>
    </cfRule>
  </conditionalFormatting>
  <conditionalFormatting sqref="E5">
    <cfRule type="expression" dxfId="1731" priority="12">
      <formula>ABS(E$7-E$10)&gt;=1000</formula>
    </cfRule>
  </conditionalFormatting>
  <conditionalFormatting sqref="AB14:AC14">
    <cfRule type="expression" dxfId="1730" priority="11">
      <formula>ABS(AB$16-AB$19)&gt;=1000</formula>
    </cfRule>
  </conditionalFormatting>
  <conditionalFormatting sqref="M5">
    <cfRule type="expression" dxfId="1729" priority="10">
      <formula>ABS(M$7-M$10)&gt;=1000</formula>
    </cfRule>
  </conditionalFormatting>
  <conditionalFormatting sqref="N5">
    <cfRule type="expression" dxfId="1728" priority="9">
      <formula>ABS(N$7-N$10)&gt;=1000</formula>
    </cfRule>
  </conditionalFormatting>
  <conditionalFormatting sqref="O5">
    <cfRule type="expression" dxfId="1727" priority="8">
      <formula>ABS(O$7-O$10)&gt;=1000</formula>
    </cfRule>
  </conditionalFormatting>
  <conditionalFormatting sqref="P5">
    <cfRule type="expression" dxfId="1726" priority="7">
      <formula>ABS(P$7-P$10)&gt;=1000</formula>
    </cfRule>
  </conditionalFormatting>
  <conditionalFormatting sqref="L23">
    <cfRule type="expression" dxfId="1725" priority="6">
      <formula>ABS(L$25-L$28)&gt;=1000</formula>
    </cfRule>
  </conditionalFormatting>
  <conditionalFormatting sqref="Y14">
    <cfRule type="expression" dxfId="1724" priority="5">
      <formula>ABS(Y$16-Y$19)&gt;=1000</formula>
    </cfRule>
  </conditionalFormatting>
  <conditionalFormatting sqref="F14">
    <cfRule type="expression" dxfId="1723" priority="4">
      <formula>ABS(F$16-F$19)&gt;=1000</formula>
    </cfRule>
  </conditionalFormatting>
  <conditionalFormatting sqref="H14">
    <cfRule type="expression" dxfId="1722" priority="3">
      <formula>ABS(H$16-H$19)&gt;=1000</formula>
    </cfRule>
  </conditionalFormatting>
  <conditionalFormatting sqref="AD5">
    <cfRule type="expression" dxfId="1721" priority="2">
      <formula>ABS(AD$7-AD$10)&gt;=1000</formula>
    </cfRule>
  </conditionalFormatting>
  <conditionalFormatting sqref="AE5">
    <cfRule type="expression" dxfId="172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87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87">
    <pageSetUpPr fitToPage="1"/>
  </sheetPr>
  <dimension ref="A1:CU223"/>
  <sheetViews>
    <sheetView view="pageBreakPreview" zoomScale="59" zoomScaleNormal="100" zoomScaleSheetLayoutView="59" workbookViewId="0">
      <selection activeCell="B31" sqref="B31:C3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46155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3" t="s" ph="1">
        <v>177</v>
      </c>
      <c r="D6" s="71">
        <v>3008</v>
      </c>
      <c r="E6" s="71">
        <v>8493</v>
      </c>
      <c r="F6" s="71">
        <v>5830</v>
      </c>
      <c r="G6" s="71">
        <v>1643</v>
      </c>
      <c r="H6" s="71">
        <v>9147</v>
      </c>
      <c r="I6" s="71">
        <v>52.96</v>
      </c>
      <c r="J6" s="71">
        <v>6.3</v>
      </c>
      <c r="K6" s="71">
        <v>7.43</v>
      </c>
      <c r="L6" s="71">
        <v>7.45</v>
      </c>
      <c r="M6" s="71">
        <v>2057</v>
      </c>
      <c r="N6" s="71">
        <v>2336</v>
      </c>
      <c r="O6" s="71">
        <v>2235</v>
      </c>
      <c r="P6" s="71">
        <v>1028</v>
      </c>
      <c r="Q6" s="71">
        <v>7168</v>
      </c>
      <c r="R6" s="71">
        <v>7118</v>
      </c>
      <c r="S6" s="71">
        <v>6205</v>
      </c>
      <c r="T6" s="71">
        <v>5425</v>
      </c>
      <c r="U6" s="71">
        <v>1810</v>
      </c>
      <c r="V6" s="71">
        <v>0</v>
      </c>
      <c r="W6" s="71">
        <v>0</v>
      </c>
      <c r="X6" s="71">
        <v>0</v>
      </c>
      <c r="Y6" s="71">
        <v>0</v>
      </c>
      <c r="Z6" s="71">
        <v>3331</v>
      </c>
      <c r="AA6" s="71">
        <v>3768</v>
      </c>
      <c r="AB6" s="71">
        <v>5775</v>
      </c>
      <c r="AC6" s="71">
        <v>4181</v>
      </c>
      <c r="AD6" s="71">
        <v>1846</v>
      </c>
      <c r="AE6" s="71">
        <v>4905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94498.345647359994</v>
      </c>
      <c r="E7" s="73" ph="1">
        <f>E6*51.53*LOOKUP(E8,密度!$A$2:$A$50,密度!$B$2:$B$50)</f>
        <v>340793.60862299998</v>
      </c>
      <c r="F7" s="73" ph="1">
        <f>F6*33.183*LOOKUP(F8,密度!$A$2:$A$50,密度!$C$2:$C$50)</f>
        <v>214659.76514399998</v>
      </c>
      <c r="G7" s="73" ph="1">
        <f xml:space="preserve"> (G6+2)*51.53*LOOKUP(G8,密度!$A$2:$A$50,密度!$B$2:$B$50)</f>
        <v>66313.106755000001</v>
      </c>
      <c r="H7" s="73" ph="1">
        <f>(H6)*51.53*LOOKUP(H8,密度!$A$2:$A$50,密度!$B$2:$B$50)</f>
        <v>368733.12309300003</v>
      </c>
      <c r="I7" s="73" ph="1">
        <f>I6*290.8*1.0267</f>
        <v>15811.9685056</v>
      </c>
      <c r="J7" s="73" ph="1">
        <f>J6*290.8*0.7892</f>
        <v>1445.8459680000001</v>
      </c>
      <c r="K7" s="73" ph="1">
        <f>K6*290.8*1.1126</f>
        <v>2403.9325143999999</v>
      </c>
      <c r="L7" s="73" ph="1">
        <f>L6*290.8*0.777</f>
        <v>1683.33942</v>
      </c>
      <c r="M7" s="73" ph="1">
        <f>M6*33.183*LOOKUP(M8,密度!$A$2:$A$50,密度!$D$2:$D$50)</f>
        <v>69950.215288799998</v>
      </c>
      <c r="N7" s="73" ph="1">
        <f>N6*33.183*LOOKUP(N8,密度!$A$2:$A$50,密度!$E$2:$E$50)</f>
        <v>60539.596127999997</v>
      </c>
      <c r="O7" s="73" ph="1">
        <f>O6*20.428*LOOKUP(O8,密度!$A$2:$A$50,密度!$C$2:$C$50)</f>
        <v>50491.611822000006</v>
      </c>
      <c r="P7" s="73" ph="1">
        <f>P6*51.53*LOOKUP(P8,密度!$A$2:$A$50,密度!$B$2:$B$50)</f>
        <v>41345.301619999998</v>
      </c>
      <c r="Q7" s="73" ph="1">
        <f>Q6*1.5*1.5*3.1416*LOOKUP(W8,密度!$A$2:$A$50,密度!$L$2:$L$50)</f>
        <v>47475.658137599996</v>
      </c>
      <c r="R7" s="73" ph="1">
        <f>R6*1.5*1.5*3.1416*LOOKUP(R8,密度!$A$2:$A$50,密度!$L$2:$L$50)</f>
        <v>47144.4942276</v>
      </c>
      <c r="S7" s="73" ph="1">
        <f>S6*1.5*1.5*3.1416*LOOKUP(S8,密度!$A$2:$A$50,密度!$L$2:$L$50)</f>
        <v>41272.883882999995</v>
      </c>
      <c r="T7" s="73" ph="1">
        <f>T6*1.5*1.5*3.1416*LOOKUP(T8,密度!$A$2:$A$50,密度!$L$2:$L$50)</f>
        <v>36084.672854999997</v>
      </c>
      <c r="U7" s="73" ph="1">
        <f>U6*1.5*1.5*3.1416*LOOKUP(U8,密度!$A$2:$A$50,密度!$L$2:$L$50)</f>
        <v>12013.721873999999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103569.02090100001</v>
      </c>
      <c r="AA7" s="73" ph="1">
        <f>AA6*33.183*LOOKUP(AA8,密度!$A$2:$A$50,密度!$D$2:$D$50)</f>
        <v>128722.03354800001</v>
      </c>
      <c r="AB7" s="73" ph="1">
        <f>AB6*20.428*LOOKUP(AB8,密度!$A$2:$A$50,密度!$D$2:$D$50)</f>
        <v>121770.38874000001</v>
      </c>
      <c r="AC7" s="73" ph="1">
        <f>AC6*51.53*LOOKUP(AC8,密度!$A$2:$A$50,密度!$Q$2:$Q$50)</f>
        <v>204756.45333339999</v>
      </c>
      <c r="AD7" s="73" ph="1">
        <f>AD6*20.428*LOOKUP(AD8,密度!$A$2:$A$50,密度!$V$2:$V$50)</f>
        <v>36231.852550400006</v>
      </c>
      <c r="AE7" s="73" ph="1">
        <f>AE6*20.428</f>
        <v>100199.34000000001</v>
      </c>
    </row>
    <row r="8" spans="1:99" ph="1">
      <c r="B8" s="241" ph="1"/>
      <c r="C8" s="68" t="s" ph="1">
        <v>179</v>
      </c>
      <c r="D8" s="74">
        <v>25</v>
      </c>
      <c r="E8" s="74">
        <v>26</v>
      </c>
      <c r="F8" s="74">
        <v>24</v>
      </c>
      <c r="G8" s="74">
        <v>22</v>
      </c>
      <c r="H8" s="74">
        <v>22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27</v>
      </c>
      <c r="O8" s="74">
        <v>29</v>
      </c>
      <c r="P8" s="74">
        <v>24</v>
      </c>
      <c r="Q8" s="74">
        <v>27</v>
      </c>
      <c r="R8" s="74">
        <v>25</v>
      </c>
      <c r="S8" s="74">
        <v>21</v>
      </c>
      <c r="T8" s="74">
        <v>21</v>
      </c>
      <c r="U8" s="74">
        <v>23</v>
      </c>
      <c r="V8" s="74">
        <v>25</v>
      </c>
      <c r="W8" s="74">
        <v>25</v>
      </c>
      <c r="X8" s="74">
        <v>17</v>
      </c>
      <c r="Y8" s="74">
        <v>25</v>
      </c>
      <c r="Z8" s="74">
        <v>25</v>
      </c>
      <c r="AA8" s="74">
        <v>22</v>
      </c>
      <c r="AB8" s="74">
        <v>19</v>
      </c>
      <c r="AC8" s="74">
        <v>20</v>
      </c>
      <c r="AD8" s="74">
        <v>25</v>
      </c>
      <c r="AE8" s="74">
        <v>26</v>
      </c>
    </row>
    <row r="9" spans="1:99" ht="26.4" ph="1">
      <c r="B9" s="241" ph="1">
        <v>0.66666666666666663</v>
      </c>
      <c r="C9" s="153" t="s" ph="1">
        <v>180</v>
      </c>
      <c r="D9" s="71">
        <v>3010</v>
      </c>
      <c r="E9" s="71">
        <v>8495</v>
      </c>
      <c r="F9" s="71">
        <v>5833</v>
      </c>
      <c r="G9" s="71">
        <v>769</v>
      </c>
      <c r="H9" s="71">
        <v>9152</v>
      </c>
      <c r="I9" s="71">
        <v>14.8</v>
      </c>
      <c r="J9" s="71">
        <v>6.31</v>
      </c>
      <c r="K9" s="71">
        <v>7.44</v>
      </c>
      <c r="L9" s="71">
        <v>35.03</v>
      </c>
      <c r="M9" s="71">
        <v>2110</v>
      </c>
      <c r="N9" s="71">
        <v>2215</v>
      </c>
      <c r="O9" s="71">
        <v>2235</v>
      </c>
      <c r="P9" s="71">
        <v>623</v>
      </c>
      <c r="Q9" s="71">
        <v>7172</v>
      </c>
      <c r="R9" s="71">
        <v>7122</v>
      </c>
      <c r="S9" s="71">
        <v>6210</v>
      </c>
      <c r="T9" s="71">
        <v>7138</v>
      </c>
      <c r="U9" s="71">
        <v>7017</v>
      </c>
      <c r="V9" s="71">
        <v>3465</v>
      </c>
      <c r="W9" s="71">
        <v>0</v>
      </c>
      <c r="X9" s="71">
        <v>0</v>
      </c>
      <c r="Y9" s="71">
        <v>0</v>
      </c>
      <c r="Z9" s="71">
        <v>3328</v>
      </c>
      <c r="AA9" s="71">
        <v>3475</v>
      </c>
      <c r="AB9" s="71">
        <v>5715</v>
      </c>
      <c r="AC9" s="71">
        <v>3767</v>
      </c>
      <c r="AD9" s="71">
        <v>2101</v>
      </c>
      <c r="AE9" s="71">
        <v>4900</v>
      </c>
    </row>
    <row r="10" spans="1:99" s="72" customFormat="1" ht="22.2" ph="1">
      <c r="B10" s="241" ph="1"/>
      <c r="C10" s="153" t="s" ph="1">
        <v>178</v>
      </c>
      <c r="D10" s="73" ph="1">
        <f>D9*33.183*LOOKUP(D11,密度!$A$2:$A$50,密度!$Q$2:$Q$50)</f>
        <v>94561.17699420001</v>
      </c>
      <c r="E10" s="73" ph="1">
        <f>E9*51.53*LOOKUP(E11,密度!$A$2:$A$50,密度!$B$2:$B$50)</f>
        <v>341267.83406000002</v>
      </c>
      <c r="F10" s="73" ph="1">
        <f>F9*33.183*LOOKUP(F11,密度!$A$2:$A$50,密度!$C$2:$C$50)</f>
        <v>214634.73520710002</v>
      </c>
      <c r="G10" s="73" ph="1">
        <f xml:space="preserve"> (G9+2)*51.53*LOOKUP(G11,密度!$A$2:$A$50,密度!$B$2:$B$50)</f>
        <v>30937.462880999996</v>
      </c>
      <c r="H10" s="73" ph="1">
        <f>(H9)*51.53*LOOKUP(H11,密度!$A$2:$A$50,密度!$B$2:$B$50)</f>
        <v>367236.91347199999</v>
      </c>
      <c r="I10" s="73" ph="1">
        <f>I9*290.8*1.0267</f>
        <v>4418.752528</v>
      </c>
      <c r="J10" s="73" ph="1">
        <f>J9*290.8*0.7892</f>
        <v>1448.1409615999999</v>
      </c>
      <c r="K10" s="73" ph="1">
        <f>K9*290.8*1.1126</f>
        <v>2407.1679552000001</v>
      </c>
      <c r="L10" s="73" ph="1">
        <f>L9*290.8*0.777</f>
        <v>7915.0845480000007</v>
      </c>
      <c r="M10" s="73" ph="1">
        <f>M9*33.183*LOOKUP(M11,密度!$A$2:$A$50,密度!$D$2:$D$50)</f>
        <v>71619.499377</v>
      </c>
      <c r="N10" s="73" ph="1">
        <f>N9*33.183*LOOKUP(N11,密度!$A$2:$A$50,密度!$E$2:$E$50)</f>
        <v>57403.769445000005</v>
      </c>
      <c r="O10" s="73" ph="1">
        <f>O9*20.428*LOOKUP(O11,密度!$A$2:$A$50,密度!$C$2:$C$50)</f>
        <v>50455.086558000003</v>
      </c>
      <c r="P10" s="73" ph="1">
        <f>P9*51.53*LOOKUP(P11,密度!$A$2:$A$50,密度!$B$2:$B$50)</f>
        <v>24973.071501000002</v>
      </c>
      <c r="Q10" s="73" ph="1">
        <f>Q9*1.5*1.5*3.1416*LOOKUP(W11,密度!$A$2:$A$50,密度!$L$2:$L$50)</f>
        <v>47704.935247199996</v>
      </c>
      <c r="R10" s="73" ph="1">
        <f>R9*1.5*1.5*3.1416*LOOKUP(R11,密度!$A$2:$A$50,密度!$L$2:$L$50)</f>
        <v>47019.959632800004</v>
      </c>
      <c r="S10" s="73" ph="1">
        <f>S9*1.5*1.5*3.1416*LOOKUP(S11,密度!$A$2:$A$50,密度!$L$2:$L$50)</f>
        <v>41042.765610000002</v>
      </c>
      <c r="T10" s="73" ph="1">
        <f>T9*1.5*1.5*3.1416*LOOKUP(T11,密度!$A$2:$A$50,密度!$L$2:$L$50)</f>
        <v>47529.238125599994</v>
      </c>
      <c r="U10" s="73" ph="1">
        <f>U9*1.5*1.5*3.1416*LOOKUP(U11,密度!$A$2:$A$50,密度!$L$2:$L$50)</f>
        <v>46475.543129400001</v>
      </c>
      <c r="V10" s="73" ph="1">
        <f>V9*1.5*1.5*3.1416*LOOKUP(V11,密度!$A$2:$A$50,密度!$L$2:$L$50)</f>
        <v>22925.166264000003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103475.74348800001</v>
      </c>
      <c r="AA10" s="73" ph="1">
        <f>AA9*33.183*LOOKUP(AA11,密度!$A$2:$A$50,密度!$D$2:$D$50)</f>
        <v>118608.817455</v>
      </c>
      <c r="AB10" s="73" ph="1">
        <f>AB9*20.428*LOOKUP(AB11,密度!$A$2:$A$50,密度!$D$2:$D$50)</f>
        <v>120411.84502800001</v>
      </c>
      <c r="AC10" s="73" ph="1">
        <f>AC9*51.53*LOOKUP(AC11,密度!$A$2:$A$50,密度!$Q$2:$Q$50)</f>
        <v>183916.7273197</v>
      </c>
      <c r="AD10" s="73" ph="1">
        <f>AD9*20.428*LOOKUP(AD11,密度!$A$2:$A$50,密度!$V$2:$V$50)</f>
        <v>41099.452732800004</v>
      </c>
      <c r="AE10" s="73" ph="1">
        <f>AE9*20.428</f>
        <v>100097.2</v>
      </c>
    </row>
    <row r="11" spans="1:99" ph="1">
      <c r="A11" s="64" t="s" ph="1">
        <v>162</v>
      </c>
      <c r="B11" s="241" ph="1"/>
      <c r="C11" s="153" t="s" ph="1">
        <v>179</v>
      </c>
      <c r="D11" s="74">
        <v>25</v>
      </c>
      <c r="E11" s="74">
        <v>25</v>
      </c>
      <c r="F11" s="74">
        <v>25</v>
      </c>
      <c r="G11" s="74">
        <v>26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27</v>
      </c>
      <c r="O11" s="74">
        <v>30</v>
      </c>
      <c r="P11" s="74">
        <v>27</v>
      </c>
      <c r="Q11" s="74">
        <v>30</v>
      </c>
      <c r="R11" s="74">
        <v>28</v>
      </c>
      <c r="S11" s="74">
        <v>27</v>
      </c>
      <c r="T11" s="74">
        <v>20</v>
      </c>
      <c r="U11" s="74">
        <v>25</v>
      </c>
      <c r="V11" s="74">
        <v>26</v>
      </c>
      <c r="W11" s="74">
        <v>21</v>
      </c>
      <c r="X11" s="74">
        <v>22</v>
      </c>
      <c r="Y11" s="74">
        <v>29</v>
      </c>
      <c r="Z11" s="74">
        <v>25</v>
      </c>
      <c r="AA11" s="74">
        <v>23</v>
      </c>
      <c r="AB11" s="74">
        <v>20</v>
      </c>
      <c r="AC11" s="74">
        <v>24</v>
      </c>
      <c r="AD11" s="74">
        <v>26</v>
      </c>
      <c r="AE11" s="74">
        <v>27</v>
      </c>
    </row>
    <row r="12" spans="1:99" ht="9.9" customHeight="1" ph="1"/>
    <row r="13" spans="1:99" s="72" customFormat="1" ht="29.25" customHeight="1" ph="1">
      <c r="B13" s="218" t="s" ph="1">
        <v>37</v>
      </c>
      <c r="C13" s="15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3" t="s" ph="1">
        <v>177</v>
      </c>
      <c r="D15" s="78">
        <v>4525</v>
      </c>
      <c r="E15" s="78">
        <v>75</v>
      </c>
      <c r="F15" s="78">
        <v>529</v>
      </c>
      <c r="G15" s="78">
        <v>3225</v>
      </c>
      <c r="H15" s="78">
        <v>0</v>
      </c>
      <c r="I15" s="78">
        <v>3955</v>
      </c>
      <c r="J15" s="78">
        <v>5183</v>
      </c>
      <c r="K15" s="78">
        <v>2276</v>
      </c>
      <c r="L15" s="78">
        <v>1218</v>
      </c>
      <c r="M15" s="78">
        <v>6525</v>
      </c>
      <c r="N15" s="78">
        <v>522</v>
      </c>
      <c r="O15" s="78">
        <v>1959</v>
      </c>
      <c r="P15" s="78">
        <v>1150</v>
      </c>
      <c r="Q15" s="78">
        <v>4984</v>
      </c>
      <c r="R15" s="78">
        <v>0</v>
      </c>
      <c r="S15" s="78">
        <v>888</v>
      </c>
      <c r="T15" s="78">
        <v>1465</v>
      </c>
      <c r="U15" s="78">
        <v>3546</v>
      </c>
      <c r="V15" s="78">
        <v>4948</v>
      </c>
      <c r="W15" s="71">
        <v>3378</v>
      </c>
      <c r="X15" s="78">
        <v>-320</v>
      </c>
      <c r="Y15" s="106">
        <v>-9907</v>
      </c>
      <c r="Z15" s="78">
        <v>0</v>
      </c>
      <c r="AA15" s="78">
        <v>266</v>
      </c>
      <c r="AB15" s="78" ph="1">
        <v>7125</v>
      </c>
      <c r="AC15" s="78" ph="1">
        <v>3328</v>
      </c>
      <c r="AD15" s="78">
        <v>5.52</v>
      </c>
      <c r="AE15" s="78">
        <v>56.47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3" t="s" ph="1">
        <v>178</v>
      </c>
      <c r="D16" s="73" ph="1">
        <f>D15*7.0686*LOOKUP(D17,密度!$A$2:$A$50,密度!$L$2:$L$50)</f>
        <v>29906.363025000002</v>
      </c>
      <c r="E16" s="73" ph="1">
        <f>E15*7.0686*LOOKUP(E17,密度!$A$2:$A$50,密度!$L$2:$L$50)</f>
        <v>495.68557500000003</v>
      </c>
      <c r="F16" s="73" ph="1">
        <f>F15*9.0746*LOOKUP(F17,密度!$A$2:$A$50,密度!$L$2:$L$50)</f>
        <v>4488.4332790000008</v>
      </c>
      <c r="G16" s="73" ph="1">
        <f>G15*9.0746*LOOKUP(G17,密度!$A$2:$A$50,密度!$B$2:$B$50)</f>
        <v>22815.450065999998</v>
      </c>
      <c r="H16" s="73" ph="1">
        <f>H15*9.0746*LOOKUP(H17,密度!$A$2:$A$50,密度!$L$2:$L$50)</f>
        <v>0</v>
      </c>
      <c r="I16" s="73" ph="1">
        <f>I15*9.0746*LOOKUP(I17,密度!$A$2:$A$50,密度!$U$2:$U$50)</f>
        <v>36787.294074999998</v>
      </c>
      <c r="J16" s="73" ph="1">
        <f>J15*9.0746*LOOKUP(J17,密度!$A$2:$A$50,密度!$L$2:$L$50)</f>
        <v>43976.464433000001</v>
      </c>
      <c r="K16" s="73" ph="1">
        <f>K15*9.0746*LOOKUP(K17,密度!$A$2:$A$50,密度!$C$2:$C$50)</f>
        <v>22872.006603039998</v>
      </c>
      <c r="L16" s="73" ph="1">
        <f>L15*9.0746*LOOKUP(L17,密度!$A$2:$A$50,密度!$E$2:$E$50)</f>
        <v>8656.6021449600012</v>
      </c>
      <c r="M16" s="73" ph="1">
        <f>M15*9.0746*LOOKUP(M17,密度!$A$2:$A$50,密度!$M$2:$M$50)</f>
        <v>51816.215551499998</v>
      </c>
      <c r="N16" s="73" ph="1">
        <f>N15*9.0746*LOOKUP(N17,密度!$A$2:$A$50,密度!$M$2:$M$50)</f>
        <v>4154.2974324000006</v>
      </c>
      <c r="O16" s="73" ph="1">
        <f>O15*9.0746*LOOKUP(O17,密度!$A$2:$A$50,密度!$G$2:$G$50)</f>
        <v>17030.501461200001</v>
      </c>
      <c r="P16" s="73" ph="1">
        <f ca="1">P15*9.0746*LOOKUP(P17,密度!$A$2:$A$51,密度!$Q$2:$Q$50)</f>
        <v>9879.9798246000009</v>
      </c>
      <c r="Q16" s="73" ph="1">
        <f>Q15*9.0746*LOOKUP(Q17,密度!$A$2:$A$50,密度!$Q$2:$Q$50)</f>
        <v>42754.749946048003</v>
      </c>
      <c r="R16" s="73" ph="1">
        <f>MAX(R15*9.0746*LOOKUP(R17,密度!$A$2:$A$50,密度!$B$2:$B$50),0)</f>
        <v>0</v>
      </c>
      <c r="S16" s="73" ph="1">
        <f>S15*9.0746*LOOKUP(S17,密度!$A$2:$A$50,密度!$Q$2:$Q$50)</f>
        <v>7623.3413281440007</v>
      </c>
      <c r="T16" s="73" ph="1">
        <f>T15*9.0746*LOOKUP(T17,密度!$A$2:$A$50,密度!$O$2:$O$50)</f>
        <v>12310.511614000001</v>
      </c>
      <c r="U16" s="73" ph="1">
        <f>U15*9.0746*LOOKUP(U17,密度!$A$2:$A$50,密度!$H$2:$H$50)</f>
        <v>29375.781497640004</v>
      </c>
      <c r="V16" s="73" ph="1">
        <f>MAX(5600*LOOKUP(V17,密度!$A$2:$A$50,密度!$Q$2:$Q$50)+V15*9.0476*LOOKUP(V17,密度!$A$2:$A$50,密度!$Q$2:$Q$50),0)</f>
        <v>47613.428543936003</v>
      </c>
      <c r="W16" s="73" ph="1">
        <f>MAX(5600*LOOKUP(W17,密度!$A$2:$A$50,密度!$Q$2:$Q$50)+W15*9.0476*LOOKUP(W17,密度!$A$2:$A$50,密度!$Q$2:$Q$50),0)</f>
        <v>34185.411289696</v>
      </c>
      <c r="X16" s="73" ph="1">
        <f>MAX(5600*LOOKUP(X17,密度!$A$2:$A$50,密度!$I$2:$I$50)+X15*9.0476*LOOKUP(X17,密度!$A$2:$A$50,密度!$I$2:$I$50),0)</f>
        <v>2825.4006528000004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1886.17738904</v>
      </c>
      <c r="AB16" s="73" ph="1">
        <f>AB15*9.0746*LOOKUP(AB17,密度!$A$2:$A$50,密度!$L$2:$L$50)</f>
        <v>60583.163925000008</v>
      </c>
      <c r="AC16" s="73" ph="1">
        <f>AC15*9.0746*LOOKUP(AC17,密度!$A$2:$A$50,密度!$L$2:$L$50)</f>
        <v>28358.052403199999</v>
      </c>
      <c r="AD16" s="73" ph="1">
        <f>AD15*268.68*LOOKUP(AD17,密度!$A$2:$A$50,密度!B2:B50)+IF(AD15&lt;=0,0,1566*LOOKUP(AD17,密度!$A$2:$A$50,密度!B2:B50))</f>
        <v>2377.0889625599998</v>
      </c>
      <c r="AE16" s="73" ph="1">
        <f>AE15*268.68*LOOKUP(AE17,密度!$A$2:$A$50,密度!B2:B50)+IF(AE15&lt;=0,0,1566*LOOKUP(AE17,密度!$A$2:$A$50,密度!B2:B50))</f>
        <v>13049.22514416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27</v>
      </c>
      <c r="E17" s="74">
        <v>27</v>
      </c>
      <c r="F17" s="74">
        <v>27</v>
      </c>
      <c r="G17" s="74">
        <v>25</v>
      </c>
      <c r="H17" s="74">
        <v>20</v>
      </c>
      <c r="I17" s="74">
        <v>25</v>
      </c>
      <c r="J17" s="74">
        <v>27</v>
      </c>
      <c r="K17" s="74">
        <v>27</v>
      </c>
      <c r="L17" s="74">
        <v>25</v>
      </c>
      <c r="M17" s="74">
        <v>25</v>
      </c>
      <c r="N17" s="74">
        <v>23</v>
      </c>
      <c r="O17" s="74">
        <v>27</v>
      </c>
      <c r="P17" s="74">
        <v>25</v>
      </c>
      <c r="Q17" s="74">
        <v>27</v>
      </c>
      <c r="R17" s="74">
        <v>26</v>
      </c>
      <c r="S17" s="74">
        <v>26</v>
      </c>
      <c r="T17" s="74">
        <v>26</v>
      </c>
      <c r="U17" s="74">
        <v>27</v>
      </c>
      <c r="V17" s="74">
        <v>27</v>
      </c>
      <c r="W17" s="74">
        <v>27</v>
      </c>
      <c r="X17" s="74">
        <v>23</v>
      </c>
      <c r="Y17" s="108">
        <v>23</v>
      </c>
      <c r="Z17" s="74">
        <v>25</v>
      </c>
      <c r="AA17" s="74">
        <v>23</v>
      </c>
      <c r="AB17" s="74">
        <v>25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6000</v>
      </c>
      <c r="E18" s="71">
        <v>110</v>
      </c>
      <c r="F18" s="71">
        <v>1172</v>
      </c>
      <c r="G18" s="71">
        <v>3357</v>
      </c>
      <c r="H18" s="71">
        <v>0</v>
      </c>
      <c r="I18" s="71">
        <v>2210</v>
      </c>
      <c r="J18" s="71">
        <v>5186</v>
      </c>
      <c r="K18" s="71">
        <v>2276</v>
      </c>
      <c r="L18" s="71">
        <v>1225</v>
      </c>
      <c r="M18" s="71">
        <v>3566</v>
      </c>
      <c r="N18" s="71">
        <v>522</v>
      </c>
      <c r="O18" s="71">
        <v>1960</v>
      </c>
      <c r="P18" s="71">
        <v>2376</v>
      </c>
      <c r="Q18" s="71">
        <v>3274</v>
      </c>
      <c r="R18" s="71">
        <v>0</v>
      </c>
      <c r="S18" s="71">
        <v>1043</v>
      </c>
      <c r="T18" s="71">
        <v>1464</v>
      </c>
      <c r="U18" s="71">
        <v>5368</v>
      </c>
      <c r="V18" s="71">
        <v>4948</v>
      </c>
      <c r="W18" s="71">
        <v>2003</v>
      </c>
      <c r="X18" s="71">
        <v>-320</v>
      </c>
      <c r="Y18" s="109">
        <v>-9907</v>
      </c>
      <c r="Z18" s="71">
        <v>0</v>
      </c>
      <c r="AA18" s="71">
        <v>266</v>
      </c>
      <c r="AB18" s="71">
        <v>7129</v>
      </c>
      <c r="AC18" s="71">
        <v>5587</v>
      </c>
      <c r="AD18" s="71">
        <v>31.75</v>
      </c>
      <c r="AE18" s="71">
        <v>84.57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3" t="s" ph="1">
        <v>178</v>
      </c>
      <c r="D19" s="73" ph="1">
        <f>D18*7.0686*LOOKUP(D20,密度!$A$2:$A$50,密度!$L$2:$L$50)</f>
        <v>39612.434399999998</v>
      </c>
      <c r="E19" s="73" ph="1">
        <f>E18*7.0686*LOOKUP(E20,密度!$A$2:$A$50,密度!$L$2:$L$50)</f>
        <v>726.22796400000004</v>
      </c>
      <c r="F19" s="73" ph="1">
        <f>F18*9.0746*LOOKUP(F20,密度!$A$2:$A$50,密度!$L$2:$L$50)</f>
        <v>9869.6801536000021</v>
      </c>
      <c r="G19" s="73" ph="1">
        <f>G18*9.0746*LOOKUP(G20,密度!$A$2:$A$50,密度!$B$2:$B$50)</f>
        <v>23721.87465414</v>
      </c>
      <c r="H19" s="73" ph="1">
        <f>H18*9.0746*LOOKUP(H20,密度!$A$2:$A$50,密度!$L$2:$L$50)</f>
        <v>0</v>
      </c>
      <c r="I19" s="73" ph="1">
        <f>I18*9.0746*LOOKUP(I20,密度!$A$2:$A$50,密度!$U$2:$U$50)</f>
        <v>20455.963320000003</v>
      </c>
      <c r="J19" s="73" ph="1">
        <f>J18*9.0746*LOOKUP(J20,密度!$A$2:$A$50,密度!$L$2:$L$50)</f>
        <v>43907.796934800004</v>
      </c>
      <c r="K19" s="73" ph="1">
        <f>K18*9.0746*LOOKUP(K20,密度!$A$2:$A$50,密度!$C$2:$C$50)</f>
        <v>22886.464255760002</v>
      </c>
      <c r="L19" s="73" ph="1">
        <f>L18*9.0746*LOOKUP(L20,密度!$A$2:$A$50,密度!$E$2:$E$50)</f>
        <v>8656.3289994999996</v>
      </c>
      <c r="M19" s="73" ph="1">
        <f>M18*9.0746*LOOKUP(M20,密度!$A$2:$A$50,密度!$M$2:$M$50)</f>
        <v>28185.580555600001</v>
      </c>
      <c r="N19" s="73" ph="1">
        <f>N18*9.0746*LOOKUP(N20,密度!$A$2:$A$50,密度!$M$2:$M$50)</f>
        <v>4135.8233617200003</v>
      </c>
      <c r="O19" s="73" ph="1">
        <f>O18*9.0746*LOOKUP(O20,密度!$A$2:$A$50,密度!$G$2:$G$50)</f>
        <v>17021.408712</v>
      </c>
      <c r="P19" s="73" ph="1">
        <f ca="1">P18*9.0746*LOOKUP(P20,密度!$A$2:$A$51,密度!$Q$2:$Q$50)</f>
        <v>20339.373585167999</v>
      </c>
      <c r="Q19" s="73" ph="1">
        <f>Q18*9.0746*LOOKUP(Q20,密度!$A$2:$A$50,密度!$Q$2:$Q$50)</f>
        <v>28064.887286648001</v>
      </c>
      <c r="R19" s="73" ph="1">
        <f>MAX(R18*9.0746*LOOKUP(R20,密度!$A$2:$A$50,密度!$B$2:$B$50),0)</f>
        <v>0</v>
      </c>
      <c r="S19" s="73" ph="1">
        <f>S18*9.0746*LOOKUP(S20,密度!$A$2:$A$50,密度!$Q$2:$Q$50)</f>
        <v>8928.437141974</v>
      </c>
      <c r="T19" s="73" ph="1">
        <f>T18*9.0746*LOOKUP(T20,密度!$A$2:$A$50,密度!$O$2:$O$50)</f>
        <v>12302.108534400002</v>
      </c>
      <c r="U19" s="73" ph="1">
        <f>U18*9.0746*LOOKUP(U20,密度!$A$2:$A$50,密度!$H$2:$H$50)</f>
        <v>44425.756953600001</v>
      </c>
      <c r="V19" s="73" ph="1">
        <f>MAX(5600*LOOKUP(V20,密度!$A$2:$A$50,密度!$Q$2:$Q$50)+V18*9.0476*LOOKUP(V20,密度!$A$2:$A$50,密度!$Q$2:$Q$50),0)</f>
        <v>47543.417684464002</v>
      </c>
      <c r="W19" s="73" ph="1">
        <f>MAX(5600*LOOKUP(W20,密度!$A$2:$A$50,密度!$Q$2:$Q$50)+W18*9.0476*LOOKUP(W20,密度!$A$2:$A$50,密度!$Q$2:$Q$50),0)</f>
        <v>22392.231039204002</v>
      </c>
      <c r="X19" s="73" ph="1">
        <f>MAX(5600*LOOKUP(X20,密度!$A$2:$A$50,密度!$I$2:$I$50)+X18*9.0476*LOOKUP(X20,密度!$A$2:$A$50,密度!$I$2:$I$50),0)</f>
        <v>2819.1796864000003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1877.7289364400001</v>
      </c>
      <c r="AB19" s="73" ph="1">
        <f>AB18*9.0746*LOOKUP(AB20,密度!$A$2:$A$50,密度!$L$2:$L$50)</f>
        <v>60487.789879000004</v>
      </c>
      <c r="AC19" s="73" ph="1">
        <f>AC18*9.0746*LOOKUP(AC20,密度!$A$2:$A$50,密度!$L$2:$L$50)</f>
        <v>47252.204466400006</v>
      </c>
      <c r="AD19" s="73" ph="1">
        <f>AD18*268.68*LOOKUP(AD20,密度!$A$2:$A$50,密度!B5:B53)+IF(AD18&lt;=0,0,1566*LOOKUP(AD20,密度!$A$2:$A$50,密度!B5:B53))</f>
        <v>7845.0504300000002</v>
      </c>
      <c r="AE19" s="73" ph="1">
        <f>AE18*268.68*LOOKUP(AE20,密度!$A$2:$A$50,密度!B5:B53)+IF(AE18&lt;=0,0,1566*LOOKUP(AE20,密度!$A$2:$A$50,密度!B5:B53))</f>
        <v>18871.983925199998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28</v>
      </c>
      <c r="E20" s="81">
        <v>28</v>
      </c>
      <c r="F20" s="81">
        <v>34</v>
      </c>
      <c r="G20" s="81">
        <v>26</v>
      </c>
      <c r="H20" s="81">
        <v>24</v>
      </c>
      <c r="I20" s="81">
        <v>30</v>
      </c>
      <c r="J20" s="81">
        <v>29</v>
      </c>
      <c r="K20" s="81">
        <v>26</v>
      </c>
      <c r="L20" s="81">
        <v>29</v>
      </c>
      <c r="M20" s="81">
        <v>29</v>
      </c>
      <c r="N20" s="81">
        <v>27</v>
      </c>
      <c r="O20" s="81">
        <v>28</v>
      </c>
      <c r="P20" s="81">
        <v>30</v>
      </c>
      <c r="Q20" s="81">
        <v>28</v>
      </c>
      <c r="R20" s="81">
        <v>30</v>
      </c>
      <c r="S20" s="81">
        <v>30</v>
      </c>
      <c r="T20" s="81">
        <v>28</v>
      </c>
      <c r="U20" s="81">
        <v>28</v>
      </c>
      <c r="V20" s="81">
        <v>29</v>
      </c>
      <c r="W20" s="81">
        <v>29</v>
      </c>
      <c r="X20" s="81">
        <v>25</v>
      </c>
      <c r="Y20" s="110">
        <v>25</v>
      </c>
      <c r="Z20" s="81">
        <v>29</v>
      </c>
      <c r="AA20" s="81">
        <v>27</v>
      </c>
      <c r="AB20" s="81">
        <v>27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3" t="s" ph="1">
        <v>177</v>
      </c>
      <c r="D24" s="71">
        <v>4.26</v>
      </c>
      <c r="E24" s="71">
        <v>5.65</v>
      </c>
      <c r="F24" s="71">
        <v>0</v>
      </c>
      <c r="G24" s="71">
        <v>2707</v>
      </c>
      <c r="H24" s="71">
        <v>3163</v>
      </c>
      <c r="I24" s="71">
        <v>0</v>
      </c>
      <c r="J24" s="71">
        <v>218</v>
      </c>
      <c r="K24" s="71">
        <v>248</v>
      </c>
      <c r="L24" s="71">
        <v>469</v>
      </c>
      <c r="M24" s="71">
        <v>4851</v>
      </c>
      <c r="N24" s="71">
        <v>2464</v>
      </c>
      <c r="O24" s="71">
        <v>5419</v>
      </c>
      <c r="P24" s="71">
        <v>1162</v>
      </c>
      <c r="Q24" s="90">
        <v>4442</v>
      </c>
      <c r="R24" s="71">
        <v>3152</v>
      </c>
      <c r="S24" s="71">
        <v>566</v>
      </c>
      <c r="T24" s="71">
        <v>1031</v>
      </c>
      <c r="U24" s="71">
        <v>6800</v>
      </c>
      <c r="V24" s="71">
        <v>6915</v>
      </c>
      <c r="W24" s="71">
        <v>2924</v>
      </c>
      <c r="X24" s="71">
        <v>2381</v>
      </c>
      <c r="Y24" s="71">
        <v>4555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2566.2114796320002</v>
      </c>
      <c r="E25" s="91" ph="1">
        <f>E24*268.68*LOOKUP(E26,密度!$A$2:$A$50,密度!$C$2:$C$50)+IF(E24&lt;=0,0,1566*LOOKUP(E26,密度!$A$2:$A$50,密度!$C$2:$C$50))</f>
        <v>3419.8941738000003</v>
      </c>
      <c r="F25" s="91" ph="1">
        <f>F24*11.702*LOOKUP(F26,密度!$A$2:$A$50,密度!$Q$2:$Q$50)</f>
        <v>0</v>
      </c>
      <c r="G25" s="91" ph="1">
        <f>G24*18.322*LOOKUP(G26,密度!$A$2:$A$50,密度!$B$2:$B$50)</f>
        <v>38755.606835599996</v>
      </c>
      <c r="H25" s="91" ph="1">
        <f>H24*18.322*LOOKUP(H26,密度!$A$2:$A$50,密度!$B$2:$B$50)</f>
        <v>45336.229797799999</v>
      </c>
      <c r="I25" s="91" ph="1">
        <f>I24*18.322*LOOKUP(I26,密度!$A$2:$A$50,密度!$Q$2:$Q$50)</f>
        <v>0</v>
      </c>
      <c r="J25" s="91" ph="1">
        <f>J24*18.322*LOOKUP(J26,密度!$A$2:$A$50,密度!$Q$2:$Q$50)</f>
        <v>3790.8514816399997</v>
      </c>
      <c r="K25" s="91" ph="1">
        <f>K24*18.322*LOOKUP(K26,密度!$A$2:$A$50,密度!$Q$2:$Q$50)</f>
        <v>4312.5282910400001</v>
      </c>
      <c r="L25" s="91" ph="1">
        <f>L24*18.322*LOOKUP(L26,密度!$A$2:$A$50,密度!$Q$2:$Q$50)</f>
        <v>8147.8996676000006</v>
      </c>
      <c r="M25" s="91" ph="1">
        <f>M24*18.322*LOOKUP(M26,密度!$A$2:$A$50,密度!$Q$2:$Q$50)</f>
        <v>84276.036860399996</v>
      </c>
      <c r="N25" s="91" ph="1">
        <f>N24*18.322*LOOKUP(N26,密度!$A$2:$A$50,密度!$Q$2:$Q$50)</f>
        <v>42806.875865599999</v>
      </c>
      <c r="O25" s="91" ph="1">
        <f>O24*18.322*LOOKUP(O26,密度!$A$2:$A$50,密度!$C$2:$C$50)</f>
        <v>110397.1241242</v>
      </c>
      <c r="P25" s="91" ph="1">
        <f>P24*11.702*LOOKUP(P26,密度!$A$2:$A$50,密度!$B$2:$B$50)</f>
        <v>10625.2615336</v>
      </c>
      <c r="Q25" s="92" ph="1">
        <f>Q24*18.322*LOOKUP(Q26,密度!$A$2:$A$50,密度!$B$2:$B$50)</f>
        <v>63741.768956799999</v>
      </c>
      <c r="R25" s="91" ph="1">
        <f>R24*35.891*LOOKUP(R26,密度!$A$2:$A$50,密度!$C$2:$C$50)</f>
        <v>125617.8108928</v>
      </c>
      <c r="S25" s="91" ph="1">
        <f>S24*35.891*LOOKUP(S26,密度!$A$2:$A$50,密度!$B$2:$B$50)</f>
        <v>15855.315833000001</v>
      </c>
      <c r="T25" s="91" ph="1">
        <f>T24*35.891*LOOKUP(T26,密度!$A$2:$A$50,密度!$Q$2:$Q$50)</f>
        <v>35119.766654890002</v>
      </c>
      <c r="U25" s="91" ph="1">
        <f>U24*35.891</f>
        <v>244058.8</v>
      </c>
      <c r="V25" s="91" ph="1">
        <f>V24*47.051*LOOKUP(V26,密度!$A$2:$A$50,密度!$B$2:$B$50)</f>
        <v>254820.12322800004</v>
      </c>
      <c r="W25" s="91" ph="1">
        <f>W24*47.051*LOOKUP(W26,密度!$A$2:$A$50,密度!$B$2:$B$50)</f>
        <v>107378.945282</v>
      </c>
      <c r="X25" s="91" ph="1">
        <f>X24*47.051*LOOKUP(X26,密度!$A$2:$A$61,密度!$I$2:$I$61)</f>
        <v>116767.23363130001</v>
      </c>
      <c r="Y25" s="91" ph="1">
        <f>Y24*47.051*LOOKUP(Y26,密度!$A$2:$A$50,密度!$L$2:$L$50)</f>
        <v>201029.63209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22</v>
      </c>
      <c r="G26" s="74">
        <v>23</v>
      </c>
      <c r="H26" s="74">
        <v>22</v>
      </c>
      <c r="I26" s="74">
        <v>22</v>
      </c>
      <c r="J26" s="74">
        <v>22</v>
      </c>
      <c r="K26" s="74">
        <v>22</v>
      </c>
      <c r="L26" s="74">
        <v>23</v>
      </c>
      <c r="M26" s="74">
        <v>23</v>
      </c>
      <c r="N26" s="74">
        <v>23</v>
      </c>
      <c r="O26" s="74">
        <v>21</v>
      </c>
      <c r="P26" s="74">
        <v>23</v>
      </c>
      <c r="Q26" s="93">
        <v>21</v>
      </c>
      <c r="R26" s="74">
        <v>23</v>
      </c>
      <c r="S26" s="74">
        <v>24</v>
      </c>
      <c r="T26" s="74">
        <v>22</v>
      </c>
      <c r="U26" s="74">
        <v>25</v>
      </c>
      <c r="V26" s="74">
        <v>21</v>
      </c>
      <c r="W26" s="74">
        <v>24</v>
      </c>
      <c r="X26" s="74">
        <v>25</v>
      </c>
      <c r="Y26" s="74">
        <v>24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3" t="s" ph="1">
        <v>180</v>
      </c>
      <c r="D27" s="71">
        <v>4.25</v>
      </c>
      <c r="E27" s="71">
        <v>5.64</v>
      </c>
      <c r="F27" s="71">
        <v>0</v>
      </c>
      <c r="G27" s="71">
        <v>2237</v>
      </c>
      <c r="H27" s="71">
        <v>2730</v>
      </c>
      <c r="I27" s="71">
        <v>0</v>
      </c>
      <c r="J27" s="71">
        <v>215</v>
      </c>
      <c r="K27" s="71">
        <v>246</v>
      </c>
      <c r="L27" s="71">
        <v>467</v>
      </c>
      <c r="M27" s="71">
        <v>4854</v>
      </c>
      <c r="N27" s="71">
        <v>2463</v>
      </c>
      <c r="O27" s="71">
        <v>4080</v>
      </c>
      <c r="P27" s="71">
        <v>1161</v>
      </c>
      <c r="Q27" s="90">
        <v>4742</v>
      </c>
      <c r="R27" s="71">
        <v>3152</v>
      </c>
      <c r="S27" s="71">
        <v>565</v>
      </c>
      <c r="T27" s="71">
        <v>1030</v>
      </c>
      <c r="U27" s="71">
        <v>6771</v>
      </c>
      <c r="V27" s="71">
        <v>6584</v>
      </c>
      <c r="W27" s="71">
        <v>3880</v>
      </c>
      <c r="X27" s="71">
        <v>2380</v>
      </c>
      <c r="Y27" s="71">
        <v>2944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3" t="s" ph="1">
        <v>178</v>
      </c>
      <c r="D28" s="91" ph="1">
        <f>D27*268.68*LOOKUP(D29,密度!$A$2:$A$50,密度!$Q$2:$Q$50)+IF(D27&lt;=0,0,1566*LOOKUP(D29,密度!$A$2:$A$50,密度!$Q$2:$Q$50))</f>
        <v>2563.6677786</v>
      </c>
      <c r="E28" s="91" ph="1">
        <f>E27*268.68*LOOKUP(E29,密度!$A$2:$A$50,密度!$C$2:$C$50)+IF(E27&lt;=0,0,1566*LOOKUP(E29,密度!$A$2:$A$50,密度!$C$2:$C$50))</f>
        <v>3416.9147812800002</v>
      </c>
      <c r="F28" s="91" ph="1">
        <f>F27*11.702*LOOKUP(F29,密度!$A$2:$A$50,密度!$Q$2:$Q$50)</f>
        <v>0</v>
      </c>
      <c r="G28" s="91" ph="1">
        <f>G27*18.322*LOOKUP(G29,密度!$A$2:$A$50,密度!$B$2:$B$50)</f>
        <v>32026.705759599998</v>
      </c>
      <c r="H28" s="91" ph="1">
        <f>H27*18.322*LOOKUP(H29,密度!$A$2:$A$50,密度!$B$2:$B$50)</f>
        <v>39039.876329999999</v>
      </c>
      <c r="I28" s="91" ph="1">
        <f>I27*18.322*LOOKUP(I29,密度!$A$2:$A$50,密度!$Q$2:$Q$50)</f>
        <v>0</v>
      </c>
      <c r="J28" s="91" ph="1">
        <f>J27*18.322*LOOKUP(J29,密度!$A$2:$A$50,密度!$Q$2:$Q$50)</f>
        <v>3732.3022481000003</v>
      </c>
      <c r="K28" s="91" ph="1">
        <f>K27*18.322*LOOKUP(K29,密度!$A$2:$A$50,密度!$Q$2:$Q$50)</f>
        <v>4273.7384183999993</v>
      </c>
      <c r="L28" s="91" ph="1">
        <f>L27*18.322*LOOKUP(L29,密度!$A$2:$A$50,密度!$Q$2:$Q$50)</f>
        <v>8113.1538268000004</v>
      </c>
      <c r="M28" s="91" ph="1">
        <f>M27*18.322*LOOKUP(M29,密度!$A$2:$A$50,密度!$Q$2:$Q$50)</f>
        <v>84328.155621600003</v>
      </c>
      <c r="N28" s="91" ph="1">
        <f>N27*18.322*LOOKUP(N29,密度!$A$2:$A$50,密度!$Q$2:$Q$50)</f>
        <v>42789.502945199994</v>
      </c>
      <c r="O28" s="91" ph="1">
        <f>O27*18.322*LOOKUP(O29,密度!$A$2:$A$50,密度!$C$2:$C$50)</f>
        <v>83058.902735999989</v>
      </c>
      <c r="P28" s="91" ph="1">
        <f>P27*11.702*LOOKUP(P29,密度!$A$2:$A$50,密度!$B$2:$B$50)</f>
        <v>10628.3450106</v>
      </c>
      <c r="Q28" s="92" ph="1">
        <f>Q27*18.322*LOOKUP(Q29,密度!$A$2:$A$50,密度!$B$2:$B$50)</f>
        <v>68046.706076799994</v>
      </c>
      <c r="R28" s="91" ph="1">
        <f>R27*35.891*LOOKUP(R29,密度!$A$2:$A$50,密度!$C$2:$C$50)</f>
        <v>125787.50354080001</v>
      </c>
      <c r="S28" s="91" ph="1">
        <f>S27*35.891*LOOKUP(S29,密度!$A$2:$A$50,密度!$B$2:$B$50)</f>
        <v>15882.054627999998</v>
      </c>
      <c r="T28" s="91" ph="1">
        <f>T27*35.891*LOOKUP(T29,密度!$A$2:$A$50,密度!$Q$2:$Q$50)</f>
        <v>35052.801585999994</v>
      </c>
      <c r="U28" s="91" ph="1">
        <f>U27*35.891</f>
        <v>243017.96099999998</v>
      </c>
      <c r="V28" s="91" ph="1">
        <f>V27*47.051*LOOKUP(V29,密度!$A$2:$A$50,密度!$B$2:$B$50)</f>
        <v>242065.04881759998</v>
      </c>
      <c r="W28" s="91" ph="1">
        <f>W27*47.051*LOOKUP(W29,密度!$A$2:$A$50,密度!$B$2:$B$50)</f>
        <v>142157.82115599999</v>
      </c>
      <c r="X28" s="91" ph="1">
        <f>X27*47.051*LOOKUP(X29,密度!$A$2:$A$61,密度!$I$2:$I$61)</f>
        <v>116471.83333800001</v>
      </c>
      <c r="Y28" s="91" ph="1">
        <f>Y27*47.051*LOOKUP(Y29,密度!$A$2:$A$50,密度!$L$2:$L$50)</f>
        <v>129514.46464000001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3" t="s" ph="1">
        <v>179</v>
      </c>
      <c r="D29" s="74">
        <v>25</v>
      </c>
      <c r="E29" s="74">
        <v>25</v>
      </c>
      <c r="F29" s="74">
        <v>23</v>
      </c>
      <c r="G29" s="74">
        <v>23</v>
      </c>
      <c r="H29" s="74">
        <v>24</v>
      </c>
      <c r="I29" s="74">
        <v>23</v>
      </c>
      <c r="J29" s="74">
        <v>24</v>
      </c>
      <c r="K29" s="74">
        <v>23</v>
      </c>
      <c r="L29" s="74">
        <v>23</v>
      </c>
      <c r="M29" s="74">
        <v>23</v>
      </c>
      <c r="N29" s="74">
        <v>23</v>
      </c>
      <c r="O29" s="74">
        <v>22</v>
      </c>
      <c r="P29" s="74">
        <v>22</v>
      </c>
      <c r="Q29" s="93">
        <v>21</v>
      </c>
      <c r="R29" s="74">
        <v>21</v>
      </c>
      <c r="S29" s="74">
        <v>21</v>
      </c>
      <c r="T29" s="74">
        <v>23</v>
      </c>
      <c r="U29" s="74">
        <v>25</v>
      </c>
      <c r="V29" s="74">
        <v>23</v>
      </c>
      <c r="W29" s="74">
        <v>26</v>
      </c>
      <c r="X29" s="74">
        <v>27</v>
      </c>
      <c r="Y29" s="74">
        <v>27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3" t="s" ph="1">
        <v>5</v>
      </c>
      <c r="F32" s="152" t="s" ph="1">
        <v>43</v>
      </c>
      <c r="G32" s="97" t="s" ph="1">
        <v>4</v>
      </c>
      <c r="H32" s="153" t="s" ph="1">
        <v>5</v>
      </c>
      <c r="I32" s="152" t="s" ph="1">
        <v>43</v>
      </c>
      <c r="J32" s="97" t="s" ph="1">
        <v>4</v>
      </c>
      <c r="K32" s="153" t="s" ph="1">
        <v>5</v>
      </c>
      <c r="L32" s="152" t="s" ph="1">
        <v>43</v>
      </c>
      <c r="M32" s="97" t="s" ph="1">
        <v>4</v>
      </c>
      <c r="N32" s="153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2" t="s" ph="1">
        <v>43</v>
      </c>
      <c r="AB32" s="97" t="s" ph="1">
        <v>85</v>
      </c>
      <c r="AC32" s="15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239020.66248300002</v>
      </c>
      <c r="E33" s="190" ph="1">
        <f>M10+I10</f>
        <v>76038.251904999997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16" ph="1">
        <f>N19</f>
        <v>4135.8233617200003</v>
      </c>
      <c r="H33" s="190" ph="1">
        <f>M19</f>
        <v>28185.580555600001</v>
      </c>
      <c r="I33" s="194" ph="1">
        <v>0</v>
      </c>
      <c r="J33" s="198" ph="1">
        <f>F10+O28</f>
        <v>297693.63794310001</v>
      </c>
      <c r="K33" s="190" ph="1">
        <f>O10+K10+E28+R28</f>
        <v>182066.67283528001</v>
      </c>
      <c r="L33" s="200" ph="1">
        <f>K19</f>
        <v>22886.464255760002</v>
      </c>
      <c r="M33" s="198" ph="1">
        <f>G10+H10+W28+S28+V28+E10+R19+P28+Q28</f>
        <v>1218222.1861020001</v>
      </c>
      <c r="N33" s="190" ph="1">
        <f>L10+P10++G28+H28+AD19+AE19</f>
        <v>130671.7724938</v>
      </c>
      <c r="O33" s="194" ph="1">
        <f>G19</f>
        <v>23721.87465414</v>
      </c>
      <c r="P33" s="198" ph="1">
        <f>L19</f>
        <v>8656.3289994999996</v>
      </c>
      <c r="Q33" s="190" ph="1">
        <f>J10+N10</f>
        <v>58851.910406600007</v>
      </c>
      <c r="R33" s="194" ph="1">
        <f>BE23</f>
        <v>890</v>
      </c>
      <c r="S33" s="198" ph="1">
        <f>X28</f>
        <v>116471.83333800001</v>
      </c>
      <c r="T33" s="190" ph="1">
        <f>X19</f>
        <v>2819.1796864000003</v>
      </c>
      <c r="U33" s="179" ph="1">
        <f>BE21</f>
        <v>730</v>
      </c>
      <c r="V33" s="192" ph="1">
        <f ca="1">P19+Q19+S19+M28+N28+J28+D10+AC10+D19+E19+H19+J19+O19+V19+W19+K28+L28</f>
        <v>650250.97212225827</v>
      </c>
      <c r="W33" s="192" ph="1">
        <f>D28+F28+T28+I28</f>
        <v>37616.469364599994</v>
      </c>
      <c r="X33" s="194" ph="1">
        <f>BE29+BE31</f>
        <v>10200</v>
      </c>
      <c r="Y33" s="196" ph="1">
        <f>+Q10+R10+S10+T10+U10+V10+W10+X10+Y10</f>
        <v>252697.60800900002</v>
      </c>
      <c r="Z33" s="177" ph="1">
        <f>T19+U19+Y28+Z10</f>
        <v>289718.07361600001</v>
      </c>
      <c r="AA33" s="179" ph="1">
        <f>BE19</f>
        <v>1440</v>
      </c>
      <c r="AB33" s="181" ph="1">
        <f>I19</f>
        <v>20455.963320000003</v>
      </c>
      <c r="AC33" s="183" ph="1">
        <f>AD10+AB19</f>
        <v>101587.2426118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1" t="s" ph="1">
        <v>185</v>
      </c>
      <c r="AA36" s="151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342</v>
      </c>
      <c r="AI37" s="151" t="s" ph="1">
        <v>209</v>
      </c>
      <c r="AJ37" s="151" t="s" ph="1">
        <v>210</v>
      </c>
      <c r="AK37" s="151" t="s" ph="1">
        <v>211</v>
      </c>
      <c r="AM37" s="151" t="s" ph="1">
        <v>210</v>
      </c>
      <c r="AN37" s="151" t="s" ph="1">
        <v>211</v>
      </c>
      <c r="AO37" s="151" t="s" ph="1">
        <v>212</v>
      </c>
      <c r="AP37" s="151" t="s" ph="1">
        <v>210</v>
      </c>
      <c r="AQ37" s="151" t="s" ph="1">
        <v>211</v>
      </c>
      <c r="AR37" s="151" t="s" ph="1">
        <v>212</v>
      </c>
      <c r="AS37" s="151" t="s" ph="1">
        <v>210</v>
      </c>
      <c r="AT37" s="151" t="s" ph="1">
        <v>211</v>
      </c>
      <c r="AU37" s="151" t="s" ph="1">
        <v>212</v>
      </c>
      <c r="AV37" s="151" t="s" ph="1">
        <v>210</v>
      </c>
      <c r="AW37" s="151" t="s" ph="1">
        <v>211</v>
      </c>
      <c r="AX37" s="151" t="s" ph="1">
        <v>212</v>
      </c>
      <c r="AY37" s="151" t="s" ph="1">
        <v>211</v>
      </c>
      <c r="AZ37" s="151" t="s" ph="1">
        <v>213</v>
      </c>
      <c r="BD37" s="151" t="s" ph="1">
        <v>305</v>
      </c>
      <c r="BE37" s="15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689" priority="100">
      <formula>ABS(D$7-D$10)&gt;=1000</formula>
    </cfRule>
  </conditionalFormatting>
  <conditionalFormatting sqref="E4 E6:E11">
    <cfRule type="expression" dxfId="1688" priority="99">
      <formula>ABS(E$7-E$10)&gt;=1000</formula>
    </cfRule>
  </conditionalFormatting>
  <conditionalFormatting sqref="F4:F11">
    <cfRule type="expression" dxfId="1687" priority="98">
      <formula>ABS(F$7-F$10)&gt;=1000</formula>
    </cfRule>
  </conditionalFormatting>
  <conditionalFormatting sqref="G4:G11">
    <cfRule type="expression" dxfId="1686" priority="97">
      <formula>ABS(G$7-G$10)&gt;=1000</formula>
    </cfRule>
  </conditionalFormatting>
  <conditionalFormatting sqref="H4:H11">
    <cfRule type="expression" dxfId="1685" priority="96">
      <formula>ABS(H$7-H$10)&gt;=1000</formula>
    </cfRule>
  </conditionalFormatting>
  <conditionalFormatting sqref="I4:I11">
    <cfRule type="expression" dxfId="1684" priority="95">
      <formula>ABS(I$7-I$10)&gt;=1000</formula>
    </cfRule>
  </conditionalFormatting>
  <conditionalFormatting sqref="J4:J11">
    <cfRule type="expression" dxfId="1683" priority="94">
      <formula>ABS(J$7-J$10)&gt;=1000</formula>
    </cfRule>
  </conditionalFormatting>
  <conditionalFormatting sqref="K4:K11">
    <cfRule type="expression" dxfId="1682" priority="93">
      <formula>ABS(K$7-K$10)&gt;=1000</formula>
    </cfRule>
  </conditionalFormatting>
  <conditionalFormatting sqref="L4:L11">
    <cfRule type="expression" dxfId="1681" priority="92">
      <formula>ABS(L$7-L$10)&gt;=1000</formula>
    </cfRule>
  </conditionalFormatting>
  <conditionalFormatting sqref="M4 M6:M11">
    <cfRule type="expression" dxfId="1680" priority="91">
      <formula>ABS(M$7-M$10)&gt;=1000</formula>
    </cfRule>
  </conditionalFormatting>
  <conditionalFormatting sqref="N4 N6:N11">
    <cfRule type="expression" dxfId="1679" priority="90">
      <formula>ABS(N$7-N$10)&gt;=1000</formula>
    </cfRule>
  </conditionalFormatting>
  <conditionalFormatting sqref="O4 O6:O11">
    <cfRule type="expression" dxfId="1678" priority="89">
      <formula>ABS(O$7-O$10)&gt;=1000</formula>
    </cfRule>
  </conditionalFormatting>
  <conditionalFormatting sqref="P4 P6:P11">
    <cfRule type="expression" dxfId="1677" priority="88">
      <formula>ABS(P$7-P$10)&gt;=1000</formula>
    </cfRule>
  </conditionalFormatting>
  <conditionalFormatting sqref="Q4:Q11">
    <cfRule type="expression" dxfId="1676" priority="87">
      <formula>ABS(Q$7-Q$10)&gt;=1000</formula>
    </cfRule>
  </conditionalFormatting>
  <conditionalFormatting sqref="R4:R11">
    <cfRule type="expression" dxfId="1675" priority="86">
      <formula>ABS(R$7-R$10)&gt;=1000</formula>
    </cfRule>
  </conditionalFormatting>
  <conditionalFormatting sqref="S4:S11">
    <cfRule type="expression" dxfId="1674" priority="85">
      <formula>ABS(S$7-S$10)&gt;=1000</formula>
    </cfRule>
  </conditionalFormatting>
  <conditionalFormatting sqref="T4:T9 T11">
    <cfRule type="expression" dxfId="1673" priority="84">
      <formula>ABS(T$7-T$10)&gt;=1000</formula>
    </cfRule>
  </conditionalFormatting>
  <conditionalFormatting sqref="U4:U9 U11">
    <cfRule type="expression" dxfId="1672" priority="83">
      <formula>ABS(U$7-U$10)&gt;=1000</formula>
    </cfRule>
  </conditionalFormatting>
  <conditionalFormatting sqref="V4:V9 V11">
    <cfRule type="expression" dxfId="1671" priority="82">
      <formula>ABS(V$7-V$10)&gt;=1000</formula>
    </cfRule>
  </conditionalFormatting>
  <conditionalFormatting sqref="W4:W9 W11">
    <cfRule type="expression" dxfId="1670" priority="81">
      <formula>ABS(W$7-W$10)&gt;=1000</formula>
    </cfRule>
  </conditionalFormatting>
  <conditionalFormatting sqref="X4:X9 X11">
    <cfRule type="expression" dxfId="1669" priority="80">
      <formula>ABS(X$7-X$10)&gt;=1000</formula>
    </cfRule>
  </conditionalFormatting>
  <conditionalFormatting sqref="Y4:Y9 Y11">
    <cfRule type="expression" dxfId="1668" priority="79">
      <formula>ABS(Y$7-Y$10)&gt;=1000</formula>
    </cfRule>
  </conditionalFormatting>
  <conditionalFormatting sqref="Z4:Z11">
    <cfRule type="expression" dxfId="1667" priority="78">
      <formula>ABS(Z$7-Z$10)&gt;=1000</formula>
    </cfRule>
  </conditionalFormatting>
  <conditionalFormatting sqref="AA4:AA11">
    <cfRule type="expression" dxfId="1666" priority="77">
      <formula>ABS(AA$7-AA$10)&gt;=1000</formula>
    </cfRule>
  </conditionalFormatting>
  <conditionalFormatting sqref="AB4:AB11">
    <cfRule type="expression" dxfId="1665" priority="76">
      <formula>ABS(AB$7-AB$10)&gt;=1000</formula>
    </cfRule>
  </conditionalFormatting>
  <conditionalFormatting sqref="AC4 AC6:AC11">
    <cfRule type="expression" dxfId="1664" priority="75">
      <formula>ABS(AC$7-AC$10)&gt;=1000</formula>
    </cfRule>
  </conditionalFormatting>
  <conditionalFormatting sqref="AD4 AD6:AD11">
    <cfRule type="expression" dxfId="1663" priority="74">
      <formula>ABS(AD$7-AD$10)&gt;=1000</formula>
    </cfRule>
  </conditionalFormatting>
  <conditionalFormatting sqref="AE4 AE6:AE11">
    <cfRule type="expression" dxfId="1662" priority="73">
      <formula>ABS(AE$7-AE$10)&gt;=1000</formula>
    </cfRule>
  </conditionalFormatting>
  <conditionalFormatting sqref="D13:D20">
    <cfRule type="expression" dxfId="1661" priority="72">
      <formula>ABS(D$16-D$19)&gt;=1000</formula>
    </cfRule>
  </conditionalFormatting>
  <conditionalFormatting sqref="E13:E20">
    <cfRule type="expression" dxfId="1660" priority="71">
      <formula>ABS(E$16-E$19)&gt;=1000</formula>
    </cfRule>
  </conditionalFormatting>
  <conditionalFormatting sqref="F13 F15:F20">
    <cfRule type="expression" dxfId="1659" priority="70">
      <formula>ABS(F$16-F$19)&gt;=1000</formula>
    </cfRule>
  </conditionalFormatting>
  <conditionalFormatting sqref="G13:G20">
    <cfRule type="expression" dxfId="1658" priority="69">
      <formula>ABS(G$16-G$19)&gt;=1000</formula>
    </cfRule>
  </conditionalFormatting>
  <conditionalFormatting sqref="H13 H15:H20">
    <cfRule type="expression" dxfId="1657" priority="68">
      <formula>ABS(H$16-H$19)&gt;=1000</formula>
    </cfRule>
  </conditionalFormatting>
  <conditionalFormatting sqref="I13:I20">
    <cfRule type="expression" dxfId="1656" priority="67">
      <formula>ABS(I$16-I$19)&gt;=1000</formula>
    </cfRule>
  </conditionalFormatting>
  <conditionalFormatting sqref="J13:J20">
    <cfRule type="expression" dxfId="1655" priority="66">
      <formula>ABS(J$16-J$19)&gt;=1000</formula>
    </cfRule>
  </conditionalFormatting>
  <conditionalFormatting sqref="L13:L20">
    <cfRule type="expression" dxfId="1654" priority="65">
      <formula>ABS(L$16-L$19)&gt;=1000</formula>
    </cfRule>
  </conditionalFormatting>
  <conditionalFormatting sqref="M13 M15 M17:M18 M20">
    <cfRule type="expression" dxfId="1653" priority="64">
      <formula>ABS(M$16-M$19)&gt;=1000</formula>
    </cfRule>
  </conditionalFormatting>
  <conditionalFormatting sqref="N13:N20">
    <cfRule type="expression" dxfId="1652" priority="63">
      <formula>ABS(N$16-N$19)&gt;=1000</formula>
    </cfRule>
  </conditionalFormatting>
  <conditionalFormatting sqref="O13:O20">
    <cfRule type="expression" dxfId="1651" priority="62">
      <formula>ABS(O$16-O$19)&gt;=1000</formula>
    </cfRule>
  </conditionalFormatting>
  <conditionalFormatting sqref="P13:P20">
    <cfRule type="expression" dxfId="1650" priority="61">
      <formula>ABS(P$16-P$19)&gt;=1000</formula>
    </cfRule>
  </conditionalFormatting>
  <conditionalFormatting sqref="Q13 Q15:Q20">
    <cfRule type="expression" dxfId="1649" priority="60">
      <formula>ABS(Q$16-Q$19)&gt;=1000</formula>
    </cfRule>
  </conditionalFormatting>
  <conditionalFormatting sqref="R13:R20">
    <cfRule type="expression" dxfId="1648" priority="59">
      <formula>ABS(R$16-R$19)&gt;=1000</formula>
    </cfRule>
  </conditionalFormatting>
  <conditionalFormatting sqref="S13:S20">
    <cfRule type="expression" dxfId="1647" priority="58">
      <formula>ABS(S$16-S$19)&gt;=1000</formula>
    </cfRule>
  </conditionalFormatting>
  <conditionalFormatting sqref="T13:T20">
    <cfRule type="expression" dxfId="1646" priority="57">
      <formula>ABS(T$16-T$19)&gt;=1000</formula>
    </cfRule>
  </conditionalFormatting>
  <conditionalFormatting sqref="U13:U20">
    <cfRule type="expression" dxfId="1645" priority="56">
      <formula>ABS(U$16-U$19)&gt;=1000</formula>
    </cfRule>
  </conditionalFormatting>
  <conditionalFormatting sqref="V13:V20">
    <cfRule type="expression" dxfId="1644" priority="55">
      <formula>ABS(V$16-V$19)&gt;=1000</formula>
    </cfRule>
  </conditionalFormatting>
  <conditionalFormatting sqref="W13 W20 W15:W18">
    <cfRule type="expression" dxfId="1643" priority="54">
      <formula>ABS(W$16-W$19)&gt;=1000</formula>
    </cfRule>
  </conditionalFormatting>
  <conditionalFormatting sqref="X13 X15:X20 Y19">
    <cfRule type="expression" dxfId="1642" priority="53">
      <formula>ABS(X$16-X$19)&gt;=1000</formula>
    </cfRule>
  </conditionalFormatting>
  <conditionalFormatting sqref="Y13 Y15:Y18 Y20">
    <cfRule type="expression" dxfId="1641" priority="52">
      <formula>ABS(Y$16-Y$19)&gt;=1000</formula>
    </cfRule>
  </conditionalFormatting>
  <conditionalFormatting sqref="Z13:Z20">
    <cfRule type="expression" dxfId="1640" priority="51">
      <formula>ABS(Z$16-Z$19)&gt;=1000</formula>
    </cfRule>
  </conditionalFormatting>
  <conditionalFormatting sqref="AA13:AA20">
    <cfRule type="expression" dxfId="1639" priority="50">
      <formula>ABS(AA$16-AA$19)&gt;=1000</formula>
    </cfRule>
  </conditionalFormatting>
  <conditionalFormatting sqref="AB13 AB15:AB20">
    <cfRule type="expression" dxfId="1638" priority="49">
      <formula>ABS(AB$16-AB$19)&gt;=1000</formula>
    </cfRule>
  </conditionalFormatting>
  <conditionalFormatting sqref="AC13 AC15:AC20">
    <cfRule type="expression" dxfId="1637" priority="48">
      <formula>ABS(AC$16-AC$19)&gt;=1000</formula>
    </cfRule>
  </conditionalFormatting>
  <conditionalFormatting sqref="AD13:AD20">
    <cfRule type="expression" dxfId="1636" priority="47">
      <formula>ABS(AD$16-AD$19)&gt;=1000</formula>
    </cfRule>
  </conditionalFormatting>
  <conditionalFormatting sqref="AE13:AE20">
    <cfRule type="expression" dxfId="1635" priority="46">
      <formula>ABS(AE$16-AE$19)&gt;=1000</formula>
    </cfRule>
  </conditionalFormatting>
  <conditionalFormatting sqref="D22:D29">
    <cfRule type="expression" dxfId="1634" priority="45">
      <formula>ABS(D$25-D$28)&gt;=1000</formula>
    </cfRule>
  </conditionalFormatting>
  <conditionalFormatting sqref="E22:E29">
    <cfRule type="expression" dxfId="1633" priority="44">
      <formula>ABS(E$25-E$28)&gt;=1000</formula>
    </cfRule>
  </conditionalFormatting>
  <conditionalFormatting sqref="F22:F29">
    <cfRule type="expression" dxfId="1632" priority="43">
      <formula>ABS(F$25-F$28)&gt;=1000</formula>
    </cfRule>
  </conditionalFormatting>
  <conditionalFormatting sqref="G22:G29">
    <cfRule type="expression" dxfId="1631" priority="42">
      <formula>ABS(G$25-G$28)&gt;=1000</formula>
    </cfRule>
  </conditionalFormatting>
  <conditionalFormatting sqref="H22:H29">
    <cfRule type="expression" dxfId="1630" priority="41">
      <formula>ABS(H$25-H$28)&gt;=1000</formula>
    </cfRule>
  </conditionalFormatting>
  <conditionalFormatting sqref="I22 I24:I29">
    <cfRule type="expression" dxfId="1629" priority="40">
      <formula>ABS(I$25-I$28)&gt;=1000</formula>
    </cfRule>
  </conditionalFormatting>
  <conditionalFormatting sqref="J22:J29 K22">
    <cfRule type="expression" dxfId="1628" priority="39">
      <formula>ABS(J$25-J$28)&gt;=1000</formula>
    </cfRule>
  </conditionalFormatting>
  <conditionalFormatting sqref="K23:K29 L25 L28">
    <cfRule type="expression" dxfId="1627" priority="38">
      <formula>ABS(K$25-K$28)&gt;=1000</formula>
    </cfRule>
  </conditionalFormatting>
  <conditionalFormatting sqref="L22 L26:L27 L29 L24">
    <cfRule type="expression" dxfId="1626" priority="37">
      <formula>ABS(L$25-L$28)&gt;=1000</formula>
    </cfRule>
  </conditionalFormatting>
  <conditionalFormatting sqref="M22:M29">
    <cfRule type="expression" dxfId="1625" priority="36">
      <formula>ABS(M$25-M$28)&gt;=1000</formula>
    </cfRule>
  </conditionalFormatting>
  <conditionalFormatting sqref="N22:N29">
    <cfRule type="expression" dxfId="1624" priority="35">
      <formula>ABS(N$25-N$28)&gt;=1000</formula>
    </cfRule>
  </conditionalFormatting>
  <conditionalFormatting sqref="O22:O29">
    <cfRule type="expression" dxfId="1623" priority="34">
      <formula>ABS(O$25-O$28)&gt;=1000</formula>
    </cfRule>
  </conditionalFormatting>
  <conditionalFormatting sqref="P22:P29">
    <cfRule type="expression" dxfId="1622" priority="33">
      <formula>ABS(P$25-P$28)&gt;=1000</formula>
    </cfRule>
  </conditionalFormatting>
  <conditionalFormatting sqref="Q22:Q29">
    <cfRule type="expression" dxfId="1621" priority="32">
      <formula>ABS(Q$25-Q$28)&gt;=1000</formula>
    </cfRule>
  </conditionalFormatting>
  <conditionalFormatting sqref="R22:R29">
    <cfRule type="expression" dxfId="1620" priority="31">
      <formula>ABS(R$25-R$28)&gt;=1000</formula>
    </cfRule>
  </conditionalFormatting>
  <conditionalFormatting sqref="S22:S29">
    <cfRule type="expression" dxfId="1619" priority="30">
      <formula>ABS(S$25-S$28)&gt;=1000</formula>
    </cfRule>
  </conditionalFormatting>
  <conditionalFormatting sqref="T22:T29">
    <cfRule type="expression" dxfId="1618" priority="29">
      <formula>ABS(T$25-T$28)&gt;=1000</formula>
    </cfRule>
  </conditionalFormatting>
  <conditionalFormatting sqref="U22:U29">
    <cfRule type="expression" dxfId="1617" priority="28">
      <formula>ABS(U$25-U$28)&gt;=1000</formula>
    </cfRule>
  </conditionalFormatting>
  <conditionalFormatting sqref="V22:V29">
    <cfRule type="expression" dxfId="1616" priority="27">
      <formula>ABS(V$25-V$28)&gt;=1000</formula>
    </cfRule>
  </conditionalFormatting>
  <conditionalFormatting sqref="W22:W29">
    <cfRule type="expression" dxfId="1615" priority="26">
      <formula>ABS(W$25-W$28)&gt;=1000</formula>
    </cfRule>
  </conditionalFormatting>
  <conditionalFormatting sqref="X22:X29">
    <cfRule type="expression" dxfId="1614" priority="25">
      <formula>ABS(X$25-X$28)&gt;=1000</formula>
    </cfRule>
  </conditionalFormatting>
  <conditionalFormatting sqref="Y22:Y29">
    <cfRule type="expression" dxfId="1613" priority="24">
      <formula>ABS(Y$25-Y$28)&gt;=1000</formula>
    </cfRule>
  </conditionalFormatting>
  <conditionalFormatting sqref="I23">
    <cfRule type="expression" dxfId="1612" priority="23">
      <formula>ABS(I$25-I$28)&gt;=1000</formula>
    </cfRule>
  </conditionalFormatting>
  <conditionalFormatting sqref="Q14">
    <cfRule type="expression" dxfId="1611" priority="22">
      <formula>ABS(Q$16-Q$19)&gt;=1000</formula>
    </cfRule>
  </conditionalFormatting>
  <conditionalFormatting sqref="W14">
    <cfRule type="expression" dxfId="1610" priority="21">
      <formula>ABS(W$16-W$19)&gt;=1000</formula>
    </cfRule>
  </conditionalFormatting>
  <conditionalFormatting sqref="X14">
    <cfRule type="expression" dxfId="1609" priority="20">
      <formula>ABS(X$16-X$19)&gt;=1000</formula>
    </cfRule>
  </conditionalFormatting>
  <conditionalFormatting sqref="T10:Y10">
    <cfRule type="expression" dxfId="1608" priority="19">
      <formula>ABS(T$7-T$10)&gt;=1000</formula>
    </cfRule>
  </conditionalFormatting>
  <conditionalFormatting sqref="W19">
    <cfRule type="expression" dxfId="1607" priority="18">
      <formula>ABS(W$16-W$19)&gt;=1000</formula>
    </cfRule>
  </conditionalFormatting>
  <conditionalFormatting sqref="AC5">
    <cfRule type="expression" dxfId="1606" priority="17">
      <formula>ABS(AC$7-AC$10)&gt;=1000</formula>
    </cfRule>
  </conditionalFormatting>
  <conditionalFormatting sqref="M14">
    <cfRule type="expression" dxfId="1605" priority="16">
      <formula>ABS(M$16-M$19)&gt;=1000</formula>
    </cfRule>
  </conditionalFormatting>
  <conditionalFormatting sqref="M16">
    <cfRule type="expression" dxfId="1604" priority="15">
      <formula>ABS(M$16-M$19)&gt;=1000</formula>
    </cfRule>
  </conditionalFormatting>
  <conditionalFormatting sqref="M19">
    <cfRule type="expression" dxfId="1603" priority="14">
      <formula>ABS(M$16-M$19)&gt;=1000</formula>
    </cfRule>
  </conditionalFormatting>
  <conditionalFormatting sqref="K13:K20">
    <cfRule type="expression" dxfId="1602" priority="13">
      <formula>ABS(K$16-K$19)&gt;=1000</formula>
    </cfRule>
  </conditionalFormatting>
  <conditionalFormatting sqref="E5">
    <cfRule type="expression" dxfId="1601" priority="12">
      <formula>ABS(E$7-E$10)&gt;=1000</formula>
    </cfRule>
  </conditionalFormatting>
  <conditionalFormatting sqref="AB14:AC14">
    <cfRule type="expression" dxfId="1600" priority="11">
      <formula>ABS(AB$16-AB$19)&gt;=1000</formula>
    </cfRule>
  </conditionalFormatting>
  <conditionalFormatting sqref="M5">
    <cfRule type="expression" dxfId="1599" priority="10">
      <formula>ABS(M$7-M$10)&gt;=1000</formula>
    </cfRule>
  </conditionalFormatting>
  <conditionalFormatting sqref="N5">
    <cfRule type="expression" dxfId="1598" priority="9">
      <formula>ABS(N$7-N$10)&gt;=1000</formula>
    </cfRule>
  </conditionalFormatting>
  <conditionalFormatting sqref="O5">
    <cfRule type="expression" dxfId="1597" priority="8">
      <formula>ABS(O$7-O$10)&gt;=1000</formula>
    </cfRule>
  </conditionalFormatting>
  <conditionalFormatting sqref="P5">
    <cfRule type="expression" dxfId="1596" priority="7">
      <formula>ABS(P$7-P$10)&gt;=1000</formula>
    </cfRule>
  </conditionalFormatting>
  <conditionalFormatting sqref="L23">
    <cfRule type="expression" dxfId="1595" priority="6">
      <formula>ABS(L$25-L$28)&gt;=1000</formula>
    </cfRule>
  </conditionalFormatting>
  <conditionalFormatting sqref="Y14">
    <cfRule type="expression" dxfId="1594" priority="5">
      <formula>ABS(Y$16-Y$19)&gt;=1000</formula>
    </cfRule>
  </conditionalFormatting>
  <conditionalFormatting sqref="F14">
    <cfRule type="expression" dxfId="1593" priority="4">
      <formula>ABS(F$16-F$19)&gt;=1000</formula>
    </cfRule>
  </conditionalFormatting>
  <conditionalFormatting sqref="H14">
    <cfRule type="expression" dxfId="1592" priority="3">
      <formula>ABS(H$16-H$19)&gt;=1000</formula>
    </cfRule>
  </conditionalFormatting>
  <conditionalFormatting sqref="AD5">
    <cfRule type="expression" dxfId="1591" priority="2">
      <formula>ABS(AD$7-AD$10)&gt;=1000</formula>
    </cfRule>
  </conditionalFormatting>
  <conditionalFormatting sqref="AE5">
    <cfRule type="expression" dxfId="159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97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88">
    <pageSetUpPr fitToPage="1"/>
  </sheetPr>
  <dimension ref="A1:CU223"/>
  <sheetViews>
    <sheetView view="pageBreakPreview" zoomScale="59" zoomScaleNormal="100" zoomScaleSheetLayoutView="59" workbookViewId="0">
      <selection activeCell="Z13" sqref="Z13:Z2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46156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4" t="s" ph="1">
        <v>177</v>
      </c>
      <c r="D6" s="71">
        <v>3008</v>
      </c>
      <c r="E6" s="71">
        <v>8493</v>
      </c>
      <c r="F6" s="71">
        <v>5830</v>
      </c>
      <c r="G6" s="71">
        <v>769</v>
      </c>
      <c r="H6" s="71">
        <v>9149</v>
      </c>
      <c r="I6" s="71">
        <v>55.15</v>
      </c>
      <c r="J6" s="71">
        <v>6.3</v>
      </c>
      <c r="K6" s="71">
        <v>7.41</v>
      </c>
      <c r="L6" s="71">
        <v>7.86</v>
      </c>
      <c r="M6" s="71">
        <v>2331</v>
      </c>
      <c r="N6" s="71">
        <v>1997</v>
      </c>
      <c r="O6" s="71">
        <v>2234</v>
      </c>
      <c r="P6" s="71">
        <v>1032</v>
      </c>
      <c r="Q6" s="71">
        <v>5792</v>
      </c>
      <c r="R6" s="71">
        <v>7119</v>
      </c>
      <c r="S6" s="71">
        <v>6207</v>
      </c>
      <c r="T6" s="71">
        <v>7137</v>
      </c>
      <c r="U6" s="71">
        <v>7017</v>
      </c>
      <c r="V6" s="71">
        <v>3464</v>
      </c>
      <c r="W6" s="71">
        <v>0</v>
      </c>
      <c r="X6" s="71">
        <v>0</v>
      </c>
      <c r="Y6" s="71">
        <v>0</v>
      </c>
      <c r="Z6" s="71">
        <v>3324</v>
      </c>
      <c r="AA6" s="71">
        <v>2902</v>
      </c>
      <c r="AB6" s="71">
        <v>5712</v>
      </c>
      <c r="AC6" s="71">
        <v>3352</v>
      </c>
      <c r="AD6" s="71">
        <v>2101</v>
      </c>
      <c r="AE6" s="71">
        <v>4990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94498.345647359994</v>
      </c>
      <c r="E7" s="73" ph="1">
        <f>E6*51.53*LOOKUP(E8,密度!$A$2:$A$50,密度!$B$2:$B$50)</f>
        <v>341187.48848400003</v>
      </c>
      <c r="F7" s="73" ph="1">
        <f>F6*33.183*LOOKUP(F8,密度!$A$2:$A$50,密度!$C$2:$C$50)</f>
        <v>214659.76514399998</v>
      </c>
      <c r="G7" s="73" ph="1">
        <f xml:space="preserve"> (G6+2)*51.53*LOOKUP(G8,密度!$A$2:$A$50,密度!$B$2:$B$50)</f>
        <v>31116.246216</v>
      </c>
      <c r="H7" s="73" ph="1">
        <f>(H6)*51.53*LOOKUP(H8,密度!$A$2:$A$50,密度!$B$2:$B$50)</f>
        <v>369238.05010400002</v>
      </c>
      <c r="I7" s="73" ph="1">
        <f>I6*290.8*1.0267</f>
        <v>16465.824454000001</v>
      </c>
      <c r="J7" s="73" ph="1">
        <f>J6*290.8*0.7892</f>
        <v>1445.8459680000001</v>
      </c>
      <c r="K7" s="73" ph="1">
        <f>K6*290.8*1.1126</f>
        <v>2397.4616328000002</v>
      </c>
      <c r="L7" s="73" ph="1">
        <f>L6*290.8*0.777</f>
        <v>1775.9795760000002</v>
      </c>
      <c r="M7" s="73" ph="1">
        <f>M6*33.183*LOOKUP(M8,密度!$A$2:$A$50,密度!$D$2:$D$50)</f>
        <v>79267.842410400001</v>
      </c>
      <c r="N7" s="73" ph="1">
        <f>N6*33.183*LOOKUP(N8,密度!$A$2:$A$50,密度!$E$2:$E$50)</f>
        <v>51754.098231000004</v>
      </c>
      <c r="O7" s="73" ph="1">
        <f>O6*20.428*LOOKUP(O8,密度!$A$2:$A$50,密度!$C$2:$C$50)</f>
        <v>50500.965803200001</v>
      </c>
      <c r="P7" s="73" ph="1">
        <f>P6*51.53*LOOKUP(P8,密度!$A$2:$A$50,密度!$B$2:$B$50)</f>
        <v>41506.17828</v>
      </c>
      <c r="Q7" s="73" ph="1">
        <f>Q6*1.5*1.5*3.1416*LOOKUP(W8,密度!$A$2:$A$50,密度!$L$2:$L$50)</f>
        <v>38362.027334400002</v>
      </c>
      <c r="R7" s="73" ph="1">
        <f>R6*1.5*1.5*3.1416*LOOKUP(R8,密度!$A$2:$A$50,密度!$L$2:$L$50)</f>
        <v>47151.117505800008</v>
      </c>
      <c r="S7" s="73" ph="1">
        <f>S6*1.5*1.5*3.1416*LOOKUP(S8,密度!$A$2:$A$50,密度!$L$2:$L$50)</f>
        <v>41286.186988199996</v>
      </c>
      <c r="T7" s="73" ph="1">
        <f>T6*1.5*1.5*3.1416*LOOKUP(T8,密度!$A$2:$A$50,密度!$L$2:$L$50)</f>
        <v>47522.579504399997</v>
      </c>
      <c r="U7" s="73" ph="1">
        <f>U6*1.5*1.5*3.1416*LOOKUP(U8,密度!$A$2:$A$50,密度!$L$2:$L$50)</f>
        <v>46574.743861799994</v>
      </c>
      <c r="V7" s="73" ph="1">
        <f>V6*1.5*1.5*3.1416*LOOKUP(V8,密度!$A$2:$A$50,密度!$L$2:$L$50)</f>
        <v>22943.035684800001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103571.97418799999</v>
      </c>
      <c r="AA7" s="73" ph="1">
        <f>AA6*33.183*LOOKUP(AA8,密度!$A$2:$A$50,密度!$D$2:$D$50)</f>
        <v>99137.829447000011</v>
      </c>
      <c r="AB7" s="73" ph="1">
        <f>AB6*20.428*LOOKUP(AB8,密度!$A$2:$A$50,密度!$D$2:$D$50)</f>
        <v>120441.9844992</v>
      </c>
      <c r="AC7" s="73" ph="1">
        <f>AC6*51.53*LOOKUP(AC8,密度!$A$2:$A$50,密度!$Q$2:$Q$50)</f>
        <v>164157.76885279999</v>
      </c>
      <c r="AD7" s="73" ph="1">
        <f>AD6*20.428*LOOKUP(AD8,密度!$A$2:$A$50,密度!$V$2:$V$50)</f>
        <v>41236.794262399999</v>
      </c>
      <c r="AE7" s="73" ph="1">
        <f>AE6*20.428</f>
        <v>101935.72</v>
      </c>
    </row>
    <row r="8" spans="1:99" ph="1">
      <c r="B8" s="241" ph="1"/>
      <c r="C8" s="68" t="s" ph="1">
        <v>179</v>
      </c>
      <c r="D8" s="74">
        <v>25</v>
      </c>
      <c r="E8" s="74">
        <v>25</v>
      </c>
      <c r="F8" s="74">
        <v>24</v>
      </c>
      <c r="G8" s="74">
        <v>21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27</v>
      </c>
      <c r="O8" s="74">
        <v>28</v>
      </c>
      <c r="P8" s="74">
        <v>24</v>
      </c>
      <c r="Q8" s="74">
        <v>27</v>
      </c>
      <c r="R8" s="74">
        <v>25</v>
      </c>
      <c r="S8" s="74">
        <v>21</v>
      </c>
      <c r="T8" s="74">
        <v>20</v>
      </c>
      <c r="U8" s="74">
        <v>23</v>
      </c>
      <c r="V8" s="74">
        <v>25</v>
      </c>
      <c r="W8" s="74">
        <v>25</v>
      </c>
      <c r="X8" s="74">
        <v>17</v>
      </c>
      <c r="Y8" s="74">
        <v>24</v>
      </c>
      <c r="Z8" s="74">
        <v>23</v>
      </c>
      <c r="AA8" s="74">
        <v>22</v>
      </c>
      <c r="AB8" s="74">
        <v>19</v>
      </c>
      <c r="AC8" s="74">
        <v>20</v>
      </c>
      <c r="AD8" s="74">
        <v>24</v>
      </c>
      <c r="AE8" s="74">
        <v>26</v>
      </c>
    </row>
    <row r="9" spans="1:99" ht="26.4" ph="1">
      <c r="B9" s="241" ph="1">
        <v>0.66666666666666663</v>
      </c>
      <c r="C9" s="154" t="s" ph="1">
        <v>180</v>
      </c>
      <c r="D9" s="71">
        <v>3007</v>
      </c>
      <c r="E9" s="71">
        <v>8141</v>
      </c>
      <c r="F9" s="71">
        <v>5831</v>
      </c>
      <c r="G9" s="71">
        <v>330</v>
      </c>
      <c r="H9" s="71">
        <v>9147</v>
      </c>
      <c r="I9" s="71">
        <v>12.22</v>
      </c>
      <c r="J9" s="71">
        <v>6.35</v>
      </c>
      <c r="K9" s="71">
        <v>7.44</v>
      </c>
      <c r="L9" s="71">
        <v>72.319999999999993</v>
      </c>
      <c r="M9" s="71">
        <v>3001</v>
      </c>
      <c r="N9" s="71">
        <v>1998</v>
      </c>
      <c r="O9" s="71">
        <v>954</v>
      </c>
      <c r="P9" s="71">
        <v>532</v>
      </c>
      <c r="Q9" s="71">
        <v>1420</v>
      </c>
      <c r="R9" s="71">
        <v>7117</v>
      </c>
      <c r="S9" s="71">
        <v>6205</v>
      </c>
      <c r="T9" s="71">
        <v>7135</v>
      </c>
      <c r="U9" s="71">
        <v>7015</v>
      </c>
      <c r="V9" s="71">
        <v>6187</v>
      </c>
      <c r="W9" s="71">
        <v>2633</v>
      </c>
      <c r="X9" s="71">
        <v>0</v>
      </c>
      <c r="Y9" s="71">
        <v>0</v>
      </c>
      <c r="Z9" s="71">
        <v>1023</v>
      </c>
      <c r="AA9" s="71">
        <v>2623</v>
      </c>
      <c r="AB9" s="71">
        <v>5472</v>
      </c>
      <c r="AC9" s="71">
        <v>3350</v>
      </c>
      <c r="AD9" s="71">
        <v>2727</v>
      </c>
      <c r="AE9" s="71">
        <v>4834</v>
      </c>
    </row>
    <row r="10" spans="1:99" s="72" customFormat="1" ht="22.2" ph="1">
      <c r="B10" s="241" ph="1"/>
      <c r="C10" s="154" t="s" ph="1">
        <v>178</v>
      </c>
      <c r="D10" s="73" ph="1">
        <f>D9*33.183*LOOKUP(D11,密度!$A$2:$A$50,密度!$Q$2:$Q$50)</f>
        <v>94539.770309070009</v>
      </c>
      <c r="E10" s="73" ph="1">
        <f>E9*51.53*LOOKUP(E11,密度!$A$2:$A$50,密度!$B$2:$B$50)</f>
        <v>327424.22226499999</v>
      </c>
      <c r="F10" s="73" ph="1">
        <f>F9*33.183*LOOKUP(F11,密度!$A$2:$A$50,密度!$C$2:$C$50)</f>
        <v>214696.5850008</v>
      </c>
      <c r="G10" s="73" ph="1">
        <f xml:space="preserve"> (G9+2)*51.53*LOOKUP(G11,密度!$A$2:$A$50,密度!$B$2:$B$50)</f>
        <v>13414.351435999999</v>
      </c>
      <c r="H10" s="73" ph="1">
        <f>(H9)*51.53*LOOKUP(H11,密度!$A$2:$A$50,密度!$B$2:$B$50)</f>
        <v>369581.54393100005</v>
      </c>
      <c r="I10" s="73" ph="1">
        <f>I9*290.8*1.0267</f>
        <v>3648.4564792000001</v>
      </c>
      <c r="J10" s="73" ph="1">
        <f>J9*290.8*0.7892</f>
        <v>1457.3209360000001</v>
      </c>
      <c r="K10" s="73" ph="1">
        <f>K9*290.8*1.1126</f>
        <v>2407.1679552000001</v>
      </c>
      <c r="L10" s="73" ph="1">
        <f>L9*290.8*0.777</f>
        <v>16340.819712</v>
      </c>
      <c r="M10" s="73" ph="1">
        <f>M9*33.183*LOOKUP(M11,密度!$A$2:$A$50,密度!$D$2:$D$50)</f>
        <v>101962.19717370001</v>
      </c>
      <c r="N10" s="73" ph="1">
        <f>N9*33.183*LOOKUP(N11,密度!$A$2:$A$50,密度!$E$2:$E$50)</f>
        <v>51780.014154000004</v>
      </c>
      <c r="O10" s="73" ph="1">
        <f>O9*20.428*LOOKUP(O11,密度!$A$2:$A$50,密度!$C$2:$C$50)</f>
        <v>21682.695931200004</v>
      </c>
      <c r="P10" s="73" ph="1">
        <f>P9*51.53*LOOKUP(P11,密度!$A$2:$A$50,密度!$B$2:$B$50)</f>
        <v>21495.286036000001</v>
      </c>
      <c r="Q10" s="73" ph="1">
        <f>Q9*1.5*1.5*3.1416*LOOKUP(W11,密度!$A$2:$A$50,密度!$L$2:$L$50)</f>
        <v>9445.2046919999993</v>
      </c>
      <c r="R10" s="73" ph="1">
        <f>R9*1.5*1.5*3.1416*LOOKUP(R11,密度!$A$2:$A$50,密度!$L$2:$L$50)</f>
        <v>46986.949270800003</v>
      </c>
      <c r="S10" s="73" ph="1">
        <f>S9*1.5*1.5*3.1416*LOOKUP(S11,密度!$A$2:$A$50,密度!$L$2:$L$50)</f>
        <v>41009.719905000005</v>
      </c>
      <c r="T10" s="73" ph="1">
        <f>T9*1.5*1.5*3.1416*LOOKUP(T11,密度!$A$2:$A$50,密度!$L$2:$L$50)</f>
        <v>47509.262261999997</v>
      </c>
      <c r="U10" s="73" ph="1">
        <f>U9*1.5*1.5*3.1416*LOOKUP(U11,密度!$A$2:$A$50,密度!$L$2:$L$50)</f>
        <v>46462.296573</v>
      </c>
      <c r="V10" s="73" ph="1">
        <f>V9*1.5*1.5*3.1416*LOOKUP(V11,密度!$A$2:$A$50,密度!$L$2:$L$50)</f>
        <v>40978.222223400007</v>
      </c>
      <c r="W10" s="73" ph="1">
        <f>W9*1.5*1.5*3.1416*LOOKUP(W11,密度!$A$2:$A$50,密度!$L$2:$L$50)</f>
        <v>17513.537995800001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31977.328878</v>
      </c>
      <c r="AA10" s="73" ph="1">
        <f>AA9*33.183*LOOKUP(AA11,密度!$A$2:$A$50,密度!$D$2:$D$50)</f>
        <v>89528.324657400008</v>
      </c>
      <c r="AB10" s="73" ph="1">
        <f>AB9*20.428*LOOKUP(AB11,密度!$A$2:$A$50,密度!$D$2:$D$50)</f>
        <v>115291.97130240001</v>
      </c>
      <c r="AC10" s="73" ph="1">
        <f>AC9*51.53*LOOKUP(AC11,密度!$A$2:$A$50,密度!$Q$2:$Q$50)</f>
        <v>163557.48248500002</v>
      </c>
      <c r="AD10" s="73" ph="1">
        <f>AD9*20.428*LOOKUP(AD11,密度!$A$2:$A$50,密度!$V$2:$V$50)</f>
        <v>53523.4354848</v>
      </c>
      <c r="AE10" s="73" ph="1">
        <f>AE9*20.428</f>
        <v>98748.952000000005</v>
      </c>
    </row>
    <row r="11" spans="1:99" ph="1">
      <c r="A11" s="64" t="s" ph="1">
        <v>162</v>
      </c>
      <c r="B11" s="241" ph="1"/>
      <c r="C11" s="154" t="s" ph="1">
        <v>179</v>
      </c>
      <c r="D11" s="74">
        <v>24</v>
      </c>
      <c r="E11" s="74">
        <v>24</v>
      </c>
      <c r="F11" s="74">
        <v>24</v>
      </c>
      <c r="G11" s="74">
        <v>20</v>
      </c>
      <c r="H11" s="74">
        <v>20</v>
      </c>
      <c r="I11" s="74">
        <v>25</v>
      </c>
      <c r="J11" s="74">
        <v>25</v>
      </c>
      <c r="K11" s="74">
        <v>25</v>
      </c>
      <c r="L11" s="74">
        <v>25</v>
      </c>
      <c r="M11" s="74">
        <v>28</v>
      </c>
      <c r="N11" s="74">
        <v>27</v>
      </c>
      <c r="O11" s="74">
        <v>20</v>
      </c>
      <c r="P11" s="74">
        <v>20</v>
      </c>
      <c r="Q11" s="74">
        <v>26</v>
      </c>
      <c r="R11" s="74">
        <v>28</v>
      </c>
      <c r="S11" s="74">
        <v>27</v>
      </c>
      <c r="T11" s="74">
        <v>20</v>
      </c>
      <c r="U11" s="74">
        <v>25</v>
      </c>
      <c r="V11" s="74">
        <v>25</v>
      </c>
      <c r="W11" s="74">
        <v>21</v>
      </c>
      <c r="X11" s="74">
        <v>22</v>
      </c>
      <c r="Y11" s="74">
        <v>28</v>
      </c>
      <c r="Z11" s="74">
        <v>20</v>
      </c>
      <c r="AA11" s="74">
        <v>23</v>
      </c>
      <c r="AB11" s="74">
        <v>20</v>
      </c>
      <c r="AC11" s="74">
        <v>24</v>
      </c>
      <c r="AD11" s="74">
        <v>25</v>
      </c>
      <c r="AE11" s="74">
        <v>26</v>
      </c>
    </row>
    <row r="12" spans="1:99" ht="9.9" customHeight="1" ph="1"/>
    <row r="13" spans="1:99" s="72" customFormat="1" ht="29.25" customHeight="1" ph="1">
      <c r="B13" s="218" t="s" ph="1">
        <v>37</v>
      </c>
      <c r="C13" s="15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4" t="s" ph="1">
        <v>177</v>
      </c>
      <c r="D15" s="78">
        <v>5996</v>
      </c>
      <c r="E15" s="78">
        <v>111</v>
      </c>
      <c r="F15" s="78">
        <v>1163</v>
      </c>
      <c r="G15" s="78">
        <v>3496</v>
      </c>
      <c r="H15" s="78">
        <v>0</v>
      </c>
      <c r="I15" s="78">
        <v>1374</v>
      </c>
      <c r="J15" s="78">
        <v>5183</v>
      </c>
      <c r="K15" s="78">
        <v>2276</v>
      </c>
      <c r="L15" s="78">
        <v>5490</v>
      </c>
      <c r="M15" s="78">
        <v>3562</v>
      </c>
      <c r="N15" s="78">
        <v>523</v>
      </c>
      <c r="O15" s="78">
        <v>1959</v>
      </c>
      <c r="P15" s="78">
        <v>4602</v>
      </c>
      <c r="Q15" s="78">
        <v>3271</v>
      </c>
      <c r="R15" s="78">
        <v>0</v>
      </c>
      <c r="S15" s="78">
        <v>1379</v>
      </c>
      <c r="T15" s="78">
        <v>1464</v>
      </c>
      <c r="U15" s="78">
        <v>5363</v>
      </c>
      <c r="V15" s="78">
        <v>4675</v>
      </c>
      <c r="W15" s="71">
        <v>-737</v>
      </c>
      <c r="X15" s="78">
        <v>-321</v>
      </c>
      <c r="Y15" s="106">
        <v>-9906</v>
      </c>
      <c r="Z15" s="78">
        <v>0</v>
      </c>
      <c r="AA15" s="78">
        <v>265</v>
      </c>
      <c r="AB15" s="78" ph="1">
        <v>7126</v>
      </c>
      <c r="AC15" s="78" ph="1">
        <v>5952</v>
      </c>
      <c r="AD15" s="78">
        <v>5.55</v>
      </c>
      <c r="AE15" s="78">
        <v>56.63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4" t="s" ph="1">
        <v>178</v>
      </c>
      <c r="D16" s="73" ph="1">
        <f>D15*7.0686*LOOKUP(D17,密度!$A$2:$A$50,密度!$L$2:$L$50)</f>
        <v>39670.792761600002</v>
      </c>
      <c r="E16" s="73" ph="1">
        <f>E15*7.0686*LOOKUP(E17,密度!$A$2:$A$50,密度!$L$2:$L$50)</f>
        <v>734.39926560000004</v>
      </c>
      <c r="F16" s="73" ph="1">
        <f>F15*9.0746*LOOKUP(F17,密度!$A$2:$A$50,密度!$L$2:$L$50)</f>
        <v>9836.1041335999998</v>
      </c>
      <c r="G16" s="73" ph="1">
        <f>G15*9.0746*LOOKUP(G17,密度!$A$2:$A$50,密度!$B$2:$B$50)</f>
        <v>24732.65532736</v>
      </c>
      <c r="H16" s="73" ph="1">
        <f>H15*9.0746*LOOKUP(H17,密度!$A$2:$A$50,密度!$L$2:$L$50)</f>
        <v>0</v>
      </c>
      <c r="I16" s="73" ph="1">
        <f>I15*9.0746*LOOKUP(I17,密度!$A$2:$A$50,密度!$U$2:$U$50)</f>
        <v>12780.21291</v>
      </c>
      <c r="J16" s="73" ph="1">
        <f>J15*9.0746*LOOKUP(J17,密度!$A$2:$A$50,密度!$L$2:$L$50)</f>
        <v>43976.464433000001</v>
      </c>
      <c r="K16" s="73" ph="1">
        <f>K15*9.0746*LOOKUP(K17,密度!$A$2:$A$50,密度!$C$2:$C$50)</f>
        <v>22902.987287439999</v>
      </c>
      <c r="L16" s="73" ph="1">
        <f>L15*9.0746*LOOKUP(L17,密度!$A$2:$A$50,密度!$E$2:$E$50)</f>
        <v>38909.071674000006</v>
      </c>
      <c r="M16" s="73" ph="1">
        <f>M15*9.0746*LOOKUP(M17,密度!$A$2:$A$50,密度!$M$2:$M$50)</f>
        <v>28221.844472119999</v>
      </c>
      <c r="N16" s="73" ph="1">
        <f>N15*9.0746*LOOKUP(N17,密度!$A$2:$A$50,密度!$M$2:$M$50)</f>
        <v>4162.2558565999998</v>
      </c>
      <c r="O16" s="73" ph="1">
        <f>O15*9.0746*LOOKUP(O17,密度!$A$2:$A$50,密度!$G$2:$G$50)</f>
        <v>17069.611172280001</v>
      </c>
      <c r="P16" s="73" ph="1">
        <f ca="1">P15*9.0746*LOOKUP(P17,密度!$A$2:$A$51,密度!$Q$2:$Q$50)</f>
        <v>39477.800812944006</v>
      </c>
      <c r="Q16" s="73" ph="1">
        <f>Q15*9.0746*LOOKUP(Q17,密度!$A$2:$A$50,密度!$Q$2:$Q$50)</f>
        <v>28081.024194098001</v>
      </c>
      <c r="R16" s="73" ph="1">
        <f>MAX(R15*9.0746*LOOKUP(R17,密度!$A$2:$A$50,密度!$B$2:$B$50),0)</f>
        <v>0</v>
      </c>
      <c r="S16" s="73" ph="1">
        <f>S15*9.0746*LOOKUP(S17,密度!$A$2:$A$50,密度!$Q$2:$Q$50)</f>
        <v>11838.499652602</v>
      </c>
      <c r="T16" s="73" ph="1">
        <f>T15*9.0746*LOOKUP(T17,密度!$A$2:$A$50,密度!$O$2:$O$50)</f>
        <v>12302.108534400002</v>
      </c>
      <c r="U16" s="73" ph="1">
        <f>U15*9.0746*LOOKUP(U17,密度!$A$2:$A$50,密度!$H$2:$H$50)</f>
        <v>44613.112052659999</v>
      </c>
      <c r="V16" s="73" ph="1">
        <f>MAX(5600*LOOKUP(V17,密度!$A$2:$A$50,密度!$Q$2:$Q$50)+V15*9.0476*LOOKUP(V17,密度!$A$2:$A$50,密度!$Q$2:$Q$50),0)</f>
        <v>45244.964788600002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2815.9495298400007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1879.0864966000001</v>
      </c>
      <c r="AB16" s="73" ph="1">
        <f>AB15*9.0746*LOOKUP(AB17,密度!$A$2:$A$50,密度!$L$2:$L$50)</f>
        <v>60527.001225600005</v>
      </c>
      <c r="AC16" s="73" ph="1">
        <f>AC15*9.0746*LOOKUP(AC17,密度!$A$2:$A$50,密度!$L$2:$L$50)</f>
        <v>50447.225932800007</v>
      </c>
      <c r="AD16" s="73" ph="1">
        <f>AD15*268.68*LOOKUP(AD17,密度!$A$2:$A$50,密度!B2:B50)+IF(AD15&lt;=0,0,1566*LOOKUP(AD17,密度!$A$2:$A$50,密度!B2:B50))</f>
        <v>2383.3728504000001</v>
      </c>
      <c r="AE16" s="73" ph="1">
        <f>AE15*268.68*LOOKUP(AE17,密度!$A$2:$A$50,密度!B2:B50)+IF(AE15&lt;=0,0,1566*LOOKUP(AE17,密度!$A$2:$A$50,密度!B2:B50))</f>
        <v>13082.739212640001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26</v>
      </c>
      <c r="E17" s="74">
        <v>26</v>
      </c>
      <c r="F17" s="74">
        <v>30</v>
      </c>
      <c r="G17" s="74">
        <v>25</v>
      </c>
      <c r="H17" s="74">
        <v>20</v>
      </c>
      <c r="I17" s="74">
        <v>25</v>
      </c>
      <c r="J17" s="74">
        <v>27</v>
      </c>
      <c r="K17" s="74">
        <v>25</v>
      </c>
      <c r="L17" s="74">
        <v>27</v>
      </c>
      <c r="M17" s="74">
        <v>27</v>
      </c>
      <c r="N17" s="74">
        <v>23</v>
      </c>
      <c r="O17" s="74">
        <v>25</v>
      </c>
      <c r="P17" s="74">
        <v>27</v>
      </c>
      <c r="Q17" s="74">
        <v>26</v>
      </c>
      <c r="R17" s="74">
        <v>26</v>
      </c>
      <c r="S17" s="74">
        <v>26</v>
      </c>
      <c r="T17" s="74">
        <v>25</v>
      </c>
      <c r="U17" s="74">
        <v>23</v>
      </c>
      <c r="V17" s="74">
        <v>28</v>
      </c>
      <c r="W17" s="74">
        <v>28</v>
      </c>
      <c r="X17" s="74">
        <v>23</v>
      </c>
      <c r="Y17" s="108">
        <v>23</v>
      </c>
      <c r="Z17" s="74">
        <v>25</v>
      </c>
      <c r="AA17" s="74">
        <v>23</v>
      </c>
      <c r="AB17" s="74">
        <v>26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5991</v>
      </c>
      <c r="E18" s="71">
        <v>2254</v>
      </c>
      <c r="F18" s="71">
        <v>1164</v>
      </c>
      <c r="G18" s="71">
        <v>3582</v>
      </c>
      <c r="H18" s="71">
        <v>0</v>
      </c>
      <c r="I18" s="71">
        <v>2890</v>
      </c>
      <c r="J18" s="71">
        <v>5180</v>
      </c>
      <c r="K18" s="71">
        <v>2276</v>
      </c>
      <c r="L18" s="71">
        <v>5485</v>
      </c>
      <c r="M18" s="71">
        <v>3560</v>
      </c>
      <c r="N18" s="71">
        <v>522</v>
      </c>
      <c r="O18" s="71">
        <v>1959</v>
      </c>
      <c r="P18" s="71">
        <v>4597</v>
      </c>
      <c r="Q18" s="71">
        <v>3270</v>
      </c>
      <c r="R18" s="71">
        <v>0</v>
      </c>
      <c r="S18" s="71">
        <v>1718</v>
      </c>
      <c r="T18" s="71">
        <v>908</v>
      </c>
      <c r="U18" s="71">
        <v>5358</v>
      </c>
      <c r="V18" s="71">
        <v>3221</v>
      </c>
      <c r="W18" s="71">
        <v>-737</v>
      </c>
      <c r="X18" s="71">
        <v>-320</v>
      </c>
      <c r="Y18" s="109">
        <v>-9905</v>
      </c>
      <c r="Z18" s="71">
        <v>0</v>
      </c>
      <c r="AA18" s="71">
        <v>265</v>
      </c>
      <c r="AB18" s="71">
        <v>7124</v>
      </c>
      <c r="AC18" s="71">
        <v>6419</v>
      </c>
      <c r="AD18" s="71">
        <v>30.33</v>
      </c>
      <c r="AE18" s="71">
        <v>84.62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4" t="s" ph="1">
        <v>178</v>
      </c>
      <c r="D19" s="73" ph="1">
        <f>D18*7.0686*LOOKUP(D20,密度!$A$2:$A$50,密度!$L$2:$L$50)</f>
        <v>39680.059696200005</v>
      </c>
      <c r="E19" s="73" ph="1">
        <f>E18*7.0686*LOOKUP(E20,密度!$A$2:$A$50,密度!$L$2:$L$50)</f>
        <v>14928.869062800002</v>
      </c>
      <c r="F19" s="73" ph="1">
        <f>F18*9.0746*LOOKUP(F20,密度!$A$2:$A$50,密度!$L$2:$L$50)</f>
        <v>9823.4359920000006</v>
      </c>
      <c r="G19" s="73" ph="1">
        <f>G18*9.0746*LOOKUP(G20,密度!$A$2:$A$50,密度!$B$2:$B$50)</f>
        <v>25311.812633639998</v>
      </c>
      <c r="H19" s="73" ph="1">
        <f>H18*9.0746*LOOKUP(H20,密度!$A$2:$A$50,密度!$L$2:$L$50)</f>
        <v>0</v>
      </c>
      <c r="I19" s="73" ph="1">
        <f>I18*9.0746*LOOKUP(I20,密度!$A$2:$A$50,密度!$U$2:$U$50)</f>
        <v>26959.910632000003</v>
      </c>
      <c r="J19" s="73" ph="1">
        <f>J18*9.0746*LOOKUP(J20,密度!$A$2:$A$50,密度!$L$2:$L$50)</f>
        <v>43904.003752000004</v>
      </c>
      <c r="K19" s="73" ph="1">
        <f>K18*9.0746*LOOKUP(K20,密度!$A$2:$A$50,密度!$C$2:$C$50)</f>
        <v>22886.464255760002</v>
      </c>
      <c r="L19" s="73" ph="1">
        <f>L18*9.0746*LOOKUP(L20,密度!$A$2:$A$50,密度!$E$2:$E$50)</f>
        <v>38813.906343800008</v>
      </c>
      <c r="M19" s="73" ph="1">
        <f>M18*9.0746*LOOKUP(M20,密度!$A$2:$A$50,密度!$M$2:$M$50)</f>
        <v>28270.609557600001</v>
      </c>
      <c r="N19" s="73" ph="1">
        <f>N18*9.0746*LOOKUP(N20,密度!$A$2:$A$50,密度!$M$2:$M$50)</f>
        <v>4169.9293383599997</v>
      </c>
      <c r="O19" s="73" ph="1">
        <f>O18*9.0746*LOOKUP(O20,密度!$A$2:$A$50,密度!$G$2:$G$50)</f>
        <v>17012.7243198</v>
      </c>
      <c r="P19" s="73" ph="1">
        <f ca="1">P18*9.0746*LOOKUP(P20,密度!$A$2:$A$51,密度!$Q$2:$Q$50)</f>
        <v>39376.923657266008</v>
      </c>
      <c r="Q19" s="73" ph="1">
        <f>Q18*9.0746*LOOKUP(Q20,密度!$A$2:$A$50,密度!$Q$2:$Q$50)</f>
        <v>28093.507849080001</v>
      </c>
      <c r="R19" s="73" ph="1">
        <f>MAX(R18*9.0746*LOOKUP(R20,密度!$A$2:$A$50,密度!$B$2:$B$50),0)</f>
        <v>0</v>
      </c>
      <c r="S19" s="73" ph="1">
        <f>S18*9.0746*LOOKUP(S20,密度!$A$2:$A$50,密度!$Q$2:$Q$50)</f>
        <v>14706.668274124</v>
      </c>
      <c r="T19" s="73" ph="1">
        <f>T18*9.0746*LOOKUP(T20,密度!$A$2:$A$50,密度!$O$2:$O$50)</f>
        <v>7629.9962768000005</v>
      </c>
      <c r="U19" s="73" ph="1">
        <f>U18*9.0746*LOOKUP(U20,密度!$A$2:$A$50,密度!$H$2:$H$50)</f>
        <v>44342.996601600003</v>
      </c>
      <c r="V19" s="73" ph="1">
        <f>MAX(5600*LOOKUP(V20,密度!$A$2:$A$50,密度!$Q$2:$Q$50)+V18*9.0476*LOOKUP(V20,密度!$A$2:$A$50,密度!$Q$2:$Q$50),0)</f>
        <v>32842.609564272003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2822.1549312000006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1870.6698051000003</v>
      </c>
      <c r="AB19" s="73" ph="1">
        <f>AB18*9.0746*LOOKUP(AB20,密度!$A$2:$A$50,密度!$L$2:$L$50)</f>
        <v>60445.366124000007</v>
      </c>
      <c r="AC19" s="73" ph="1">
        <f>AC18*9.0746*LOOKUP(AC20,密度!$A$2:$A$50,密度!$L$2:$L$50)</f>
        <v>54347.116954200006</v>
      </c>
      <c r="AD19" s="73" ph="1">
        <f>AD18*268.68*LOOKUP(AD20,密度!$A$2:$A$50,密度!B5:B53)+IF(AD18&lt;=0,0,1566*LOOKUP(AD20,密度!$A$2:$A$50,密度!B5:B53))</f>
        <v>7548.6050387999994</v>
      </c>
      <c r="AE19" s="73" ph="1">
        <f>AE18*268.68*LOOKUP(AE20,密度!$A$2:$A$50,密度!B5:B53)+IF(AE18&lt;=0,0,1566*LOOKUP(AE20,密度!$A$2:$A$50,密度!B5:B53))</f>
        <v>18882.422143200001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25</v>
      </c>
      <c r="E20" s="81">
        <v>25</v>
      </c>
      <c r="F20" s="81">
        <v>32</v>
      </c>
      <c r="G20" s="81">
        <v>26</v>
      </c>
      <c r="H20" s="81">
        <v>24</v>
      </c>
      <c r="I20" s="81">
        <v>20</v>
      </c>
      <c r="J20" s="81">
        <v>28</v>
      </c>
      <c r="K20" s="81">
        <v>26</v>
      </c>
      <c r="L20" s="81">
        <v>28</v>
      </c>
      <c r="M20" s="81">
        <v>25</v>
      </c>
      <c r="N20" s="81">
        <v>20</v>
      </c>
      <c r="O20" s="81">
        <v>28</v>
      </c>
      <c r="P20" s="81">
        <v>29</v>
      </c>
      <c r="Q20" s="81">
        <v>25</v>
      </c>
      <c r="R20" s="81">
        <v>29</v>
      </c>
      <c r="S20" s="81">
        <v>30</v>
      </c>
      <c r="T20" s="81">
        <v>28</v>
      </c>
      <c r="U20" s="81">
        <v>28</v>
      </c>
      <c r="V20" s="81">
        <v>27</v>
      </c>
      <c r="W20" s="81">
        <v>28</v>
      </c>
      <c r="X20" s="81">
        <v>24</v>
      </c>
      <c r="Y20" s="110">
        <v>24</v>
      </c>
      <c r="Z20" s="81">
        <v>28</v>
      </c>
      <c r="AA20" s="81">
        <v>27</v>
      </c>
      <c r="AB20" s="81">
        <v>27</v>
      </c>
      <c r="AC20" s="81">
        <v>29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4" t="s" ph="1">
        <v>177</v>
      </c>
      <c r="D24" s="71">
        <v>4.26</v>
      </c>
      <c r="E24" s="71">
        <v>5.64</v>
      </c>
      <c r="F24" s="71">
        <v>0</v>
      </c>
      <c r="G24" s="71">
        <v>2726</v>
      </c>
      <c r="H24" s="71">
        <v>3110</v>
      </c>
      <c r="I24" s="71">
        <v>80</v>
      </c>
      <c r="J24" s="71">
        <v>218</v>
      </c>
      <c r="K24" s="71">
        <v>248</v>
      </c>
      <c r="L24" s="71">
        <v>469</v>
      </c>
      <c r="M24" s="71">
        <v>4852</v>
      </c>
      <c r="N24" s="71">
        <v>2464</v>
      </c>
      <c r="O24" s="71">
        <v>4081</v>
      </c>
      <c r="P24" s="71">
        <v>1162</v>
      </c>
      <c r="Q24" s="90">
        <v>4829</v>
      </c>
      <c r="R24" s="71">
        <v>3153</v>
      </c>
      <c r="S24" s="71">
        <v>567</v>
      </c>
      <c r="T24" s="71">
        <v>1031</v>
      </c>
      <c r="U24" s="71">
        <v>6905</v>
      </c>
      <c r="V24" s="71">
        <v>5974</v>
      </c>
      <c r="W24" s="71">
        <v>3881</v>
      </c>
      <c r="X24" s="71">
        <v>2381</v>
      </c>
      <c r="Y24" s="71">
        <v>2942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2566.2114796320002</v>
      </c>
      <c r="E25" s="91" ph="1">
        <f>E24*268.68*LOOKUP(E26,密度!$A$2:$A$50,密度!$C$2:$C$50)+IF(E24&lt;=0,0,1566*LOOKUP(E26,密度!$A$2:$A$50,密度!$C$2:$C$50))</f>
        <v>3416.9147812800002</v>
      </c>
      <c r="F25" s="91" ph="1">
        <f>F24*11.702*LOOKUP(F26,密度!$A$2:$A$50,密度!$Q$2:$Q$50)</f>
        <v>0</v>
      </c>
      <c r="G25" s="91" ph="1">
        <f>G24*18.322*LOOKUP(G26,密度!$A$2:$A$50,密度!$B$2:$B$50)</f>
        <v>39027.626240799997</v>
      </c>
      <c r="H25" s="91" ph="1">
        <f>H24*18.322*LOOKUP(H26,密度!$A$2:$A$50,密度!$B$2:$B$50)</f>
        <v>44576.564866000001</v>
      </c>
      <c r="I25" s="91" ph="1">
        <f>I24*18.322*LOOKUP(I26,密度!$A$2:$A$50,密度!$Q$2:$Q$50)</f>
        <v>1391.1381584000001</v>
      </c>
      <c r="J25" s="91" ph="1">
        <f>J24*18.322*LOOKUP(J26,密度!$A$2:$A$50,密度!$Q$2:$Q$50)</f>
        <v>3787.2966472000003</v>
      </c>
      <c r="K25" s="91" ph="1">
        <f>K24*18.322*LOOKUP(K26,密度!$A$2:$A$50,密度!$Q$2:$Q$50)</f>
        <v>4312.5282910400001</v>
      </c>
      <c r="L25" s="91" ph="1">
        <f>L24*18.322*LOOKUP(L26,密度!$A$2:$A$50,密度!$Q$2:$Q$50)</f>
        <v>8155.5474536199999</v>
      </c>
      <c r="M25" s="91" ph="1">
        <f>M24*18.322*LOOKUP(M26,密度!$A$2:$A$50,密度!$Q$2:$Q$50)</f>
        <v>84293.409780800008</v>
      </c>
      <c r="N25" s="91" ph="1">
        <f>N24*18.322*LOOKUP(N26,密度!$A$2:$A$50,密度!$Q$2:$Q$50)</f>
        <v>42806.875865599999</v>
      </c>
      <c r="O25" s="91" ph="1">
        <f>O24*18.322*LOOKUP(O26,密度!$A$2:$A$50,密度!$C$2:$C$50)</f>
        <v>83139.077975799999</v>
      </c>
      <c r="P25" s="91" ph="1">
        <f>P24*11.702*LOOKUP(P26,密度!$A$2:$A$50,密度!$B$2:$B$50)</f>
        <v>10625.2615336</v>
      </c>
      <c r="Q25" s="92" ph="1">
        <f>Q24*18.322*LOOKUP(Q26,密度!$A$2:$A$50,密度!$B$2:$B$50)</f>
        <v>69215.508597399996</v>
      </c>
      <c r="R25" s="91" ph="1">
        <f>R24*35.891*LOOKUP(R26,密度!$A$2:$A$50,密度!$C$2:$C$50)</f>
        <v>125657.6642592</v>
      </c>
      <c r="S25" s="91" ph="1">
        <f>S24*35.891*LOOKUP(S26,密度!$A$2:$A$50,密度!$B$2:$B$50)</f>
        <v>15901.643935799999</v>
      </c>
      <c r="T25" s="91" ph="1">
        <f>T24*35.891*LOOKUP(T26,密度!$A$2:$A$50,密度!$Q$2:$Q$50)</f>
        <v>35119.766654890002</v>
      </c>
      <c r="U25" s="91" ph="1">
        <f>U24*35.891</f>
        <v>247827.35499999998</v>
      </c>
      <c r="V25" s="91" ph="1">
        <f>V24*47.051*LOOKUP(V26,密度!$A$2:$A$50,密度!$B$2:$B$50)</f>
        <v>220143.95027679999</v>
      </c>
      <c r="W25" s="91" ph="1">
        <f>W24*47.051*LOOKUP(W26,密度!$A$2:$A$50,密度!$B$2:$B$50)</f>
        <v>142523.14864550001</v>
      </c>
      <c r="X25" s="91" ph="1">
        <f>X24*47.051*LOOKUP(X26,密度!$A$2:$A$61,密度!$I$2:$I$61)</f>
        <v>116890.46490540002</v>
      </c>
      <c r="Y25" s="91" ph="1">
        <f>Y24*47.051*LOOKUP(Y26,密度!$A$2:$A$50,密度!$L$2:$L$50)</f>
        <v>129841.75139600001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22</v>
      </c>
      <c r="G26" s="74">
        <v>23</v>
      </c>
      <c r="H26" s="74">
        <v>22</v>
      </c>
      <c r="I26" s="74">
        <v>22</v>
      </c>
      <c r="J26" s="74">
        <v>23</v>
      </c>
      <c r="K26" s="74">
        <v>22</v>
      </c>
      <c r="L26" s="74">
        <v>22</v>
      </c>
      <c r="M26" s="74">
        <v>23</v>
      </c>
      <c r="N26" s="74">
        <v>23</v>
      </c>
      <c r="O26" s="74">
        <v>21</v>
      </c>
      <c r="P26" s="74">
        <v>23</v>
      </c>
      <c r="Q26" s="93">
        <v>22</v>
      </c>
      <c r="R26" s="74">
        <v>23</v>
      </c>
      <c r="S26" s="74">
        <v>23</v>
      </c>
      <c r="T26" s="74">
        <v>22</v>
      </c>
      <c r="U26" s="74">
        <v>24</v>
      </c>
      <c r="V26" s="74">
        <v>21</v>
      </c>
      <c r="W26" s="74">
        <v>24</v>
      </c>
      <c r="X26" s="74">
        <v>24</v>
      </c>
      <c r="Y26" s="74">
        <v>24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4" t="s" ph="1">
        <v>180</v>
      </c>
      <c r="D27" s="71">
        <v>4.26</v>
      </c>
      <c r="E27" s="71">
        <v>5.65</v>
      </c>
      <c r="F27" s="71">
        <v>0</v>
      </c>
      <c r="G27" s="71">
        <v>2272</v>
      </c>
      <c r="H27" s="71">
        <v>2540</v>
      </c>
      <c r="I27" s="71">
        <v>637</v>
      </c>
      <c r="J27" s="71">
        <v>219</v>
      </c>
      <c r="K27" s="71">
        <v>248</v>
      </c>
      <c r="L27" s="71">
        <v>469</v>
      </c>
      <c r="M27" s="71">
        <v>4851</v>
      </c>
      <c r="N27" s="71">
        <v>2464</v>
      </c>
      <c r="O27" s="71">
        <v>3753</v>
      </c>
      <c r="P27" s="71">
        <v>1162</v>
      </c>
      <c r="Q27" s="90">
        <v>5128</v>
      </c>
      <c r="R27" s="71">
        <v>3153</v>
      </c>
      <c r="S27" s="71">
        <v>567</v>
      </c>
      <c r="T27" s="71">
        <v>1031</v>
      </c>
      <c r="U27" s="71">
        <v>6924</v>
      </c>
      <c r="V27" s="71">
        <v>5658</v>
      </c>
      <c r="W27" s="71">
        <v>3882</v>
      </c>
      <c r="X27" s="71">
        <v>1788</v>
      </c>
      <c r="Y27" s="71">
        <v>3616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4" t="s" ph="1">
        <v>178</v>
      </c>
      <c r="D28" s="91" ph="1">
        <f>D27*268.68*LOOKUP(D29,密度!$A$2:$A$50,密度!$Q$2:$Q$50)+IF(D27&lt;=0,0,1566*LOOKUP(D29,密度!$A$2:$A$50,密度!$Q$2:$Q$50))</f>
        <v>2566.2114796320002</v>
      </c>
      <c r="E28" s="91" ph="1">
        <f>E27*268.68*LOOKUP(E29,密度!$A$2:$A$50,密度!$C$2:$C$50)+IF(E27&lt;=0,0,1566*LOOKUP(E29,密度!$A$2:$A$50,密度!$C$2:$C$50))</f>
        <v>3419.8941738000003</v>
      </c>
      <c r="F28" s="91" ph="1">
        <f>F27*11.702*LOOKUP(F29,密度!$A$2:$A$50,密度!$Q$2:$Q$50)</f>
        <v>0</v>
      </c>
      <c r="G28" s="91" ph="1">
        <f>G27*18.322*LOOKUP(G29,密度!$A$2:$A$50,密度!$B$2:$B$50)</f>
        <v>32565.258963199994</v>
      </c>
      <c r="H28" s="91" ph="1">
        <f>H27*18.322*LOOKUP(H29,密度!$A$2:$A$50,密度!$B$2:$B$50)</f>
        <v>36364.699431999994</v>
      </c>
      <c r="I28" s="91" ph="1">
        <f>I27*18.322*LOOKUP(I29,密度!$A$2:$A$50,密度!$Q$2:$Q$50)</f>
        <v>11066.550294799999</v>
      </c>
      <c r="J28" s="91" ph="1">
        <f>J27*18.322*LOOKUP(J29,密度!$A$2:$A$50,密度!$Q$2:$Q$50)</f>
        <v>3801.7404294600001</v>
      </c>
      <c r="K28" s="91" ph="1">
        <f>K27*18.322*LOOKUP(K29,密度!$A$2:$A$50,密度!$Q$2:$Q$50)</f>
        <v>4308.4842591999995</v>
      </c>
      <c r="L28" s="91" ph="1">
        <f>L27*18.322*LOOKUP(L29,密度!$A$2:$A$50,密度!$Q$2:$Q$50)</f>
        <v>8147.8996676000006</v>
      </c>
      <c r="M28" s="91" ph="1">
        <f>M27*18.322*LOOKUP(M29,密度!$A$2:$A$50,密度!$Q$2:$Q$50)</f>
        <v>84276.036860399996</v>
      </c>
      <c r="N28" s="91" ph="1">
        <f>N27*18.322*LOOKUP(N29,密度!$A$2:$A$50,密度!$Q$2:$Q$50)</f>
        <v>42806.875865599999</v>
      </c>
      <c r="O28" s="91" ph="1">
        <f>O27*18.322*LOOKUP(O29,密度!$A$2:$A$50,密度!$C$2:$C$50)</f>
        <v>76401.975972600005</v>
      </c>
      <c r="P28" s="91" ph="1">
        <f>P27*11.702*LOOKUP(P29,密度!$A$2:$A$50,密度!$B$2:$B$50)</f>
        <v>10637.4994852</v>
      </c>
      <c r="Q28" s="92" ph="1">
        <f>Q27*18.322*LOOKUP(Q29,密度!$A$2:$A$50,密度!$B$2:$B$50)</f>
        <v>73585.7251712</v>
      </c>
      <c r="R28" s="91" ph="1">
        <f>R27*35.891*LOOKUP(R29,密度!$A$2:$A$50,密度!$C$2:$C$50)</f>
        <v>125827.41074370001</v>
      </c>
      <c r="S28" s="91" ph="1">
        <f>S27*35.891*LOOKUP(S29,密度!$A$2:$A$50,密度!$B$2:$B$50)</f>
        <v>15938.274290400001</v>
      </c>
      <c r="T28" s="91" ph="1">
        <f>T27*35.891*LOOKUP(T29,密度!$A$2:$A$50,密度!$Q$2:$Q$50)</f>
        <v>35119.766654890002</v>
      </c>
      <c r="U28" s="91" ph="1">
        <f>U27*35.891</f>
        <v>248509.28399999999</v>
      </c>
      <c r="V28" s="91" ph="1">
        <f>V27*47.051*LOOKUP(V29,密度!$A$2:$A$50,密度!$B$2:$B$50)</f>
        <v>208020.05562120001</v>
      </c>
      <c r="W28" s="91" ph="1">
        <f>W27*47.051*LOOKUP(W29,密度!$A$2:$A$50,密度!$B$2:$B$50)</f>
        <v>142231.09838340001</v>
      </c>
      <c r="X28" s="91" ph="1">
        <f>X27*47.051*LOOKUP(X29,密度!$A$2:$A$61,密度!$I$2:$I$61)</f>
        <v>87593.228145600006</v>
      </c>
      <c r="Y28" s="91" ph="1">
        <f>Y27*47.051*LOOKUP(Y29,密度!$A$2:$A$50,密度!$L$2:$L$50)</f>
        <v>159077.54896000001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4" t="s" ph="1">
        <v>179</v>
      </c>
      <c r="D29" s="74">
        <v>25</v>
      </c>
      <c r="E29" s="74">
        <v>25</v>
      </c>
      <c r="F29" s="74">
        <v>22</v>
      </c>
      <c r="G29" s="74">
        <v>22</v>
      </c>
      <c r="H29" s="74">
        <v>23</v>
      </c>
      <c r="I29" s="74">
        <v>23</v>
      </c>
      <c r="J29" s="74">
        <v>24</v>
      </c>
      <c r="K29" s="74">
        <v>23</v>
      </c>
      <c r="L29" s="74">
        <v>23</v>
      </c>
      <c r="M29" s="74">
        <v>23</v>
      </c>
      <c r="N29" s="74">
        <v>23</v>
      </c>
      <c r="O29" s="74">
        <v>22</v>
      </c>
      <c r="P29" s="74">
        <v>22</v>
      </c>
      <c r="Q29" s="93">
        <v>21</v>
      </c>
      <c r="R29" s="74">
        <v>21</v>
      </c>
      <c r="S29" s="74">
        <v>21</v>
      </c>
      <c r="T29" s="74">
        <v>22</v>
      </c>
      <c r="U29" s="74">
        <v>24</v>
      </c>
      <c r="V29" s="74">
        <v>23</v>
      </c>
      <c r="W29" s="74">
        <v>26</v>
      </c>
      <c r="X29" s="74">
        <v>26</v>
      </c>
      <c r="Y29" s="74">
        <v>27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4" t="s" ph="1">
        <v>5</v>
      </c>
      <c r="F32" s="155" t="s" ph="1">
        <v>43</v>
      </c>
      <c r="G32" s="97" t="s" ph="1">
        <v>4</v>
      </c>
      <c r="H32" s="154" t="s" ph="1">
        <v>5</v>
      </c>
      <c r="I32" s="155" t="s" ph="1">
        <v>43</v>
      </c>
      <c r="J32" s="97" t="s" ph="1">
        <v>4</v>
      </c>
      <c r="K32" s="154" t="s" ph="1">
        <v>5</v>
      </c>
      <c r="L32" s="155" t="s" ph="1">
        <v>43</v>
      </c>
      <c r="M32" s="97" t="s" ph="1">
        <v>4</v>
      </c>
      <c r="N32" s="154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4" t="s" ph="1">
        <v>5</v>
      </c>
      <c r="U32" s="99" t="s" ph="1">
        <v>43</v>
      </c>
      <c r="V32" s="97" t="s" ph="1">
        <v>4</v>
      </c>
      <c r="W32" s="154" t="s" ph="1">
        <v>5</v>
      </c>
      <c r="X32" s="99" t="s" ph="1">
        <v>43</v>
      </c>
      <c r="Y32" s="100" t="s" ph="1">
        <v>4</v>
      </c>
      <c r="Z32" s="154" t="s" ph="1">
        <v>5</v>
      </c>
      <c r="AA32" s="155" t="s" ph="1">
        <v>43</v>
      </c>
      <c r="AB32" s="97" t="s" ph="1">
        <v>85</v>
      </c>
      <c r="AC32" s="154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204820.29595980002</v>
      </c>
      <c r="E33" s="190" ph="1">
        <f>M10+I10</f>
        <v>105610.65365290002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16" ph="1">
        <f>N19</f>
        <v>4169.9293383599997</v>
      </c>
      <c r="H33" s="190" ph="1">
        <f>M19</f>
        <v>28270.609557600001</v>
      </c>
      <c r="I33" s="194" ph="1">
        <v>0</v>
      </c>
      <c r="J33" s="198" ph="1">
        <f>F10+O28</f>
        <v>291098.56097340002</v>
      </c>
      <c r="K33" s="190" ph="1">
        <f>O10+K10+E28+R28</f>
        <v>153337.16880390001</v>
      </c>
      <c r="L33" s="200" ph="1">
        <f>K19</f>
        <v>22886.464255760002</v>
      </c>
      <c r="M33" s="198" ph="1">
        <f>G10+H10+W28+S28+V28+E10+R19+P28+Q28</f>
        <v>1160832.7705834003</v>
      </c>
      <c r="N33" s="190" ph="1">
        <f>L10+P10++G28+H28+AD19+AE19</f>
        <v>133197.09132519999</v>
      </c>
      <c r="O33" s="194" ph="1">
        <f>G19</f>
        <v>25311.812633639998</v>
      </c>
      <c r="P33" s="198" ph="1">
        <f>L19</f>
        <v>38813.906343800008</v>
      </c>
      <c r="Q33" s="190" ph="1">
        <f>J10+N10</f>
        <v>53237.335090000008</v>
      </c>
      <c r="R33" s="194" ph="1">
        <f>BE23</f>
        <v>890</v>
      </c>
      <c r="S33" s="198" ph="1">
        <f>X28</f>
        <v>87593.228145600006</v>
      </c>
      <c r="T33" s="190" ph="1">
        <f>X19</f>
        <v>2822.1549312000006</v>
      </c>
      <c r="U33" s="179" ph="1">
        <f>BE21</f>
        <v>730</v>
      </c>
      <c r="V33" s="192" ph="1">
        <f ca="1">P19+Q19+S19+M28+N28+J28+D10+AC10+D19+E19+H19+J19+O19+V19+W19+K28+L28</f>
        <v>631983.6560518723</v>
      </c>
      <c r="W33" s="192" ph="1">
        <f>D28+F28+T28+I28</f>
        <v>48752.528429322003</v>
      </c>
      <c r="X33" s="194" ph="1">
        <f>BE29+BE31</f>
        <v>10200</v>
      </c>
      <c r="Y33" s="196" ph="1">
        <f>+Q10+R10+S10+T10+U10+V10+W10+X10+Y10</f>
        <v>249905.19292199999</v>
      </c>
      <c r="Z33" s="177" ph="1">
        <f>T19+U19+Y28+Z10</f>
        <v>243027.87071640001</v>
      </c>
      <c r="AA33" s="179" ph="1">
        <f>BE19</f>
        <v>1440</v>
      </c>
      <c r="AB33" s="181" ph="1">
        <f>I19</f>
        <v>26959.910632000003</v>
      </c>
      <c r="AC33" s="183" ph="1">
        <f>AD10+AB19</f>
        <v>113968.80160880001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6" t="s" ph="1">
        <v>185</v>
      </c>
      <c r="AA36" s="156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342</v>
      </c>
      <c r="AI37" s="156" t="s" ph="1">
        <v>209</v>
      </c>
      <c r="AJ37" s="156" t="s" ph="1">
        <v>210</v>
      </c>
      <c r="AK37" s="156" t="s" ph="1">
        <v>211</v>
      </c>
      <c r="AM37" s="156" t="s" ph="1">
        <v>210</v>
      </c>
      <c r="AN37" s="156" t="s" ph="1">
        <v>211</v>
      </c>
      <c r="AO37" s="156" t="s" ph="1">
        <v>212</v>
      </c>
      <c r="AP37" s="156" t="s" ph="1">
        <v>210</v>
      </c>
      <c r="AQ37" s="156" t="s" ph="1">
        <v>211</v>
      </c>
      <c r="AR37" s="156" t="s" ph="1">
        <v>212</v>
      </c>
      <c r="AS37" s="156" t="s" ph="1">
        <v>210</v>
      </c>
      <c r="AT37" s="156" t="s" ph="1">
        <v>211</v>
      </c>
      <c r="AU37" s="156" t="s" ph="1">
        <v>212</v>
      </c>
      <c r="AV37" s="156" t="s" ph="1">
        <v>210</v>
      </c>
      <c r="AW37" s="156" t="s" ph="1">
        <v>211</v>
      </c>
      <c r="AX37" s="156" t="s" ph="1">
        <v>212</v>
      </c>
      <c r="AY37" s="156" t="s" ph="1">
        <v>211</v>
      </c>
      <c r="AZ37" s="156" t="s" ph="1">
        <v>213</v>
      </c>
      <c r="BD37" s="156" t="s" ph="1">
        <v>305</v>
      </c>
      <c r="BE37" s="15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559" priority="100">
      <formula>ABS(D$7-D$10)&gt;=1000</formula>
    </cfRule>
  </conditionalFormatting>
  <conditionalFormatting sqref="E4 E6:E11">
    <cfRule type="expression" dxfId="1558" priority="99">
      <formula>ABS(E$7-E$10)&gt;=1000</formula>
    </cfRule>
  </conditionalFormatting>
  <conditionalFormatting sqref="F4:F11">
    <cfRule type="expression" dxfId="1557" priority="98">
      <formula>ABS(F$7-F$10)&gt;=1000</formula>
    </cfRule>
  </conditionalFormatting>
  <conditionalFormatting sqref="G4:G11">
    <cfRule type="expression" dxfId="1556" priority="97">
      <formula>ABS(G$7-G$10)&gt;=1000</formula>
    </cfRule>
  </conditionalFormatting>
  <conditionalFormatting sqref="H4:H11">
    <cfRule type="expression" dxfId="1555" priority="96">
      <formula>ABS(H$7-H$10)&gt;=1000</formula>
    </cfRule>
  </conditionalFormatting>
  <conditionalFormatting sqref="I4:I11">
    <cfRule type="expression" dxfId="1554" priority="95">
      <formula>ABS(I$7-I$10)&gt;=1000</formula>
    </cfRule>
  </conditionalFormatting>
  <conditionalFormatting sqref="J4:J11">
    <cfRule type="expression" dxfId="1553" priority="94">
      <formula>ABS(J$7-J$10)&gt;=1000</formula>
    </cfRule>
  </conditionalFormatting>
  <conditionalFormatting sqref="K4:K11">
    <cfRule type="expression" dxfId="1552" priority="93">
      <formula>ABS(K$7-K$10)&gt;=1000</formula>
    </cfRule>
  </conditionalFormatting>
  <conditionalFormatting sqref="L4:L11">
    <cfRule type="expression" dxfId="1551" priority="92">
      <formula>ABS(L$7-L$10)&gt;=1000</formula>
    </cfRule>
  </conditionalFormatting>
  <conditionalFormatting sqref="M4 M6:M11">
    <cfRule type="expression" dxfId="1550" priority="91">
      <formula>ABS(M$7-M$10)&gt;=1000</formula>
    </cfRule>
  </conditionalFormatting>
  <conditionalFormatting sqref="N4 N6:N11">
    <cfRule type="expression" dxfId="1549" priority="90">
      <formula>ABS(N$7-N$10)&gt;=1000</formula>
    </cfRule>
  </conditionalFormatting>
  <conditionalFormatting sqref="O4 O6:O11">
    <cfRule type="expression" dxfId="1548" priority="89">
      <formula>ABS(O$7-O$10)&gt;=1000</formula>
    </cfRule>
  </conditionalFormatting>
  <conditionalFormatting sqref="P4 P6:P11">
    <cfRule type="expression" dxfId="1547" priority="88">
      <formula>ABS(P$7-P$10)&gt;=1000</formula>
    </cfRule>
  </conditionalFormatting>
  <conditionalFormatting sqref="Q4:Q11">
    <cfRule type="expression" dxfId="1546" priority="87">
      <formula>ABS(Q$7-Q$10)&gt;=1000</formula>
    </cfRule>
  </conditionalFormatting>
  <conditionalFormatting sqref="R4:R11">
    <cfRule type="expression" dxfId="1545" priority="86">
      <formula>ABS(R$7-R$10)&gt;=1000</formula>
    </cfRule>
  </conditionalFormatting>
  <conditionalFormatting sqref="S4:S11">
    <cfRule type="expression" dxfId="1544" priority="85">
      <formula>ABS(S$7-S$10)&gt;=1000</formula>
    </cfRule>
  </conditionalFormatting>
  <conditionalFormatting sqref="T4:T9 T11">
    <cfRule type="expression" dxfId="1543" priority="84">
      <formula>ABS(T$7-T$10)&gt;=1000</formula>
    </cfRule>
  </conditionalFormatting>
  <conditionalFormatting sqref="U4:U9 U11">
    <cfRule type="expression" dxfId="1542" priority="83">
      <formula>ABS(U$7-U$10)&gt;=1000</formula>
    </cfRule>
  </conditionalFormatting>
  <conditionalFormatting sqref="V4:V9 V11">
    <cfRule type="expression" dxfId="1541" priority="82">
      <formula>ABS(V$7-V$10)&gt;=1000</formula>
    </cfRule>
  </conditionalFormatting>
  <conditionalFormatting sqref="W4:W9 W11">
    <cfRule type="expression" dxfId="1540" priority="81">
      <formula>ABS(W$7-W$10)&gt;=1000</formula>
    </cfRule>
  </conditionalFormatting>
  <conditionalFormatting sqref="X4:X9 X11">
    <cfRule type="expression" dxfId="1539" priority="80">
      <formula>ABS(X$7-X$10)&gt;=1000</formula>
    </cfRule>
  </conditionalFormatting>
  <conditionalFormatting sqref="Y4:Y9 Y11">
    <cfRule type="expression" dxfId="1538" priority="79">
      <formula>ABS(Y$7-Y$10)&gt;=1000</formula>
    </cfRule>
  </conditionalFormatting>
  <conditionalFormatting sqref="Z4:Z11">
    <cfRule type="expression" dxfId="1537" priority="78">
      <formula>ABS(Z$7-Z$10)&gt;=1000</formula>
    </cfRule>
  </conditionalFormatting>
  <conditionalFormatting sqref="AA4:AA11">
    <cfRule type="expression" dxfId="1536" priority="77">
      <formula>ABS(AA$7-AA$10)&gt;=1000</formula>
    </cfRule>
  </conditionalFormatting>
  <conditionalFormatting sqref="AB4:AB11">
    <cfRule type="expression" dxfId="1535" priority="76">
      <formula>ABS(AB$7-AB$10)&gt;=1000</formula>
    </cfRule>
  </conditionalFormatting>
  <conditionalFormatting sqref="AC4 AC6:AC11">
    <cfRule type="expression" dxfId="1534" priority="75">
      <formula>ABS(AC$7-AC$10)&gt;=1000</formula>
    </cfRule>
  </conditionalFormatting>
  <conditionalFormatting sqref="AD4 AD6:AD11">
    <cfRule type="expression" dxfId="1533" priority="74">
      <formula>ABS(AD$7-AD$10)&gt;=1000</formula>
    </cfRule>
  </conditionalFormatting>
  <conditionalFormatting sqref="AE4 AE6:AE11">
    <cfRule type="expression" dxfId="1532" priority="73">
      <formula>ABS(AE$7-AE$10)&gt;=1000</formula>
    </cfRule>
  </conditionalFormatting>
  <conditionalFormatting sqref="D13:D20">
    <cfRule type="expression" dxfId="1531" priority="72">
      <formula>ABS(D$16-D$19)&gt;=1000</formula>
    </cfRule>
  </conditionalFormatting>
  <conditionalFormatting sqref="E13:E20">
    <cfRule type="expression" dxfId="1530" priority="71">
      <formula>ABS(E$16-E$19)&gt;=1000</formula>
    </cfRule>
  </conditionalFormatting>
  <conditionalFormatting sqref="F13 F15:F20">
    <cfRule type="expression" dxfId="1529" priority="70">
      <formula>ABS(F$16-F$19)&gt;=1000</formula>
    </cfRule>
  </conditionalFormatting>
  <conditionalFormatting sqref="G13:G20">
    <cfRule type="expression" dxfId="1528" priority="69">
      <formula>ABS(G$16-G$19)&gt;=1000</formula>
    </cfRule>
  </conditionalFormatting>
  <conditionalFormatting sqref="H13 H15:H20">
    <cfRule type="expression" dxfId="1527" priority="68">
      <formula>ABS(H$16-H$19)&gt;=1000</formula>
    </cfRule>
  </conditionalFormatting>
  <conditionalFormatting sqref="I13:I20">
    <cfRule type="expression" dxfId="1526" priority="67">
      <formula>ABS(I$16-I$19)&gt;=1000</formula>
    </cfRule>
  </conditionalFormatting>
  <conditionalFormatting sqref="J13:J20">
    <cfRule type="expression" dxfId="1525" priority="66">
      <formula>ABS(J$16-J$19)&gt;=1000</formula>
    </cfRule>
  </conditionalFormatting>
  <conditionalFormatting sqref="L13:L20">
    <cfRule type="expression" dxfId="1524" priority="65">
      <formula>ABS(L$16-L$19)&gt;=1000</formula>
    </cfRule>
  </conditionalFormatting>
  <conditionalFormatting sqref="M13 M15 M17:M18 M20">
    <cfRule type="expression" dxfId="1523" priority="64">
      <formula>ABS(M$16-M$19)&gt;=1000</formula>
    </cfRule>
  </conditionalFormatting>
  <conditionalFormatting sqref="N13:N20">
    <cfRule type="expression" dxfId="1522" priority="63">
      <formula>ABS(N$16-N$19)&gt;=1000</formula>
    </cfRule>
  </conditionalFormatting>
  <conditionalFormatting sqref="O13:O20">
    <cfRule type="expression" dxfId="1521" priority="62">
      <formula>ABS(O$16-O$19)&gt;=1000</formula>
    </cfRule>
  </conditionalFormatting>
  <conditionalFormatting sqref="P13:P20">
    <cfRule type="expression" dxfId="1520" priority="61">
      <formula>ABS(P$16-P$19)&gt;=1000</formula>
    </cfRule>
  </conditionalFormatting>
  <conditionalFormatting sqref="Q13 Q15:Q20">
    <cfRule type="expression" dxfId="1519" priority="60">
      <formula>ABS(Q$16-Q$19)&gt;=1000</formula>
    </cfRule>
  </conditionalFormatting>
  <conditionalFormatting sqref="R13:R20">
    <cfRule type="expression" dxfId="1518" priority="59">
      <formula>ABS(R$16-R$19)&gt;=1000</formula>
    </cfRule>
  </conditionalFormatting>
  <conditionalFormatting sqref="S13:S20">
    <cfRule type="expression" dxfId="1517" priority="58">
      <formula>ABS(S$16-S$19)&gt;=1000</formula>
    </cfRule>
  </conditionalFormatting>
  <conditionalFormatting sqref="T13:T20">
    <cfRule type="expression" dxfId="1516" priority="57">
      <formula>ABS(T$16-T$19)&gt;=1000</formula>
    </cfRule>
  </conditionalFormatting>
  <conditionalFormatting sqref="U13:U20">
    <cfRule type="expression" dxfId="1515" priority="56">
      <formula>ABS(U$16-U$19)&gt;=1000</formula>
    </cfRule>
  </conditionalFormatting>
  <conditionalFormatting sqref="V13:V20">
    <cfRule type="expression" dxfId="1514" priority="55">
      <formula>ABS(V$16-V$19)&gt;=1000</formula>
    </cfRule>
  </conditionalFormatting>
  <conditionalFormatting sqref="W13 W20 W15:W18">
    <cfRule type="expression" dxfId="1513" priority="54">
      <formula>ABS(W$16-W$19)&gt;=1000</formula>
    </cfRule>
  </conditionalFormatting>
  <conditionalFormatting sqref="X13 X15:X20 Y19">
    <cfRule type="expression" dxfId="1512" priority="53">
      <formula>ABS(X$16-X$19)&gt;=1000</formula>
    </cfRule>
  </conditionalFormatting>
  <conditionalFormatting sqref="Y13 Y15:Y18 Y20">
    <cfRule type="expression" dxfId="1511" priority="52">
      <formula>ABS(Y$16-Y$19)&gt;=1000</formula>
    </cfRule>
  </conditionalFormatting>
  <conditionalFormatting sqref="Z13:Z20">
    <cfRule type="expression" dxfId="1510" priority="51">
      <formula>ABS(Z$16-Z$19)&gt;=1000</formula>
    </cfRule>
  </conditionalFormatting>
  <conditionalFormatting sqref="AA13:AA20">
    <cfRule type="expression" dxfId="1509" priority="50">
      <formula>ABS(AA$16-AA$19)&gt;=1000</formula>
    </cfRule>
  </conditionalFormatting>
  <conditionalFormatting sqref="AB13 AB15:AB20">
    <cfRule type="expression" dxfId="1508" priority="49">
      <formula>ABS(AB$16-AB$19)&gt;=1000</formula>
    </cfRule>
  </conditionalFormatting>
  <conditionalFormatting sqref="AC13 AC15:AC20">
    <cfRule type="expression" dxfId="1507" priority="48">
      <formula>ABS(AC$16-AC$19)&gt;=1000</formula>
    </cfRule>
  </conditionalFormatting>
  <conditionalFormatting sqref="AD13:AD20">
    <cfRule type="expression" dxfId="1506" priority="47">
      <formula>ABS(AD$16-AD$19)&gt;=1000</formula>
    </cfRule>
  </conditionalFormatting>
  <conditionalFormatting sqref="AE13:AE20">
    <cfRule type="expression" dxfId="1505" priority="46">
      <formula>ABS(AE$16-AE$19)&gt;=1000</formula>
    </cfRule>
  </conditionalFormatting>
  <conditionalFormatting sqref="D22:D29">
    <cfRule type="expression" dxfId="1504" priority="45">
      <formula>ABS(D$25-D$28)&gt;=1000</formula>
    </cfRule>
  </conditionalFormatting>
  <conditionalFormatting sqref="E22:E29">
    <cfRule type="expression" dxfId="1503" priority="44">
      <formula>ABS(E$25-E$28)&gt;=1000</formula>
    </cfRule>
  </conditionalFormatting>
  <conditionalFormatting sqref="F22:F29">
    <cfRule type="expression" dxfId="1502" priority="43">
      <formula>ABS(F$25-F$28)&gt;=1000</formula>
    </cfRule>
  </conditionalFormatting>
  <conditionalFormatting sqref="G22:G29">
    <cfRule type="expression" dxfId="1501" priority="42">
      <formula>ABS(G$25-G$28)&gt;=1000</formula>
    </cfRule>
  </conditionalFormatting>
  <conditionalFormatting sqref="H22:H29">
    <cfRule type="expression" dxfId="1500" priority="41">
      <formula>ABS(H$25-H$28)&gt;=1000</formula>
    </cfRule>
  </conditionalFormatting>
  <conditionalFormatting sqref="I22 I24:I29">
    <cfRule type="expression" dxfId="1499" priority="40">
      <formula>ABS(I$25-I$28)&gt;=1000</formula>
    </cfRule>
  </conditionalFormatting>
  <conditionalFormatting sqref="J22:J29 K22">
    <cfRule type="expression" dxfId="1498" priority="39">
      <formula>ABS(J$25-J$28)&gt;=1000</formula>
    </cfRule>
  </conditionalFormatting>
  <conditionalFormatting sqref="K23:K29 L25 L28">
    <cfRule type="expression" dxfId="1497" priority="38">
      <formula>ABS(K$25-K$28)&gt;=1000</formula>
    </cfRule>
  </conditionalFormatting>
  <conditionalFormatting sqref="L22 L26:L27 L29 L24">
    <cfRule type="expression" dxfId="1496" priority="37">
      <formula>ABS(L$25-L$28)&gt;=1000</formula>
    </cfRule>
  </conditionalFormatting>
  <conditionalFormatting sqref="M22:M29">
    <cfRule type="expression" dxfId="1495" priority="36">
      <formula>ABS(M$25-M$28)&gt;=1000</formula>
    </cfRule>
  </conditionalFormatting>
  <conditionalFormatting sqref="N22:N29">
    <cfRule type="expression" dxfId="1494" priority="35">
      <formula>ABS(N$25-N$28)&gt;=1000</formula>
    </cfRule>
  </conditionalFormatting>
  <conditionalFormatting sqref="O22:O29">
    <cfRule type="expression" dxfId="1493" priority="34">
      <formula>ABS(O$25-O$28)&gt;=1000</formula>
    </cfRule>
  </conditionalFormatting>
  <conditionalFormatting sqref="P22:P29">
    <cfRule type="expression" dxfId="1492" priority="33">
      <formula>ABS(P$25-P$28)&gt;=1000</formula>
    </cfRule>
  </conditionalFormatting>
  <conditionalFormatting sqref="Q22:Q29">
    <cfRule type="expression" dxfId="1491" priority="32">
      <formula>ABS(Q$25-Q$28)&gt;=1000</formula>
    </cfRule>
  </conditionalFormatting>
  <conditionalFormatting sqref="R22:R29">
    <cfRule type="expression" dxfId="1490" priority="31">
      <formula>ABS(R$25-R$28)&gt;=1000</formula>
    </cfRule>
  </conditionalFormatting>
  <conditionalFormatting sqref="S22:S29">
    <cfRule type="expression" dxfId="1489" priority="30">
      <formula>ABS(S$25-S$28)&gt;=1000</formula>
    </cfRule>
  </conditionalFormatting>
  <conditionalFormatting sqref="T22:T29">
    <cfRule type="expression" dxfId="1488" priority="29">
      <formula>ABS(T$25-T$28)&gt;=1000</formula>
    </cfRule>
  </conditionalFormatting>
  <conditionalFormatting sqref="U22:U29">
    <cfRule type="expression" dxfId="1487" priority="28">
      <formula>ABS(U$25-U$28)&gt;=1000</formula>
    </cfRule>
  </conditionalFormatting>
  <conditionalFormatting sqref="V22:V29">
    <cfRule type="expression" dxfId="1486" priority="27">
      <formula>ABS(V$25-V$28)&gt;=1000</formula>
    </cfRule>
  </conditionalFormatting>
  <conditionalFormatting sqref="W22:W29">
    <cfRule type="expression" dxfId="1485" priority="26">
      <formula>ABS(W$25-W$28)&gt;=1000</formula>
    </cfRule>
  </conditionalFormatting>
  <conditionalFormatting sqref="X22:X29">
    <cfRule type="expression" dxfId="1484" priority="25">
      <formula>ABS(X$25-X$28)&gt;=1000</formula>
    </cfRule>
  </conditionalFormatting>
  <conditionalFormatting sqref="Y22:Y29">
    <cfRule type="expression" dxfId="1483" priority="24">
      <formula>ABS(Y$25-Y$28)&gt;=1000</formula>
    </cfRule>
  </conditionalFormatting>
  <conditionalFormatting sqref="I23">
    <cfRule type="expression" dxfId="1482" priority="23">
      <formula>ABS(I$25-I$28)&gt;=1000</formula>
    </cfRule>
  </conditionalFormatting>
  <conditionalFormatting sqref="Q14">
    <cfRule type="expression" dxfId="1481" priority="22">
      <formula>ABS(Q$16-Q$19)&gt;=1000</formula>
    </cfRule>
  </conditionalFormatting>
  <conditionalFormatting sqref="W14">
    <cfRule type="expression" dxfId="1480" priority="21">
      <formula>ABS(W$16-W$19)&gt;=1000</formula>
    </cfRule>
  </conditionalFormatting>
  <conditionalFormatting sqref="X14">
    <cfRule type="expression" dxfId="1479" priority="20">
      <formula>ABS(X$16-X$19)&gt;=1000</formula>
    </cfRule>
  </conditionalFormatting>
  <conditionalFormatting sqref="T10:Y10">
    <cfRule type="expression" dxfId="1478" priority="19">
      <formula>ABS(T$7-T$10)&gt;=1000</formula>
    </cfRule>
  </conditionalFormatting>
  <conditionalFormatting sqref="W19">
    <cfRule type="expression" dxfId="1477" priority="18">
      <formula>ABS(W$16-W$19)&gt;=1000</formula>
    </cfRule>
  </conditionalFormatting>
  <conditionalFormatting sqref="AC5">
    <cfRule type="expression" dxfId="1476" priority="17">
      <formula>ABS(AC$7-AC$10)&gt;=1000</formula>
    </cfRule>
  </conditionalFormatting>
  <conditionalFormatting sqref="M14">
    <cfRule type="expression" dxfId="1475" priority="16">
      <formula>ABS(M$16-M$19)&gt;=1000</formula>
    </cfRule>
  </conditionalFormatting>
  <conditionalFormatting sqref="M16">
    <cfRule type="expression" dxfId="1474" priority="15">
      <formula>ABS(M$16-M$19)&gt;=1000</formula>
    </cfRule>
  </conditionalFormatting>
  <conditionalFormatting sqref="M19">
    <cfRule type="expression" dxfId="1473" priority="14">
      <formula>ABS(M$16-M$19)&gt;=1000</formula>
    </cfRule>
  </conditionalFormatting>
  <conditionalFormatting sqref="K13:K20">
    <cfRule type="expression" dxfId="1472" priority="13">
      <formula>ABS(K$16-K$19)&gt;=1000</formula>
    </cfRule>
  </conditionalFormatting>
  <conditionalFormatting sqref="E5">
    <cfRule type="expression" dxfId="1471" priority="12">
      <formula>ABS(E$7-E$10)&gt;=1000</formula>
    </cfRule>
  </conditionalFormatting>
  <conditionalFormatting sqref="AB14:AC14">
    <cfRule type="expression" dxfId="1470" priority="11">
      <formula>ABS(AB$16-AB$19)&gt;=1000</formula>
    </cfRule>
  </conditionalFormatting>
  <conditionalFormatting sqref="M5">
    <cfRule type="expression" dxfId="1469" priority="10">
      <formula>ABS(M$7-M$10)&gt;=1000</formula>
    </cfRule>
  </conditionalFormatting>
  <conditionalFormatting sqref="N5">
    <cfRule type="expression" dxfId="1468" priority="9">
      <formula>ABS(N$7-N$10)&gt;=1000</formula>
    </cfRule>
  </conditionalFormatting>
  <conditionalFormatting sqref="O5">
    <cfRule type="expression" dxfId="1467" priority="8">
      <formula>ABS(O$7-O$10)&gt;=1000</formula>
    </cfRule>
  </conditionalFormatting>
  <conditionalFormatting sqref="P5">
    <cfRule type="expression" dxfId="1466" priority="7">
      <formula>ABS(P$7-P$10)&gt;=1000</formula>
    </cfRule>
  </conditionalFormatting>
  <conditionalFormatting sqref="L23">
    <cfRule type="expression" dxfId="1465" priority="6">
      <formula>ABS(L$25-L$28)&gt;=1000</formula>
    </cfRule>
  </conditionalFormatting>
  <conditionalFormatting sqref="Y14">
    <cfRule type="expression" dxfId="1464" priority="5">
      <formula>ABS(Y$16-Y$19)&gt;=1000</formula>
    </cfRule>
  </conditionalFormatting>
  <conditionalFormatting sqref="F14">
    <cfRule type="expression" dxfId="1463" priority="4">
      <formula>ABS(F$16-F$19)&gt;=1000</formula>
    </cfRule>
  </conditionalFormatting>
  <conditionalFormatting sqref="H14">
    <cfRule type="expression" dxfId="1462" priority="3">
      <formula>ABS(H$16-H$19)&gt;=1000</formula>
    </cfRule>
  </conditionalFormatting>
  <conditionalFormatting sqref="AD5">
    <cfRule type="expression" dxfId="1461" priority="2">
      <formula>ABS(AD$7-AD$10)&gt;=1000</formula>
    </cfRule>
  </conditionalFormatting>
  <conditionalFormatting sqref="AE5">
    <cfRule type="expression" dxfId="146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18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89">
    <pageSetUpPr fitToPage="1"/>
  </sheetPr>
  <dimension ref="A1:CU223"/>
  <sheetViews>
    <sheetView view="pageBreakPreview" topLeftCell="A4" zoomScale="59" zoomScaleNormal="100" zoomScaleSheetLayoutView="59" workbookViewId="0">
      <selection activeCell="Z13" sqref="Z13:Z2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46157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7" t="s" ph="1">
        <v>177</v>
      </c>
      <c r="D6" s="71">
        <v>3006</v>
      </c>
      <c r="E6" s="71">
        <v>8136</v>
      </c>
      <c r="F6" s="71">
        <v>5830</v>
      </c>
      <c r="G6" s="71">
        <v>330</v>
      </c>
      <c r="H6" s="71">
        <v>9143</v>
      </c>
      <c r="I6" s="71">
        <v>50.29</v>
      </c>
      <c r="J6" s="71">
        <v>6.3</v>
      </c>
      <c r="K6" s="71">
        <v>7.48</v>
      </c>
      <c r="L6" s="71">
        <v>8</v>
      </c>
      <c r="M6" s="71">
        <v>3245</v>
      </c>
      <c r="N6" s="71">
        <v>1994</v>
      </c>
      <c r="O6" s="71">
        <v>382</v>
      </c>
      <c r="P6" s="71">
        <v>1257</v>
      </c>
      <c r="Q6" s="71">
        <v>0</v>
      </c>
      <c r="R6" s="71">
        <v>3707</v>
      </c>
      <c r="S6" s="71">
        <v>6200</v>
      </c>
      <c r="T6" s="71">
        <v>7131</v>
      </c>
      <c r="U6" s="71">
        <v>7012</v>
      </c>
      <c r="V6" s="71">
        <v>6184</v>
      </c>
      <c r="W6" s="71">
        <v>2633</v>
      </c>
      <c r="X6" s="71">
        <v>0</v>
      </c>
      <c r="Y6" s="71">
        <v>0</v>
      </c>
      <c r="Z6" s="71">
        <v>1258</v>
      </c>
      <c r="AA6" s="71">
        <v>2012</v>
      </c>
      <c r="AB6" s="71">
        <v>5436</v>
      </c>
      <c r="AC6" s="71">
        <v>3347</v>
      </c>
      <c r="AD6" s="71">
        <v>3164</v>
      </c>
      <c r="AE6" s="71">
        <v>4739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94435.514300520008</v>
      </c>
      <c r="E7" s="73" ph="1">
        <f>E6*51.53*LOOKUP(E8,密度!$A$2:$A$50,密度!$B$2:$B$50)</f>
        <v>326845.80316800001</v>
      </c>
      <c r="F7" s="73" ph="1">
        <f>F6*33.183*LOOKUP(F8,密度!$A$2:$A$50,密度!$C$2:$C$50)</f>
        <v>214659.76514399998</v>
      </c>
      <c r="G7" s="73" ph="1">
        <f xml:space="preserve"> (G6+2)*51.53*LOOKUP(G8,密度!$A$2:$A$50,密度!$B$2:$B$50)</f>
        <v>13414.351435999999</v>
      </c>
      <c r="H7" s="73" ph="1">
        <f>(H6)*51.53*LOOKUP(H8,密度!$A$2:$A$50,密度!$B$2:$B$50)</f>
        <v>369419.92523900006</v>
      </c>
      <c r="I7" s="73" ph="1">
        <f>I6*290.8*1.0267</f>
        <v>15014.8016644</v>
      </c>
      <c r="J7" s="73" ph="1">
        <f>J6*290.8*0.7892</f>
        <v>1445.8459680000001</v>
      </c>
      <c r="K7" s="73" ph="1">
        <f>K6*290.8*1.1126</f>
        <v>2420.1097184000005</v>
      </c>
      <c r="L7" s="73" ph="1">
        <f>L6*290.8*0.777</f>
        <v>1807.6128000000001</v>
      </c>
      <c r="M7" s="73" ph="1">
        <f>M6*33.183*LOOKUP(M8,密度!$A$2:$A$50,密度!$D$2:$D$50)</f>
        <v>110553.8598945</v>
      </c>
      <c r="N7" s="73" ph="1">
        <f>N6*33.183*LOOKUP(N8,密度!$A$2:$A$50,密度!$E$2:$E$50)</f>
        <v>51821.917646400005</v>
      </c>
      <c r="O7" s="73" ph="1">
        <f>O6*20.428*LOOKUP(O8,密度!$A$2:$A$50,密度!$C$2:$C$50)</f>
        <v>8647.0539176000002</v>
      </c>
      <c r="P7" s="73" ph="1">
        <f>P6*51.53*LOOKUP(P8,密度!$A$2:$A$50,密度!$B$2:$B$50)</f>
        <v>50672.082182999999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24578.695587599996</v>
      </c>
      <c r="S7" s="73" ph="1">
        <f>S6*1.5*1.5*3.1416*LOOKUP(S8,密度!$A$2:$A$50,密度!$L$2:$L$50)</f>
        <v>41239.626120000001</v>
      </c>
      <c r="T7" s="73" ph="1">
        <f>T6*1.5*1.5*3.1416*LOOKUP(T8,密度!$A$2:$A$50,密度!$L$2:$L$50)</f>
        <v>47482.627777199996</v>
      </c>
      <c r="U7" s="73" ph="1">
        <f>U6*1.5*1.5*3.1416*LOOKUP(U8,密度!$A$2:$A$50,密度!$L$2:$L$50)</f>
        <v>46541.556784799992</v>
      </c>
      <c r="V7" s="73" ph="1">
        <f>V6*1.5*1.5*3.1416*LOOKUP(V8,密度!$A$2:$A$50,密度!$L$2:$L$50)</f>
        <v>40958.352388799998</v>
      </c>
      <c r="W7" s="73" ph="1">
        <f>W6*1.5*1.5*3.1416*LOOKUP(W8,密度!$A$2:$A$50,密度!$L$2:$L$50)</f>
        <v>17383.256629200001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39281.305373999996</v>
      </c>
      <c r="AA7" s="73" ph="1">
        <f>AA6*33.183*LOOKUP(AA8,密度!$A$2:$A$50,密度!$D$2:$D$50)</f>
        <v>68733.739782000004</v>
      </c>
      <c r="AB7" s="73" ph="1">
        <f>AB6*20.428*LOOKUP(AB8,密度!$A$2:$A$50,密度!$D$2:$D$50)</f>
        <v>114722.2507248</v>
      </c>
      <c r="AC7" s="73" ph="1">
        <f>AC6*51.53*LOOKUP(AC8,密度!$A$2:$A$50,密度!$Q$2:$Q$50)</f>
        <v>163162.65498730002</v>
      </c>
      <c r="AD7" s="73" ph="1">
        <f>AD6*20.428*LOOKUP(AD8,密度!$A$2:$A$50,密度!$V$2:$V$50)</f>
        <v>61893.702259200007</v>
      </c>
      <c r="AE7" s="73" ph="1">
        <f>AE6*20.428</f>
        <v>96808.292000000001</v>
      </c>
    </row>
    <row r="8" spans="1:99" ph="1">
      <c r="B8" s="241" ph="1"/>
      <c r="C8" s="68" t="s" ph="1">
        <v>179</v>
      </c>
      <c r="D8" s="74">
        <v>25</v>
      </c>
      <c r="E8" s="74">
        <v>25</v>
      </c>
      <c r="F8" s="74">
        <v>24</v>
      </c>
      <c r="G8" s="74">
        <v>20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25</v>
      </c>
      <c r="O8" s="74">
        <v>26</v>
      </c>
      <c r="P8" s="74">
        <v>22</v>
      </c>
      <c r="Q8" s="74">
        <v>26</v>
      </c>
      <c r="R8" s="74">
        <v>24</v>
      </c>
      <c r="S8" s="74">
        <v>21</v>
      </c>
      <c r="T8" s="74">
        <v>20</v>
      </c>
      <c r="U8" s="74">
        <v>23</v>
      </c>
      <c r="V8" s="74">
        <v>25</v>
      </c>
      <c r="W8" s="74">
        <v>28</v>
      </c>
      <c r="X8" s="74">
        <v>17</v>
      </c>
      <c r="Y8" s="74">
        <v>24</v>
      </c>
      <c r="Z8" s="74">
        <v>21</v>
      </c>
      <c r="AA8" s="74">
        <v>22</v>
      </c>
      <c r="AB8" s="74">
        <v>18</v>
      </c>
      <c r="AC8" s="74">
        <v>26</v>
      </c>
      <c r="AD8" s="74">
        <v>43</v>
      </c>
      <c r="AE8" s="74">
        <v>25</v>
      </c>
    </row>
    <row r="9" spans="1:99" ht="26.4" ph="1">
      <c r="B9" s="241" ph="1">
        <v>0.66666666666666663</v>
      </c>
      <c r="C9" s="157" t="s" ph="1">
        <v>180</v>
      </c>
      <c r="D9" s="71">
        <v>3007</v>
      </c>
      <c r="E9" s="71">
        <v>8137</v>
      </c>
      <c r="F9" s="71">
        <v>5831</v>
      </c>
      <c r="G9" s="71">
        <v>330</v>
      </c>
      <c r="H9" s="71">
        <v>9149</v>
      </c>
      <c r="I9" s="71">
        <v>22.2</v>
      </c>
      <c r="J9" s="71">
        <v>6.33</v>
      </c>
      <c r="K9" s="71">
        <v>7.43</v>
      </c>
      <c r="L9" s="71">
        <v>87.63</v>
      </c>
      <c r="M9" s="71">
        <v>3798</v>
      </c>
      <c r="N9" s="71">
        <v>1996</v>
      </c>
      <c r="O9" s="71">
        <v>381</v>
      </c>
      <c r="P9" s="71">
        <v>622</v>
      </c>
      <c r="Q9" s="71">
        <v>0</v>
      </c>
      <c r="R9" s="71">
        <v>1517</v>
      </c>
      <c r="S9" s="71">
        <v>6206</v>
      </c>
      <c r="T9" s="71">
        <v>7138</v>
      </c>
      <c r="U9" s="71">
        <v>7018</v>
      </c>
      <c r="V9" s="71">
        <v>6190</v>
      </c>
      <c r="W9" s="71">
        <v>5250</v>
      </c>
      <c r="X9" s="71">
        <v>2815</v>
      </c>
      <c r="Y9" s="71">
        <v>0</v>
      </c>
      <c r="Z9" s="71">
        <v>1751</v>
      </c>
      <c r="AA9" s="71">
        <v>1703</v>
      </c>
      <c r="AB9" s="71">
        <v>5440</v>
      </c>
      <c r="AC9" s="71">
        <v>3347</v>
      </c>
      <c r="AD9" s="71">
        <v>3611</v>
      </c>
      <c r="AE9" s="71">
        <v>4896</v>
      </c>
    </row>
    <row r="10" spans="1:99" s="72" customFormat="1" ht="22.2" ph="1">
      <c r="B10" s="241" ph="1"/>
      <c r="C10" s="157" t="s" ph="1">
        <v>178</v>
      </c>
      <c r="D10" s="73" ph="1">
        <f>D9*33.183*LOOKUP(D11,密度!$A$2:$A$50,密度!$Q$2:$Q$50)</f>
        <v>94539.770309070009</v>
      </c>
      <c r="E10" s="73" ph="1">
        <f>E9*51.53*LOOKUP(E11,密度!$A$2:$A$50,密度!$B$2:$B$50)</f>
        <v>327263.34560499998</v>
      </c>
      <c r="F10" s="73" ph="1">
        <f>F9*33.183*LOOKUP(F11,密度!$A$2:$A$50,密度!$C$2:$C$50)</f>
        <v>214561.14194970002</v>
      </c>
      <c r="G10" s="73" ph="1">
        <f xml:space="preserve"> (G9+2)*51.53*LOOKUP(G11,密度!$A$2:$A$50,密度!$B$2:$B$50)</f>
        <v>13337.365615999999</v>
      </c>
      <c r="H10" s="73" ph="1">
        <f>(H9)*51.53*LOOKUP(H11,密度!$A$2:$A$50,密度!$B$2:$B$50)</f>
        <v>367540.83741199999</v>
      </c>
      <c r="I10" s="73" ph="1">
        <f>I9*290.8*1.0267</f>
        <v>6628.1287919999995</v>
      </c>
      <c r="J10" s="73" ph="1">
        <f>J9*290.8*0.7892</f>
        <v>1452.7309488000001</v>
      </c>
      <c r="K10" s="73" ph="1">
        <f>K9*290.8*1.1126</f>
        <v>2403.9325143999999</v>
      </c>
      <c r="L10" s="73" ph="1">
        <f>L9*290.8*0.777</f>
        <v>19800.138708000002</v>
      </c>
      <c r="M10" s="73" ph="1">
        <f>M9*33.183*LOOKUP(M11,密度!$A$2:$A$50,密度!$D$2:$D$50)</f>
        <v>128688.24661739999</v>
      </c>
      <c r="N10" s="73" ph="1">
        <f>N9*33.183*LOOKUP(N11,密度!$A$2:$A$50,密度!$E$2:$E$50)</f>
        <v>51728.182307999996</v>
      </c>
      <c r="O10" s="73" ph="1">
        <f>O9*20.428*LOOKUP(O11,密度!$A$2:$A$50,密度!$C$2:$C$50)</f>
        <v>8552.035118400001</v>
      </c>
      <c r="P10" s="73" ph="1">
        <f>P9*51.53*LOOKUP(P11,密度!$A$2:$A$50,密度!$B$2:$B$50)</f>
        <v>24932.986314000002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9972.4515659999997</v>
      </c>
      <c r="S10" s="73" ph="1">
        <f>S9*1.5*1.5*3.1416*LOOKUP(S11,密度!$A$2:$A$50,密度!$L$2:$L$50)</f>
        <v>41191.799972399996</v>
      </c>
      <c r="T10" s="73" ph="1">
        <f>T9*1.5*1.5*3.1416*LOOKUP(T11,密度!$A$2:$A$50,密度!$L$2:$L$50)</f>
        <v>47478.782458799993</v>
      </c>
      <c r="U10" s="73" ph="1">
        <f>U9*1.5*1.5*3.1416*LOOKUP(U11,密度!$A$2:$A$50,密度!$L$2:$L$50)</f>
        <v>46432.558972800005</v>
      </c>
      <c r="V10" s="73" ph="1">
        <f>V9*1.5*1.5*3.1416*LOOKUP(V11,密度!$A$2:$A$50,密度!$L$2:$L$50)</f>
        <v>40910.58279</v>
      </c>
      <c r="W10" s="73" ph="1">
        <f>W9*1.5*1.5*3.1416*LOOKUP(W11,密度!$A$2:$A$50,密度!$L$2:$L$50)</f>
        <v>34772.210550000003</v>
      </c>
      <c r="X10" s="73" ph="1">
        <f>X9*1.5*1.5*3.1416*LOOKUP(X11,密度!$A$2:$A$50,密度!$L$2:$L$50)</f>
        <v>18684.324350999999</v>
      </c>
      <c r="Y10" s="73" ph="1">
        <f>Y9*1.5*1.5*3.1416*LOOKUP(Y11,密度!$A$2:$A$50,密度!$L$2:$L$50)</f>
        <v>0</v>
      </c>
      <c r="Z10" s="73" ph="1">
        <f>Z9*33.183*LOOKUP(Z11,密度!$A$2:$A$50,密度!$L$2:$L$50)</f>
        <v>54326.709855000001</v>
      </c>
      <c r="AA10" s="73" ph="1">
        <f>AA9*33.183*LOOKUP(AA11,密度!$A$2:$A$50,密度!$D$2:$D$50)</f>
        <v>58019.483328299997</v>
      </c>
      <c r="AB10" s="73" ph="1">
        <f>AB9*20.428*LOOKUP(AB11,密度!$A$2:$A$50,密度!$D$2:$D$50)</f>
        <v>114617.74924800002</v>
      </c>
      <c r="AC10" s="73" ph="1">
        <f>AC9*51.53*LOOKUP(AC11,密度!$A$2:$A$50,密度!$Q$2:$Q$50)</f>
        <v>163536.91686200001</v>
      </c>
      <c r="AD10" s="73" ph="1">
        <f>AD9*20.428*LOOKUP(AD11,密度!$A$2:$A$50,密度!$V$2:$V$50)</f>
        <v>70637.850460800008</v>
      </c>
      <c r="AE10" s="73" ph="1">
        <f>AE9*20.428</f>
        <v>100015.488</v>
      </c>
    </row>
    <row r="11" spans="1:99" ph="1">
      <c r="A11" s="64" t="s" ph="1">
        <v>162</v>
      </c>
      <c r="B11" s="241" ph="1"/>
      <c r="C11" s="157" t="s" ph="1">
        <v>179</v>
      </c>
      <c r="D11" s="74">
        <v>24</v>
      </c>
      <c r="E11" s="74">
        <v>24</v>
      </c>
      <c r="F11" s="74">
        <v>25</v>
      </c>
      <c r="G11" s="74">
        <v>25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27</v>
      </c>
      <c r="O11" s="74">
        <v>36</v>
      </c>
      <c r="P11" s="74">
        <v>27</v>
      </c>
      <c r="Q11" s="74">
        <v>32</v>
      </c>
      <c r="R11" s="74">
        <v>32</v>
      </c>
      <c r="S11" s="74">
        <v>23</v>
      </c>
      <c r="T11" s="74">
        <v>21</v>
      </c>
      <c r="U11" s="74">
        <v>26</v>
      </c>
      <c r="V11" s="74">
        <v>27</v>
      </c>
      <c r="W11" s="74">
        <v>25</v>
      </c>
      <c r="X11" s="74">
        <v>23</v>
      </c>
      <c r="Y11" s="74">
        <v>29</v>
      </c>
      <c r="Z11" s="74">
        <v>27</v>
      </c>
      <c r="AA11" s="74">
        <v>25</v>
      </c>
      <c r="AB11" s="74">
        <v>20</v>
      </c>
      <c r="AC11" s="74">
        <v>23</v>
      </c>
      <c r="AD11" s="74">
        <v>48</v>
      </c>
      <c r="AE11" s="74">
        <v>28</v>
      </c>
    </row>
    <row r="12" spans="1:99" ht="9.9" customHeight="1" ph="1"/>
    <row r="13" spans="1:99" s="72" customFormat="1" ht="29.25" customHeight="1" ph="1">
      <c r="B13" s="218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7" t="s" ph="1">
        <v>177</v>
      </c>
      <c r="D15" s="78">
        <v>5986</v>
      </c>
      <c r="E15" s="78">
        <v>2254</v>
      </c>
      <c r="F15" s="78">
        <v>1159</v>
      </c>
      <c r="G15" s="78">
        <v>3723</v>
      </c>
      <c r="H15" s="78">
        <v>0</v>
      </c>
      <c r="I15" s="78">
        <v>521</v>
      </c>
      <c r="J15" s="78">
        <v>5175</v>
      </c>
      <c r="K15" s="78">
        <v>2275</v>
      </c>
      <c r="L15" s="78">
        <v>5472</v>
      </c>
      <c r="M15" s="78">
        <v>3554</v>
      </c>
      <c r="N15" s="78">
        <v>521</v>
      </c>
      <c r="O15" s="78">
        <v>1957</v>
      </c>
      <c r="P15" s="78">
        <v>4590</v>
      </c>
      <c r="Q15" s="78">
        <v>3265</v>
      </c>
      <c r="R15" s="78">
        <v>0</v>
      </c>
      <c r="S15" s="78">
        <v>2099</v>
      </c>
      <c r="T15" s="78">
        <v>907</v>
      </c>
      <c r="U15" s="78">
        <v>5353</v>
      </c>
      <c r="V15" s="78">
        <v>894</v>
      </c>
      <c r="W15" s="71">
        <v>-737</v>
      </c>
      <c r="X15" s="78">
        <v>-320</v>
      </c>
      <c r="Y15" s="106">
        <v>-9905</v>
      </c>
      <c r="Z15" s="78">
        <v>0</v>
      </c>
      <c r="AA15" s="78">
        <v>264</v>
      </c>
      <c r="AB15" s="78" ph="1">
        <v>7120</v>
      </c>
      <c r="AC15" s="78" ph="1">
        <v>6687</v>
      </c>
      <c r="AD15" s="78">
        <v>5.27</v>
      </c>
      <c r="AE15" s="78">
        <v>56.63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7" t="s" ph="1">
        <v>178</v>
      </c>
      <c r="D16" s="73" ph="1">
        <f>D15*7.0686*LOOKUP(D17,密度!$A$2:$A$50,密度!$L$2:$L$50)</f>
        <v>39646.943305200002</v>
      </c>
      <c r="E16" s="73" ph="1">
        <f>E15*7.0686*LOOKUP(E17,密度!$A$2:$A$50,密度!$L$2:$L$50)</f>
        <v>14928.869062800002</v>
      </c>
      <c r="F16" s="73" ph="1">
        <f>F15*9.0746*LOOKUP(F17,密度!$A$2:$A$50,密度!$L$2:$L$50)</f>
        <v>9833.8264090000011</v>
      </c>
      <c r="G16" s="73" ph="1">
        <f>G15*9.0746*LOOKUP(G17,密度!$A$2:$A$50,密度!$B$2:$B$50)</f>
        <v>26399.392554120001</v>
      </c>
      <c r="H16" s="73" ph="1">
        <f>H15*9.0746*LOOKUP(H17,密度!$A$2:$A$50,密度!$L$2:$L$50)</f>
        <v>0</v>
      </c>
      <c r="I16" s="73" ph="1">
        <f>I15*9.0746*LOOKUP(I17,密度!$A$2:$A$50,密度!$U$2:$U$50)</f>
        <v>4846.0632649999998</v>
      </c>
      <c r="J16" s="73" ph="1">
        <f>J15*9.0746*LOOKUP(J17,密度!$A$2:$A$50,密度!$L$2:$L$50)</f>
        <v>43955.547480000001</v>
      </c>
      <c r="K16" s="73" ph="1">
        <f>K15*9.0746*LOOKUP(K17,密度!$A$2:$A$50,密度!$C$2:$C$50)</f>
        <v>22907.375763999997</v>
      </c>
      <c r="L16" s="73" ph="1">
        <f>L15*9.0746*LOOKUP(L17,密度!$A$2:$A$50,密度!$E$2:$E$50)</f>
        <v>38890.744611839997</v>
      </c>
      <c r="M16" s="73" ph="1">
        <f>M15*9.0746*LOOKUP(M17,密度!$A$2:$A$50,密度!$M$2:$M$50)</f>
        <v>28222.962462840002</v>
      </c>
      <c r="N16" s="73" ph="1">
        <f>N15*9.0746*LOOKUP(N17,密度!$A$2:$A$50,密度!$M$2:$M$50)</f>
        <v>4151.0668747999998</v>
      </c>
      <c r="O16" s="73" ph="1">
        <f>O15*9.0746*LOOKUP(O17,密度!$A$2:$A$50,密度!$G$2:$G$50)</f>
        <v>17052.184310440003</v>
      </c>
      <c r="P16" s="73" ph="1">
        <f ca="1">P15*9.0746*LOOKUP(P17,密度!$A$2:$A$51,密度!$Q$2:$Q$50)</f>
        <v>39434.006430360008</v>
      </c>
      <c r="Q16" s="73" ph="1">
        <f>Q15*9.0746*LOOKUP(Q17,密度!$A$2:$A$50,密度!$Q$2:$Q$50)</f>
        <v>28050.551415059999</v>
      </c>
      <c r="R16" s="73" ph="1">
        <f>MAX(R15*9.0746*LOOKUP(R17,密度!$A$2:$A$50,密度!$B$2:$B$50),0)</f>
        <v>0</v>
      </c>
      <c r="S16" s="73" ph="1">
        <f>S15*9.0746*LOOKUP(S17,密度!$A$2:$A$50,密度!$Q$2:$Q$50)</f>
        <v>18019.587215962001</v>
      </c>
      <c r="T16" s="73" ph="1">
        <f>T15*9.0746*LOOKUP(T17,密度!$A$2:$A$50,密度!$O$2:$O$50)</f>
        <v>7654.5158460000011</v>
      </c>
      <c r="U16" s="73" ph="1">
        <f>U15*9.0746*LOOKUP(U17,密度!$A$2:$A$50,密度!$H$2:$H$50)</f>
        <v>44583.359161640001</v>
      </c>
      <c r="V16" s="73" ph="1">
        <f>MAX(5600*LOOKUP(V17,密度!$A$2:$A$50,密度!$Q$2:$Q$50)+V15*9.0476*LOOKUP(V17,密度!$A$2:$A$50,密度!$Q$2:$Q$50),0)</f>
        <v>12949.783119031999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2825.4006528000004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1871.9956041599999</v>
      </c>
      <c r="AB16" s="73" ph="1">
        <f>AB15*9.0746*LOOKUP(AB17,密度!$A$2:$A$50,密度!$L$2:$L$50)</f>
        <v>60540.649424000003</v>
      </c>
      <c r="AC16" s="73" ph="1">
        <f>AC15*9.0746*LOOKUP(AC17,密度!$A$2:$A$50,密度!$L$2:$L$50)</f>
        <v>56919.575487599999</v>
      </c>
      <c r="AD16" s="73" ph="1">
        <f>AD15*268.68*LOOKUP(AD17,密度!$A$2:$A$50,密度!B2:B50)+IF(AD15&lt;=0,0,1566*LOOKUP(AD17,密度!$A$2:$A$50,密度!B2:B50))</f>
        <v>2324.72323056</v>
      </c>
      <c r="AE16" s="73" ph="1">
        <f>AE15*268.68*LOOKUP(AE17,密度!$A$2:$A$50,密度!B2:B50)+IF(AE15&lt;=0,0,1566*LOOKUP(AE17,密度!$A$2:$A$50,密度!B2:B50))</f>
        <v>13082.739212640001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25</v>
      </c>
      <c r="E17" s="74">
        <v>25</v>
      </c>
      <c r="F17" s="74">
        <v>27</v>
      </c>
      <c r="G17" s="74">
        <v>23</v>
      </c>
      <c r="H17" s="74">
        <v>20</v>
      </c>
      <c r="I17" s="74">
        <v>25</v>
      </c>
      <c r="J17" s="74">
        <v>26</v>
      </c>
      <c r="K17" s="74">
        <v>24</v>
      </c>
      <c r="L17" s="74">
        <v>25</v>
      </c>
      <c r="M17" s="74">
        <v>25</v>
      </c>
      <c r="N17" s="74">
        <v>22</v>
      </c>
      <c r="O17" s="74">
        <v>25</v>
      </c>
      <c r="P17" s="74">
        <v>25</v>
      </c>
      <c r="Q17" s="74">
        <v>25</v>
      </c>
      <c r="R17" s="74">
        <v>26</v>
      </c>
      <c r="S17" s="74">
        <v>26</v>
      </c>
      <c r="T17" s="74">
        <v>23</v>
      </c>
      <c r="U17" s="74">
        <v>22</v>
      </c>
      <c r="V17" s="74">
        <v>26</v>
      </c>
      <c r="W17" s="74">
        <v>26</v>
      </c>
      <c r="X17" s="74">
        <v>23</v>
      </c>
      <c r="Y17" s="108">
        <v>23</v>
      </c>
      <c r="Z17" s="74">
        <v>24</v>
      </c>
      <c r="AA17" s="74">
        <v>23</v>
      </c>
      <c r="AB17" s="74">
        <v>25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5994</v>
      </c>
      <c r="E18" s="71">
        <v>3627</v>
      </c>
      <c r="F18" s="71">
        <v>1158</v>
      </c>
      <c r="G18" s="71">
        <v>3810</v>
      </c>
      <c r="H18" s="71">
        <v>0</v>
      </c>
      <c r="I18" s="71">
        <v>36</v>
      </c>
      <c r="J18" s="71">
        <v>5195</v>
      </c>
      <c r="K18" s="71">
        <v>2276</v>
      </c>
      <c r="L18" s="71">
        <v>5481</v>
      </c>
      <c r="M18" s="71">
        <v>1555</v>
      </c>
      <c r="N18" s="71">
        <v>2260</v>
      </c>
      <c r="O18" s="71">
        <v>1958</v>
      </c>
      <c r="P18" s="71">
        <v>4595</v>
      </c>
      <c r="Q18" s="71">
        <v>3267</v>
      </c>
      <c r="R18" s="71">
        <v>0</v>
      </c>
      <c r="S18" s="71">
        <v>2354</v>
      </c>
      <c r="T18" s="71">
        <v>906</v>
      </c>
      <c r="U18" s="71">
        <v>5355</v>
      </c>
      <c r="V18" s="71">
        <v>-238</v>
      </c>
      <c r="W18" s="71">
        <v>-737</v>
      </c>
      <c r="X18" s="71">
        <v>-322</v>
      </c>
      <c r="Y18" s="109">
        <v>-9907</v>
      </c>
      <c r="Z18" s="71">
        <v>0</v>
      </c>
      <c r="AA18" s="71">
        <v>265</v>
      </c>
      <c r="AB18" s="71">
        <v>7335</v>
      </c>
      <c r="AC18" s="71">
        <v>7264</v>
      </c>
      <c r="AD18" s="71">
        <v>31.51</v>
      </c>
      <c r="AE18" s="71">
        <v>84.54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7" t="s" ph="1">
        <v>178</v>
      </c>
      <c r="D19" s="73" ph="1">
        <f>D18*7.0686*LOOKUP(D20,密度!$A$2:$A$50,密度!$L$2:$L$50)</f>
        <v>39657.5603424</v>
      </c>
      <c r="E19" s="73" ph="1">
        <f>E18*7.0686*LOOKUP(E20,密度!$A$2:$A$50,密度!$L$2:$L$50)</f>
        <v>23996.992219200001</v>
      </c>
      <c r="F19" s="73" ph="1">
        <f>F18*9.0746*LOOKUP(F20,密度!$A$2:$A$50,密度!$L$2:$L$50)</f>
        <v>9783.3081108000006</v>
      </c>
      <c r="G19" s="73" ph="1">
        <f>G18*9.0746*LOOKUP(G20,密度!$A$2:$A$50,密度!$B$2:$B$50)</f>
        <v>26954.066589599999</v>
      </c>
      <c r="H19" s="73" ph="1">
        <f>H18*9.0746*LOOKUP(H20,密度!$A$2:$A$50,密度!$L$2:$L$50)</f>
        <v>0</v>
      </c>
      <c r="I19" s="73" ph="1">
        <f>I18*9.0746*LOOKUP(I20,密度!$A$2:$A$50,密度!$U$2:$U$50)</f>
        <v>333.219312</v>
      </c>
      <c r="J19" s="73" ph="1">
        <f>J18*9.0746*LOOKUP(J20,密度!$A$2:$A$50,密度!$L$2:$L$50)</f>
        <v>44031.138898000005</v>
      </c>
      <c r="K19" s="73" ph="1">
        <f>K18*9.0746*LOOKUP(K20,密度!$A$2:$A$50,密度!$C$2:$C$50)</f>
        <v>22886.464255760002</v>
      </c>
      <c r="L19" s="73" ph="1">
        <f>L18*9.0746*LOOKUP(L20,密度!$A$2:$A$50,密度!$E$2:$E$50)</f>
        <v>38899.997981460001</v>
      </c>
      <c r="M19" s="73" ph="1">
        <f>M18*9.0746*LOOKUP(M20,密度!$A$2:$A$50,密度!$M$2:$M$50)</f>
        <v>12334.427722300001</v>
      </c>
      <c r="N19" s="73" ph="1">
        <f>N18*9.0746*LOOKUP(N20,密度!$A$2:$A$50,密度!$M$2:$M$50)</f>
        <v>17947.072359600003</v>
      </c>
      <c r="O19" s="73" ph="1">
        <f>O18*9.0746*LOOKUP(O20,密度!$A$2:$A$50,密度!$G$2:$G$50)</f>
        <v>17021.807994399998</v>
      </c>
      <c r="P19" s="73" ph="1">
        <f ca="1">P18*9.0746*LOOKUP(P20,密度!$A$2:$A$51,密度!$Q$2:$Q$50)</f>
        <v>39447.357435610007</v>
      </c>
      <c r="Q19" s="73" ph="1">
        <f>Q18*9.0746*LOOKUP(Q20,密度!$A$2:$A$50,密度!$Q$2:$Q$50)</f>
        <v>28046.684818746002</v>
      </c>
      <c r="R19" s="73" ph="1">
        <f>MAX(R18*9.0746*LOOKUP(R20,密度!$A$2:$A$50,密度!$B$2:$B$50),0)</f>
        <v>0</v>
      </c>
      <c r="S19" s="73" ph="1">
        <f>S18*9.0746*LOOKUP(S20,密度!$A$2:$A$50,密度!$Q$2:$Q$50)</f>
        <v>20193.555652688003</v>
      </c>
      <c r="T19" s="73" ph="1">
        <f>T18*9.0746*LOOKUP(T20,密度!$A$2:$A$50,密度!$O$2:$O$50)</f>
        <v>7580.3037672000009</v>
      </c>
      <c r="U19" s="73" ph="1">
        <f>U18*9.0746*LOOKUP(U20,密度!$A$2:$A$50,密度!$H$2:$H$50)</f>
        <v>44410.498013700002</v>
      </c>
      <c r="V19" s="73" ph="1">
        <f>MAX(5600*LOOKUP(V20,密度!$A$2:$A$50,密度!$Q$2:$Q$50)+V18*9.0476*LOOKUP(V20,密度!$A$2:$A$50,密度!$Q$2:$Q$50),0)</f>
        <v>3251.3483430960005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2800.3190594400003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1866.5816978000003</v>
      </c>
      <c r="AB19" s="73" ph="1">
        <f>AB18*9.0746*LOOKUP(AB20,密度!$A$2:$A$50,密度!$L$2:$L$50)</f>
        <v>62235.64858500001</v>
      </c>
      <c r="AC19" s="73" ph="1">
        <f>AC18*9.0746*LOOKUP(AC20,密度!$A$2:$A$50,密度!$L$2:$L$50)</f>
        <v>61501.395475200006</v>
      </c>
      <c r="AD19" s="73" ph="1">
        <f>AD18*268.68*LOOKUP(AD20,密度!$A$2:$A$50,密度!B5:B53)+IF(AD18&lt;=0,0,1566*LOOKUP(AD20,密度!$A$2:$A$50,密度!B5:B53))</f>
        <v>7794.9469836000017</v>
      </c>
      <c r="AE19" s="73" ph="1">
        <f>AE18*268.68*LOOKUP(AE20,密度!$A$2:$A$50,密度!B5:B53)+IF(AE18&lt;=0,0,1566*LOOKUP(AE20,密度!$A$2:$A$50,密度!B5:B53))</f>
        <v>18865.720994399999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26</v>
      </c>
      <c r="E20" s="81">
        <v>26</v>
      </c>
      <c r="F20" s="81">
        <v>31</v>
      </c>
      <c r="G20" s="81">
        <v>25</v>
      </c>
      <c r="H20" s="81">
        <v>25</v>
      </c>
      <c r="I20" s="81">
        <v>30</v>
      </c>
      <c r="J20" s="81">
        <v>28</v>
      </c>
      <c r="K20" s="81">
        <v>26</v>
      </c>
      <c r="L20" s="81">
        <v>26</v>
      </c>
      <c r="M20" s="81">
        <v>26</v>
      </c>
      <c r="N20" s="81">
        <v>25</v>
      </c>
      <c r="O20" s="81">
        <v>27</v>
      </c>
      <c r="P20" s="81">
        <v>26</v>
      </c>
      <c r="Q20" s="81">
        <v>26</v>
      </c>
      <c r="R20" s="81">
        <v>31</v>
      </c>
      <c r="S20" s="81">
        <v>27</v>
      </c>
      <c r="T20" s="81">
        <v>32</v>
      </c>
      <c r="U20" s="81">
        <v>26</v>
      </c>
      <c r="V20" s="81">
        <v>30</v>
      </c>
      <c r="W20" s="81">
        <v>30</v>
      </c>
      <c r="X20" s="81">
        <v>25</v>
      </c>
      <c r="Y20" s="110">
        <v>25</v>
      </c>
      <c r="Z20" s="81">
        <v>29</v>
      </c>
      <c r="AA20" s="81">
        <v>29</v>
      </c>
      <c r="AB20" s="81">
        <v>27</v>
      </c>
      <c r="AC20" s="81">
        <v>29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7" t="s" ph="1">
        <v>177</v>
      </c>
      <c r="D24" s="71">
        <v>4.25</v>
      </c>
      <c r="E24" s="71">
        <v>5.63</v>
      </c>
      <c r="F24" s="71">
        <v>0</v>
      </c>
      <c r="G24" s="71">
        <v>2754</v>
      </c>
      <c r="H24" s="71">
        <v>3057</v>
      </c>
      <c r="I24" s="71">
        <v>1528</v>
      </c>
      <c r="J24" s="71">
        <v>217</v>
      </c>
      <c r="K24" s="71">
        <v>247</v>
      </c>
      <c r="L24" s="71">
        <v>469</v>
      </c>
      <c r="M24" s="71">
        <v>4848</v>
      </c>
      <c r="N24" s="71">
        <v>2462</v>
      </c>
      <c r="O24" s="71">
        <v>3187</v>
      </c>
      <c r="P24" s="71">
        <v>1160</v>
      </c>
      <c r="Q24" s="90">
        <v>5211</v>
      </c>
      <c r="R24" s="71">
        <v>3152</v>
      </c>
      <c r="S24" s="71">
        <v>566</v>
      </c>
      <c r="T24" s="71">
        <v>1030</v>
      </c>
      <c r="U24" s="71">
        <v>7059</v>
      </c>
      <c r="V24" s="71">
        <v>5036</v>
      </c>
      <c r="W24" s="71">
        <v>3879</v>
      </c>
      <c r="X24" s="71">
        <v>1788</v>
      </c>
      <c r="Y24" s="71">
        <v>4136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2563.6677786</v>
      </c>
      <c r="E25" s="91" ph="1">
        <f>E24*268.68*LOOKUP(E26,密度!$A$2:$A$50,密度!$C$2:$C$50)+IF(E24&lt;=0,0,1566*LOOKUP(E26,密度!$A$2:$A$50,密度!$C$2:$C$50))</f>
        <v>3413.93538876</v>
      </c>
      <c r="F25" s="91" ph="1">
        <f>F24*11.702*LOOKUP(F26,密度!$A$2:$A$50,密度!$Q$2:$Q$50)</f>
        <v>0</v>
      </c>
      <c r="G25" s="91" ph="1">
        <f>G24*18.322*LOOKUP(G26,密度!$A$2:$A$50,密度!$B$2:$B$50)</f>
        <v>39428.4969432</v>
      </c>
      <c r="H25" s="91" ph="1">
        <f>H24*18.322*LOOKUP(H26,密度!$A$2:$A$50,密度!$B$2:$B$50)</f>
        <v>43816.899934200002</v>
      </c>
      <c r="I25" s="91" ph="1">
        <f>I24*18.322*LOOKUP(I26,密度!$A$2:$A$50,密度!$Q$2:$Q$50)</f>
        <v>26570.738825439999</v>
      </c>
      <c r="J25" s="91" ph="1">
        <f>J24*18.322*LOOKUP(J26,密度!$A$2:$A$50,密度!$Q$2:$Q$50)</f>
        <v>3769.9237268000002</v>
      </c>
      <c r="K25" s="91" ph="1">
        <f>K24*18.322*LOOKUP(K26,密度!$A$2:$A$50,密度!$Q$2:$Q$50)</f>
        <v>4295.1390640599993</v>
      </c>
      <c r="L25" s="91" ph="1">
        <f>L24*18.322*LOOKUP(L26,密度!$A$2:$A$50,密度!$Q$2:$Q$50)</f>
        <v>8155.5474536199999</v>
      </c>
      <c r="M25" s="91" ph="1">
        <f>M24*18.322*LOOKUP(M26,密度!$A$2:$A$50,密度!$Q$2:$Q$50)</f>
        <v>84223.918099200004</v>
      </c>
      <c r="N25" s="91" ph="1">
        <f>N24*18.322*LOOKUP(N26,密度!$A$2:$A$50,密度!$Q$2:$Q$50)</f>
        <v>42772.130024799997</v>
      </c>
      <c r="O25" s="91" ph="1">
        <f>O24*18.322*LOOKUP(O26,密度!$A$2:$A$50,密度!$C$2:$C$50)</f>
        <v>64926.302746600006</v>
      </c>
      <c r="P25" s="91" ph="1">
        <f>P24*11.702*LOOKUP(P26,密度!$A$2:$A$50,密度!$B$2:$B$50)</f>
        <v>10606.973647999999</v>
      </c>
      <c r="Q25" s="92" ph="1">
        <f>Q24*18.322*LOOKUP(Q26,密度!$A$2:$A$50,密度!$B$2:$B$50)</f>
        <v>74690.829426600001</v>
      </c>
      <c r="R25" s="91" ph="1">
        <f>R24*35.891*LOOKUP(R26,密度!$A$2:$A$50,密度!$C$2:$C$50)</f>
        <v>125617.8108928</v>
      </c>
      <c r="S25" s="91" ph="1">
        <f>S24*35.891*LOOKUP(S26,密度!$A$2:$A$50,密度!$B$2:$B$50)</f>
        <v>15873.598708400001</v>
      </c>
      <c r="T25" s="91" ph="1">
        <f>T24*35.891*LOOKUP(T26,密度!$A$2:$A$50,密度!$Q$2:$Q$50)</f>
        <v>35085.702865699997</v>
      </c>
      <c r="U25" s="91" ph="1">
        <f>U24*35.891</f>
        <v>253354.56899999999</v>
      </c>
      <c r="V25" s="91" ph="1">
        <f>V24*47.051*LOOKUP(V26,密度!$A$2:$A$50,密度!$B$2:$B$50)</f>
        <v>185578.32835520001</v>
      </c>
      <c r="W25" s="91" ph="1">
        <f>W24*47.051*LOOKUP(W26,密度!$A$2:$A$50,密度!$B$2:$B$50)</f>
        <v>142449.70203449999</v>
      </c>
      <c r="X25" s="91" ph="1">
        <f>X24*47.051*LOOKUP(X26,密度!$A$2:$A$61,密度!$I$2:$I$61)</f>
        <v>87778.307959200014</v>
      </c>
      <c r="Y25" s="91" ph="1">
        <f>Y24*47.051*LOOKUP(Y26,密度!$A$2:$A$50,密度!$L$2:$L$50)</f>
        <v>182537.55396799999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22</v>
      </c>
      <c r="G26" s="74">
        <v>23</v>
      </c>
      <c r="H26" s="74">
        <v>22</v>
      </c>
      <c r="I26" s="74">
        <v>22</v>
      </c>
      <c r="J26" s="74">
        <v>23</v>
      </c>
      <c r="K26" s="74">
        <v>22</v>
      </c>
      <c r="L26" s="74">
        <v>22</v>
      </c>
      <c r="M26" s="74">
        <v>23</v>
      </c>
      <c r="N26" s="74">
        <v>23</v>
      </c>
      <c r="O26" s="74">
        <v>21</v>
      </c>
      <c r="P26" s="74">
        <v>23</v>
      </c>
      <c r="Q26" s="93">
        <v>22</v>
      </c>
      <c r="R26" s="74">
        <v>23</v>
      </c>
      <c r="S26" s="74">
        <v>23</v>
      </c>
      <c r="T26" s="74">
        <v>22</v>
      </c>
      <c r="U26" s="74">
        <v>24</v>
      </c>
      <c r="V26" s="74">
        <v>21</v>
      </c>
      <c r="W26" s="74">
        <v>24</v>
      </c>
      <c r="X26" s="74">
        <v>24</v>
      </c>
      <c r="Y26" s="74">
        <v>24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7" t="s" ph="1">
        <v>180</v>
      </c>
      <c r="D27" s="71">
        <v>4.26</v>
      </c>
      <c r="E27" s="71">
        <v>5.61</v>
      </c>
      <c r="F27" s="71">
        <v>0</v>
      </c>
      <c r="G27" s="71">
        <v>2280</v>
      </c>
      <c r="H27" s="71">
        <v>2602</v>
      </c>
      <c r="I27" s="71">
        <v>2005</v>
      </c>
      <c r="J27" s="71">
        <v>213</v>
      </c>
      <c r="K27" s="71">
        <v>244</v>
      </c>
      <c r="L27" s="71">
        <v>465</v>
      </c>
      <c r="M27" s="71">
        <v>4851</v>
      </c>
      <c r="N27" s="71">
        <v>2461</v>
      </c>
      <c r="O27" s="71">
        <v>3183</v>
      </c>
      <c r="P27" s="71">
        <v>1158</v>
      </c>
      <c r="Q27" s="90">
        <v>450</v>
      </c>
      <c r="R27" s="71">
        <v>3149</v>
      </c>
      <c r="S27" s="71">
        <v>3156</v>
      </c>
      <c r="T27" s="71">
        <v>450</v>
      </c>
      <c r="U27" s="71">
        <v>7046</v>
      </c>
      <c r="V27" s="71">
        <v>4720</v>
      </c>
      <c r="W27" s="71">
        <v>3879</v>
      </c>
      <c r="X27" s="71">
        <v>1663</v>
      </c>
      <c r="Y27" s="71">
        <v>2531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7" t="s" ph="1">
        <v>178</v>
      </c>
      <c r="D28" s="91" ph="1">
        <f>D27*268.68*LOOKUP(D29,密度!$A$2:$A$50,密度!$Q$2:$Q$50)+IF(D27&lt;=0,0,1566*LOOKUP(D29,密度!$A$2:$A$50,密度!$Q$2:$Q$50))</f>
        <v>2566.2114796320002</v>
      </c>
      <c r="E28" s="91" ph="1">
        <f>E27*268.68*LOOKUP(E29,密度!$A$2:$A$50,密度!$C$2:$C$50)+IF(E27&lt;=0,0,1566*LOOKUP(E29,密度!$A$2:$A$50,密度!$C$2:$C$50))</f>
        <v>3407.9766037199997</v>
      </c>
      <c r="F28" s="91" ph="1">
        <f>F27*11.702*LOOKUP(F29,密度!$A$2:$A$50,密度!$Q$2:$Q$50)</f>
        <v>0</v>
      </c>
      <c r="G28" s="91" ph="1">
        <f>G27*18.322*LOOKUP(G29,密度!$A$2:$A$50,密度!$B$2:$B$50)</f>
        <v>32642.328623999998</v>
      </c>
      <c r="H28" s="91" ph="1">
        <f>H27*18.322*LOOKUP(H29,密度!$A$2:$A$50,密度!$B$2:$B$50)</f>
        <v>37209.435242</v>
      </c>
      <c r="I28" s="91" ph="1">
        <f>I27*18.322*LOOKUP(I29,密度!$A$2:$A$50,密度!$Q$2:$Q$50)</f>
        <v>34832.705402</v>
      </c>
      <c r="J28" s="91" ph="1">
        <f>J27*18.322*LOOKUP(J29,密度!$A$2:$A$50,密度!$Q$2:$Q$50)</f>
        <v>3697.5831574200001</v>
      </c>
      <c r="K28" s="91" ph="1">
        <f>K27*18.322*LOOKUP(K29,密度!$A$2:$A$50,密度!$Q$2:$Q$50)</f>
        <v>4238.9925776</v>
      </c>
      <c r="L28" s="91" ph="1">
        <f>L27*18.322*LOOKUP(L29,密度!$A$2:$A$50,密度!$Q$2:$Q$50)</f>
        <v>7981.4534585999991</v>
      </c>
      <c r="M28" s="91" ph="1">
        <f>M27*18.322*LOOKUP(M29,密度!$A$2:$A$50,密度!$Q$2:$Q$50)</f>
        <v>84276.036860399996</v>
      </c>
      <c r="N28" s="91" ph="1">
        <f>N27*18.322*LOOKUP(N29,密度!$A$2:$A$50,密度!$Q$2:$Q$50)</f>
        <v>42754.7571044</v>
      </c>
      <c r="O28" s="91" ph="1">
        <f>O27*18.322*LOOKUP(O29,密度!$A$2:$A$50,密度!$C$2:$C$50)</f>
        <v>64710.680289599994</v>
      </c>
      <c r="P28" s="91" ph="1">
        <f>P27*11.702*LOOKUP(P29,密度!$A$2:$A$50,密度!$B$2:$B$50)</f>
        <v>10588.685762399999</v>
      </c>
      <c r="Q28" s="92" ph="1">
        <f>Q27*18.322*LOOKUP(Q29,密度!$A$2:$A$50,密度!$B$2:$B$50)</f>
        <v>6457.4056799999998</v>
      </c>
      <c r="R28" s="91" ph="1">
        <f>R27*35.891*LOOKUP(R29,密度!$A$2:$A$50,密度!$C$2:$C$50)</f>
        <v>125577.36532489999</v>
      </c>
      <c r="S28" s="91" ph="1">
        <f>S27*35.891*LOOKUP(S29,密度!$A$2:$A$50,密度!$B$2:$B$50)</f>
        <v>88714.627267200005</v>
      </c>
      <c r="T28" s="91" ph="1">
        <f>T27*35.891*LOOKUP(T29,密度!$A$2:$A$50,密度!$Q$2:$Q$50)</f>
        <v>15314.33079</v>
      </c>
      <c r="U28" s="91" ph="1">
        <f>U27*35.891</f>
        <v>252887.98599999998</v>
      </c>
      <c r="V28" s="91" ph="1">
        <f>V27*47.051*LOOKUP(V29,密度!$A$2:$A$50,密度!$B$2:$B$50)</f>
        <v>173334.00195999999</v>
      </c>
      <c r="W28" s="91" ph="1">
        <f>W27*47.051*LOOKUP(W29,密度!$A$2:$A$50,密度!$B$2:$B$50)</f>
        <v>142121.1825423</v>
      </c>
      <c r="X28" s="91" ph="1">
        <f>X27*47.051*LOOKUP(X29,密度!$A$2:$A$61,密度!$I$2:$I$61)</f>
        <v>81469.540495599998</v>
      </c>
      <c r="Y28" s="91" ph="1">
        <f>Y27*47.051*LOOKUP(Y29,密度!$A$2:$A$50,密度!$L$2:$L$50)</f>
        <v>111345.48573500001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7" t="s" ph="1">
        <v>179</v>
      </c>
      <c r="D29" s="74">
        <v>25</v>
      </c>
      <c r="E29" s="74">
        <v>25</v>
      </c>
      <c r="F29" s="74">
        <v>24</v>
      </c>
      <c r="G29" s="74">
        <v>23</v>
      </c>
      <c r="H29" s="74">
        <v>24</v>
      </c>
      <c r="I29" s="74">
        <v>23</v>
      </c>
      <c r="J29" s="74">
        <v>24</v>
      </c>
      <c r="K29" s="74">
        <v>23</v>
      </c>
      <c r="L29" s="74">
        <v>236</v>
      </c>
      <c r="M29" s="74">
        <v>23</v>
      </c>
      <c r="N29" s="74">
        <v>23</v>
      </c>
      <c r="O29" s="74">
        <v>24</v>
      </c>
      <c r="P29" s="74">
        <v>23</v>
      </c>
      <c r="Q29" s="93">
        <v>21</v>
      </c>
      <c r="R29" s="74">
        <v>22</v>
      </c>
      <c r="S29" s="74">
        <v>21</v>
      </c>
      <c r="T29" s="74">
        <v>23</v>
      </c>
      <c r="U29" s="74">
        <v>24</v>
      </c>
      <c r="V29" s="74">
        <v>24</v>
      </c>
      <c r="W29" s="74">
        <v>26</v>
      </c>
      <c r="X29" s="74">
        <v>26</v>
      </c>
      <c r="Y29" s="74">
        <v>27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172637.23257630001</v>
      </c>
      <c r="E33" s="190" ph="1">
        <f>M10+I10</f>
        <v>135316.37540939997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16" ph="1">
        <f>N19</f>
        <v>17947.072359600003</v>
      </c>
      <c r="H33" s="190" ph="1">
        <f>M19</f>
        <v>12334.427722300001</v>
      </c>
      <c r="I33" s="194" ph="1">
        <v>0</v>
      </c>
      <c r="J33" s="198" ph="1">
        <f>F10+O28</f>
        <v>279271.8222393</v>
      </c>
      <c r="K33" s="190" ph="1">
        <f>O10+K10+E28+R28</f>
        <v>139941.30956142</v>
      </c>
      <c r="L33" s="200" ph="1">
        <f>K19</f>
        <v>22886.464255760002</v>
      </c>
      <c r="M33" s="198" ph="1">
        <f>G10+H10+W28+S28+V28+E10+R19+P28+Q28</f>
        <v>1129357.4518449001</v>
      </c>
      <c r="N33" s="190" ph="1">
        <f>L10+P10++G28+H28+AD19+AE19</f>
        <v>141245.55686600003</v>
      </c>
      <c r="O33" s="194" ph="1">
        <f>G19</f>
        <v>26954.066589599999</v>
      </c>
      <c r="P33" s="198" ph="1">
        <f>L19</f>
        <v>38899.997981460001</v>
      </c>
      <c r="Q33" s="190" ph="1">
        <f>J10+N10</f>
        <v>53180.913256799999</v>
      </c>
      <c r="R33" s="194" ph="1">
        <f>BE23</f>
        <v>890</v>
      </c>
      <c r="S33" s="198" ph="1">
        <f>X28</f>
        <v>81469.540495599998</v>
      </c>
      <c r="T33" s="190" ph="1">
        <f>X19</f>
        <v>2800.3190594400003</v>
      </c>
      <c r="U33" s="179" ph="1">
        <f>BE21</f>
        <v>730</v>
      </c>
      <c r="V33" s="192" ph="1">
        <f ca="1">P19+Q19+S19+M28+N28+J28+D10+AC10+D19+E19+H19+J19+O19+V19+W19+K28+L28</f>
        <v>616671.95603362995</v>
      </c>
      <c r="W33" s="192" ph="1">
        <f>D28+F28+T28+I28</f>
        <v>52713.247671632002</v>
      </c>
      <c r="X33" s="194" ph="1">
        <f>BE29+BE31</f>
        <v>10200</v>
      </c>
      <c r="Y33" s="196" ph="1">
        <f>+Q10+R10+S10+T10+U10+V10+W10+X10+Y10</f>
        <v>239442.71066100002</v>
      </c>
      <c r="Z33" s="177" ph="1">
        <f>T19+U19+Y28+Z10</f>
        <v>217662.9973709</v>
      </c>
      <c r="AA33" s="179" ph="1">
        <f>BE19</f>
        <v>1440</v>
      </c>
      <c r="AB33" s="181" ph="1">
        <f>I19</f>
        <v>333.219312</v>
      </c>
      <c r="AC33" s="183" ph="1">
        <f>AD10+AB19</f>
        <v>132873.49904580001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9" t="s" ph="1">
        <v>185</v>
      </c>
      <c r="AA36" s="159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429" priority="100">
      <formula>ABS(D$7-D$10)&gt;=1000</formula>
    </cfRule>
  </conditionalFormatting>
  <conditionalFormatting sqref="E4 E6:E11">
    <cfRule type="expression" dxfId="1428" priority="99">
      <formula>ABS(E$7-E$10)&gt;=1000</formula>
    </cfRule>
  </conditionalFormatting>
  <conditionalFormatting sqref="F4:F11">
    <cfRule type="expression" dxfId="1427" priority="98">
      <formula>ABS(F$7-F$10)&gt;=1000</formula>
    </cfRule>
  </conditionalFormatting>
  <conditionalFormatting sqref="G4:G11">
    <cfRule type="expression" dxfId="1426" priority="97">
      <formula>ABS(G$7-G$10)&gt;=1000</formula>
    </cfRule>
  </conditionalFormatting>
  <conditionalFormatting sqref="H4:H11">
    <cfRule type="expression" dxfId="1425" priority="96">
      <formula>ABS(H$7-H$10)&gt;=1000</formula>
    </cfRule>
  </conditionalFormatting>
  <conditionalFormatting sqref="I4:I11">
    <cfRule type="expression" dxfId="1424" priority="95">
      <formula>ABS(I$7-I$10)&gt;=1000</formula>
    </cfRule>
  </conditionalFormatting>
  <conditionalFormatting sqref="J4:J11">
    <cfRule type="expression" dxfId="1423" priority="94">
      <formula>ABS(J$7-J$10)&gt;=1000</formula>
    </cfRule>
  </conditionalFormatting>
  <conditionalFormatting sqref="K4:K11">
    <cfRule type="expression" dxfId="1422" priority="93">
      <formula>ABS(K$7-K$10)&gt;=1000</formula>
    </cfRule>
  </conditionalFormatting>
  <conditionalFormatting sqref="L4:L11">
    <cfRule type="expression" dxfId="1421" priority="92">
      <formula>ABS(L$7-L$10)&gt;=1000</formula>
    </cfRule>
  </conditionalFormatting>
  <conditionalFormatting sqref="M4 M6:M11">
    <cfRule type="expression" dxfId="1420" priority="91">
      <formula>ABS(M$7-M$10)&gt;=1000</formula>
    </cfRule>
  </conditionalFormatting>
  <conditionalFormatting sqref="N4 N6:N11">
    <cfRule type="expression" dxfId="1419" priority="90">
      <formula>ABS(N$7-N$10)&gt;=1000</formula>
    </cfRule>
  </conditionalFormatting>
  <conditionalFormatting sqref="O4 O6:O11">
    <cfRule type="expression" dxfId="1418" priority="89">
      <formula>ABS(O$7-O$10)&gt;=1000</formula>
    </cfRule>
  </conditionalFormatting>
  <conditionalFormatting sqref="P4 P6:P11">
    <cfRule type="expression" dxfId="1417" priority="88">
      <formula>ABS(P$7-P$10)&gt;=1000</formula>
    </cfRule>
  </conditionalFormatting>
  <conditionalFormatting sqref="Q4:Q11">
    <cfRule type="expression" dxfId="1416" priority="87">
      <formula>ABS(Q$7-Q$10)&gt;=1000</formula>
    </cfRule>
  </conditionalFormatting>
  <conditionalFormatting sqref="R4:R11">
    <cfRule type="expression" dxfId="1415" priority="86">
      <formula>ABS(R$7-R$10)&gt;=1000</formula>
    </cfRule>
  </conditionalFormatting>
  <conditionalFormatting sqref="S4:S11">
    <cfRule type="expression" dxfId="1414" priority="85">
      <formula>ABS(S$7-S$10)&gt;=1000</formula>
    </cfRule>
  </conditionalFormatting>
  <conditionalFormatting sqref="T4:T9 T11">
    <cfRule type="expression" dxfId="1413" priority="84">
      <formula>ABS(T$7-T$10)&gt;=1000</formula>
    </cfRule>
  </conditionalFormatting>
  <conditionalFormatting sqref="U4:U9 U11">
    <cfRule type="expression" dxfId="1412" priority="83">
      <formula>ABS(U$7-U$10)&gt;=1000</formula>
    </cfRule>
  </conditionalFormatting>
  <conditionalFormatting sqref="V4:V9 V11">
    <cfRule type="expression" dxfId="1411" priority="82">
      <formula>ABS(V$7-V$10)&gt;=1000</formula>
    </cfRule>
  </conditionalFormatting>
  <conditionalFormatting sqref="W4:W9 W11">
    <cfRule type="expression" dxfId="1410" priority="81">
      <formula>ABS(W$7-W$10)&gt;=1000</formula>
    </cfRule>
  </conditionalFormatting>
  <conditionalFormatting sqref="X4:X9 X11">
    <cfRule type="expression" dxfId="1409" priority="80">
      <formula>ABS(X$7-X$10)&gt;=1000</formula>
    </cfRule>
  </conditionalFormatting>
  <conditionalFormatting sqref="Y4:Y9 Y11">
    <cfRule type="expression" dxfId="1408" priority="79">
      <formula>ABS(Y$7-Y$10)&gt;=1000</formula>
    </cfRule>
  </conditionalFormatting>
  <conditionalFormatting sqref="Z4:Z11">
    <cfRule type="expression" dxfId="1407" priority="78">
      <formula>ABS(Z$7-Z$10)&gt;=1000</formula>
    </cfRule>
  </conditionalFormatting>
  <conditionalFormatting sqref="AA4:AA11">
    <cfRule type="expression" dxfId="1406" priority="77">
      <formula>ABS(AA$7-AA$10)&gt;=1000</formula>
    </cfRule>
  </conditionalFormatting>
  <conditionalFormatting sqref="AB4:AB11">
    <cfRule type="expression" dxfId="1405" priority="76">
      <formula>ABS(AB$7-AB$10)&gt;=1000</formula>
    </cfRule>
  </conditionalFormatting>
  <conditionalFormatting sqref="AC4 AC6:AC11">
    <cfRule type="expression" dxfId="1404" priority="75">
      <formula>ABS(AC$7-AC$10)&gt;=1000</formula>
    </cfRule>
  </conditionalFormatting>
  <conditionalFormatting sqref="AD4 AD6:AD11">
    <cfRule type="expression" dxfId="1403" priority="74">
      <formula>ABS(AD$7-AD$10)&gt;=1000</formula>
    </cfRule>
  </conditionalFormatting>
  <conditionalFormatting sqref="AE4 AE6:AE11">
    <cfRule type="expression" dxfId="1402" priority="73">
      <formula>ABS(AE$7-AE$10)&gt;=1000</formula>
    </cfRule>
  </conditionalFormatting>
  <conditionalFormatting sqref="D13:D20">
    <cfRule type="expression" dxfId="1401" priority="72">
      <formula>ABS(D$16-D$19)&gt;=1000</formula>
    </cfRule>
  </conditionalFormatting>
  <conditionalFormatting sqref="E13:E20">
    <cfRule type="expression" dxfId="1400" priority="71">
      <formula>ABS(E$16-E$19)&gt;=1000</formula>
    </cfRule>
  </conditionalFormatting>
  <conditionalFormatting sqref="F13 F15:F20">
    <cfRule type="expression" dxfId="1399" priority="70">
      <formula>ABS(F$16-F$19)&gt;=1000</formula>
    </cfRule>
  </conditionalFormatting>
  <conditionalFormatting sqref="G13:G20">
    <cfRule type="expression" dxfId="1398" priority="69">
      <formula>ABS(G$16-G$19)&gt;=1000</formula>
    </cfRule>
  </conditionalFormatting>
  <conditionalFormatting sqref="H13 H15:H20">
    <cfRule type="expression" dxfId="1397" priority="68">
      <formula>ABS(H$16-H$19)&gt;=1000</formula>
    </cfRule>
  </conditionalFormatting>
  <conditionalFormatting sqref="I13:I20">
    <cfRule type="expression" dxfId="1396" priority="67">
      <formula>ABS(I$16-I$19)&gt;=1000</formula>
    </cfRule>
  </conditionalFormatting>
  <conditionalFormatting sqref="J13:J20">
    <cfRule type="expression" dxfId="1395" priority="66">
      <formula>ABS(J$16-J$19)&gt;=1000</formula>
    </cfRule>
  </conditionalFormatting>
  <conditionalFormatting sqref="L13:L20">
    <cfRule type="expression" dxfId="1394" priority="65">
      <formula>ABS(L$16-L$19)&gt;=1000</formula>
    </cfRule>
  </conditionalFormatting>
  <conditionalFormatting sqref="M13 M15 M17:M18 M20">
    <cfRule type="expression" dxfId="1393" priority="64">
      <formula>ABS(M$16-M$19)&gt;=1000</formula>
    </cfRule>
  </conditionalFormatting>
  <conditionalFormatting sqref="N13:N20">
    <cfRule type="expression" dxfId="1392" priority="63">
      <formula>ABS(N$16-N$19)&gt;=1000</formula>
    </cfRule>
  </conditionalFormatting>
  <conditionalFormatting sqref="O13:O20">
    <cfRule type="expression" dxfId="1391" priority="62">
      <formula>ABS(O$16-O$19)&gt;=1000</formula>
    </cfRule>
  </conditionalFormatting>
  <conditionalFormatting sqref="P13:P20">
    <cfRule type="expression" dxfId="1390" priority="61">
      <formula>ABS(P$16-P$19)&gt;=1000</formula>
    </cfRule>
  </conditionalFormatting>
  <conditionalFormatting sqref="Q13 Q15:Q20">
    <cfRule type="expression" dxfId="1389" priority="60">
      <formula>ABS(Q$16-Q$19)&gt;=1000</formula>
    </cfRule>
  </conditionalFormatting>
  <conditionalFormatting sqref="R13:R20">
    <cfRule type="expression" dxfId="1388" priority="59">
      <formula>ABS(R$16-R$19)&gt;=1000</formula>
    </cfRule>
  </conditionalFormatting>
  <conditionalFormatting sqref="S13:S20">
    <cfRule type="expression" dxfId="1387" priority="58">
      <formula>ABS(S$16-S$19)&gt;=1000</formula>
    </cfRule>
  </conditionalFormatting>
  <conditionalFormatting sqref="T13:T20">
    <cfRule type="expression" dxfId="1386" priority="57">
      <formula>ABS(T$16-T$19)&gt;=1000</formula>
    </cfRule>
  </conditionalFormatting>
  <conditionalFormatting sqref="U13:U20">
    <cfRule type="expression" dxfId="1385" priority="56">
      <formula>ABS(U$16-U$19)&gt;=1000</formula>
    </cfRule>
  </conditionalFormatting>
  <conditionalFormatting sqref="V13:V20">
    <cfRule type="expression" dxfId="1384" priority="55">
      <formula>ABS(V$16-V$19)&gt;=1000</formula>
    </cfRule>
  </conditionalFormatting>
  <conditionalFormatting sqref="W13 W20 W15:W18">
    <cfRule type="expression" dxfId="1383" priority="54">
      <formula>ABS(W$16-W$19)&gt;=1000</formula>
    </cfRule>
  </conditionalFormatting>
  <conditionalFormatting sqref="X13 X15:X20 Y19">
    <cfRule type="expression" dxfId="1382" priority="53">
      <formula>ABS(X$16-X$19)&gt;=1000</formula>
    </cfRule>
  </conditionalFormatting>
  <conditionalFormatting sqref="Y13 Y15:Y18 Y20">
    <cfRule type="expression" dxfId="1381" priority="52">
      <formula>ABS(Y$16-Y$19)&gt;=1000</formula>
    </cfRule>
  </conditionalFormatting>
  <conditionalFormatting sqref="Z13:Z20">
    <cfRule type="expression" dxfId="1380" priority="51">
      <formula>ABS(Z$16-Z$19)&gt;=1000</formula>
    </cfRule>
  </conditionalFormatting>
  <conditionalFormatting sqref="AA13:AA20">
    <cfRule type="expression" dxfId="1379" priority="50">
      <formula>ABS(AA$16-AA$19)&gt;=1000</formula>
    </cfRule>
  </conditionalFormatting>
  <conditionalFormatting sqref="AB13 AB15:AB20">
    <cfRule type="expression" dxfId="1378" priority="49">
      <formula>ABS(AB$16-AB$19)&gt;=1000</formula>
    </cfRule>
  </conditionalFormatting>
  <conditionalFormatting sqref="AC13 AC15:AC20">
    <cfRule type="expression" dxfId="1377" priority="48">
      <formula>ABS(AC$16-AC$19)&gt;=1000</formula>
    </cfRule>
  </conditionalFormatting>
  <conditionalFormatting sqref="AD13:AD20">
    <cfRule type="expression" dxfId="1376" priority="47">
      <formula>ABS(AD$16-AD$19)&gt;=1000</formula>
    </cfRule>
  </conditionalFormatting>
  <conditionalFormatting sqref="AE13:AE20">
    <cfRule type="expression" dxfId="1375" priority="46">
      <formula>ABS(AE$16-AE$19)&gt;=1000</formula>
    </cfRule>
  </conditionalFormatting>
  <conditionalFormatting sqref="D22:D29">
    <cfRule type="expression" dxfId="1374" priority="45">
      <formula>ABS(D$25-D$28)&gt;=1000</formula>
    </cfRule>
  </conditionalFormatting>
  <conditionalFormatting sqref="E22:E29">
    <cfRule type="expression" dxfId="1373" priority="44">
      <formula>ABS(E$25-E$28)&gt;=1000</formula>
    </cfRule>
  </conditionalFormatting>
  <conditionalFormatting sqref="F22:F29">
    <cfRule type="expression" dxfId="1372" priority="43">
      <formula>ABS(F$25-F$28)&gt;=1000</formula>
    </cfRule>
  </conditionalFormatting>
  <conditionalFormatting sqref="G22:G29">
    <cfRule type="expression" dxfId="1371" priority="42">
      <formula>ABS(G$25-G$28)&gt;=1000</formula>
    </cfRule>
  </conditionalFormatting>
  <conditionalFormatting sqref="H22:H29">
    <cfRule type="expression" dxfId="1370" priority="41">
      <formula>ABS(H$25-H$28)&gt;=1000</formula>
    </cfRule>
  </conditionalFormatting>
  <conditionalFormatting sqref="I22 I24:I29">
    <cfRule type="expression" dxfId="1369" priority="40">
      <formula>ABS(I$25-I$28)&gt;=1000</formula>
    </cfRule>
  </conditionalFormatting>
  <conditionalFormatting sqref="J22:J29 K22">
    <cfRule type="expression" dxfId="1368" priority="39">
      <formula>ABS(J$25-J$28)&gt;=1000</formula>
    </cfRule>
  </conditionalFormatting>
  <conditionalFormatting sqref="K23:K29 L25 L28">
    <cfRule type="expression" dxfId="1367" priority="38">
      <formula>ABS(K$25-K$28)&gt;=1000</formula>
    </cfRule>
  </conditionalFormatting>
  <conditionalFormatting sqref="L22 L26:L27 L29 L24">
    <cfRule type="expression" dxfId="1366" priority="37">
      <formula>ABS(L$25-L$28)&gt;=1000</formula>
    </cfRule>
  </conditionalFormatting>
  <conditionalFormatting sqref="M22:M29">
    <cfRule type="expression" dxfId="1365" priority="36">
      <formula>ABS(M$25-M$28)&gt;=1000</formula>
    </cfRule>
  </conditionalFormatting>
  <conditionalFormatting sqref="N22:N29">
    <cfRule type="expression" dxfId="1364" priority="35">
      <formula>ABS(N$25-N$28)&gt;=1000</formula>
    </cfRule>
  </conditionalFormatting>
  <conditionalFormatting sqref="O22:O29">
    <cfRule type="expression" dxfId="1363" priority="34">
      <formula>ABS(O$25-O$28)&gt;=1000</formula>
    </cfRule>
  </conditionalFormatting>
  <conditionalFormatting sqref="P22:P29">
    <cfRule type="expression" dxfId="1362" priority="33">
      <formula>ABS(P$25-P$28)&gt;=1000</formula>
    </cfRule>
  </conditionalFormatting>
  <conditionalFormatting sqref="Q22:Q29">
    <cfRule type="expression" dxfId="1361" priority="32">
      <formula>ABS(Q$25-Q$28)&gt;=1000</formula>
    </cfRule>
  </conditionalFormatting>
  <conditionalFormatting sqref="R22:R29">
    <cfRule type="expression" dxfId="1360" priority="31">
      <formula>ABS(R$25-R$28)&gt;=1000</formula>
    </cfRule>
  </conditionalFormatting>
  <conditionalFormatting sqref="S22:S29">
    <cfRule type="expression" dxfId="1359" priority="30">
      <formula>ABS(S$25-S$28)&gt;=1000</formula>
    </cfRule>
  </conditionalFormatting>
  <conditionalFormatting sqref="T22:T29">
    <cfRule type="expression" dxfId="1358" priority="29">
      <formula>ABS(T$25-T$28)&gt;=1000</formula>
    </cfRule>
  </conditionalFormatting>
  <conditionalFormatting sqref="U22:U29">
    <cfRule type="expression" dxfId="1357" priority="28">
      <formula>ABS(U$25-U$28)&gt;=1000</formula>
    </cfRule>
  </conditionalFormatting>
  <conditionalFormatting sqref="V22:V29">
    <cfRule type="expression" dxfId="1356" priority="27">
      <formula>ABS(V$25-V$28)&gt;=1000</formula>
    </cfRule>
  </conditionalFormatting>
  <conditionalFormatting sqref="W22:W29">
    <cfRule type="expression" dxfId="1355" priority="26">
      <formula>ABS(W$25-W$28)&gt;=1000</formula>
    </cfRule>
  </conditionalFormatting>
  <conditionalFormatting sqref="X22:X29">
    <cfRule type="expression" dxfId="1354" priority="25">
      <formula>ABS(X$25-X$28)&gt;=1000</formula>
    </cfRule>
  </conditionalFormatting>
  <conditionalFormatting sqref="Y22:Y29">
    <cfRule type="expression" dxfId="1353" priority="24">
      <formula>ABS(Y$25-Y$28)&gt;=1000</formula>
    </cfRule>
  </conditionalFormatting>
  <conditionalFormatting sqref="I23">
    <cfRule type="expression" dxfId="1352" priority="23">
      <formula>ABS(I$25-I$28)&gt;=1000</formula>
    </cfRule>
  </conditionalFormatting>
  <conditionalFormatting sqref="Q14">
    <cfRule type="expression" dxfId="1351" priority="22">
      <formula>ABS(Q$16-Q$19)&gt;=1000</formula>
    </cfRule>
  </conditionalFormatting>
  <conditionalFormatting sqref="W14">
    <cfRule type="expression" dxfId="1350" priority="21">
      <formula>ABS(W$16-W$19)&gt;=1000</formula>
    </cfRule>
  </conditionalFormatting>
  <conditionalFormatting sqref="X14">
    <cfRule type="expression" dxfId="1349" priority="20">
      <formula>ABS(X$16-X$19)&gt;=1000</formula>
    </cfRule>
  </conditionalFormatting>
  <conditionalFormatting sqref="T10:Y10">
    <cfRule type="expression" dxfId="1348" priority="19">
      <formula>ABS(T$7-T$10)&gt;=1000</formula>
    </cfRule>
  </conditionalFormatting>
  <conditionalFormatting sqref="W19">
    <cfRule type="expression" dxfId="1347" priority="18">
      <formula>ABS(W$16-W$19)&gt;=1000</formula>
    </cfRule>
  </conditionalFormatting>
  <conditionalFormatting sqref="AC5">
    <cfRule type="expression" dxfId="1346" priority="17">
      <formula>ABS(AC$7-AC$10)&gt;=1000</formula>
    </cfRule>
  </conditionalFormatting>
  <conditionalFormatting sqref="M14">
    <cfRule type="expression" dxfId="1345" priority="16">
      <formula>ABS(M$16-M$19)&gt;=1000</formula>
    </cfRule>
  </conditionalFormatting>
  <conditionalFormatting sqref="M16">
    <cfRule type="expression" dxfId="1344" priority="15">
      <formula>ABS(M$16-M$19)&gt;=1000</formula>
    </cfRule>
  </conditionalFormatting>
  <conditionalFormatting sqref="M19">
    <cfRule type="expression" dxfId="1343" priority="14">
      <formula>ABS(M$16-M$19)&gt;=1000</formula>
    </cfRule>
  </conditionalFormatting>
  <conditionalFormatting sqref="K13:K20">
    <cfRule type="expression" dxfId="1342" priority="13">
      <formula>ABS(K$16-K$19)&gt;=1000</formula>
    </cfRule>
  </conditionalFormatting>
  <conditionalFormatting sqref="E5">
    <cfRule type="expression" dxfId="1341" priority="12">
      <formula>ABS(E$7-E$10)&gt;=1000</formula>
    </cfRule>
  </conditionalFormatting>
  <conditionalFormatting sqref="AB14:AC14">
    <cfRule type="expression" dxfId="1340" priority="11">
      <formula>ABS(AB$16-AB$19)&gt;=1000</formula>
    </cfRule>
  </conditionalFormatting>
  <conditionalFormatting sqref="M5">
    <cfRule type="expression" dxfId="1339" priority="10">
      <formula>ABS(M$7-M$10)&gt;=1000</formula>
    </cfRule>
  </conditionalFormatting>
  <conditionalFormatting sqref="N5">
    <cfRule type="expression" dxfId="1338" priority="9">
      <formula>ABS(N$7-N$10)&gt;=1000</formula>
    </cfRule>
  </conditionalFormatting>
  <conditionalFormatting sqref="O5">
    <cfRule type="expression" dxfId="1337" priority="8">
      <formula>ABS(O$7-O$10)&gt;=1000</formula>
    </cfRule>
  </conditionalFormatting>
  <conditionalFormatting sqref="P5">
    <cfRule type="expression" dxfId="1336" priority="7">
      <formula>ABS(P$7-P$10)&gt;=1000</formula>
    </cfRule>
  </conditionalFormatting>
  <conditionalFormatting sqref="L23">
    <cfRule type="expression" dxfId="1335" priority="6">
      <formula>ABS(L$25-L$28)&gt;=1000</formula>
    </cfRule>
  </conditionalFormatting>
  <conditionalFormatting sqref="Y14">
    <cfRule type="expression" dxfId="1334" priority="5">
      <formula>ABS(Y$16-Y$19)&gt;=1000</formula>
    </cfRule>
  </conditionalFormatting>
  <conditionalFormatting sqref="F14">
    <cfRule type="expression" dxfId="1333" priority="4">
      <formula>ABS(F$16-F$19)&gt;=1000</formula>
    </cfRule>
  </conditionalFormatting>
  <conditionalFormatting sqref="H14">
    <cfRule type="expression" dxfId="1332" priority="3">
      <formula>ABS(H$16-H$19)&gt;=1000</formula>
    </cfRule>
  </conditionalFormatting>
  <conditionalFormatting sqref="AD5">
    <cfRule type="expression" dxfId="1331" priority="2">
      <formula>ABS(AD$7-AD$10)&gt;=1000</formula>
    </cfRule>
  </conditionalFormatting>
  <conditionalFormatting sqref="AE5">
    <cfRule type="expression" dxfId="133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38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90">
    <pageSetUpPr fitToPage="1"/>
  </sheetPr>
  <dimension ref="A1:CU223"/>
  <sheetViews>
    <sheetView view="pageBreakPreview" zoomScale="59" zoomScaleNormal="100" zoomScaleSheetLayoutView="59" workbookViewId="0">
      <selection activeCell="Z13" sqref="Z13:Z2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46160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2" t="s" ph="1">
        <v>177</v>
      </c>
      <c r="D6" s="71">
        <v>162</v>
      </c>
      <c r="E6" s="71">
        <v>8150</v>
      </c>
      <c r="F6" s="71">
        <v>5833</v>
      </c>
      <c r="G6" s="71">
        <v>330</v>
      </c>
      <c r="H6" s="71">
        <v>9158</v>
      </c>
      <c r="I6" s="71">
        <v>57.23</v>
      </c>
      <c r="J6" s="71">
        <v>6.25</v>
      </c>
      <c r="K6" s="71">
        <v>7.47</v>
      </c>
      <c r="L6" s="71">
        <v>7.41</v>
      </c>
      <c r="M6" s="71">
        <v>5826</v>
      </c>
      <c r="N6" s="71">
        <v>1998</v>
      </c>
      <c r="O6" s="71">
        <v>383</v>
      </c>
      <c r="P6" s="71">
        <v>1924</v>
      </c>
      <c r="Q6" s="71">
        <v>2606</v>
      </c>
      <c r="R6" s="71">
        <v>0</v>
      </c>
      <c r="S6" s="71">
        <v>0</v>
      </c>
      <c r="T6" s="71">
        <v>4402</v>
      </c>
      <c r="U6" s="71">
        <v>7031</v>
      </c>
      <c r="V6" s="71">
        <v>6204</v>
      </c>
      <c r="W6" s="71">
        <v>7015</v>
      </c>
      <c r="X6" s="71">
        <v>7086</v>
      </c>
      <c r="Y6" s="71">
        <v>7231</v>
      </c>
      <c r="Z6" s="71">
        <v>3847</v>
      </c>
      <c r="AA6" s="71">
        <v>0</v>
      </c>
      <c r="AB6" s="71">
        <v>4461</v>
      </c>
      <c r="AC6" s="71">
        <v>3748</v>
      </c>
      <c r="AD6" s="71">
        <v>3562</v>
      </c>
      <c r="AE6" s="71">
        <v>5077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5085.5223853799998</v>
      </c>
      <c r="E7" s="73" ph="1">
        <f>E6*51.53*LOOKUP(E8,密度!$A$2:$A$50,密度!$B$2:$B$50)</f>
        <v>327030.24964999995</v>
      </c>
      <c r="F7" s="73" ph="1">
        <f>F6*33.183*LOOKUP(F8,密度!$A$2:$A$50,密度!$C$2:$C$50)</f>
        <v>214770.22471439998</v>
      </c>
      <c r="G7" s="73" ph="1">
        <f xml:space="preserve"> (G6+2)*51.53*LOOKUP(G8,密度!$A$2:$A$50,密度!$B$2:$B$50)</f>
        <v>13368.159943999999</v>
      </c>
      <c r="H7" s="73" ph="1">
        <f>(H6)*51.53*LOOKUP(H8,密度!$A$2:$A$50,密度!$B$2:$B$50)</f>
        <v>368751.833636</v>
      </c>
      <c r="I7" s="73" ph="1">
        <f>I6*290.8*1.0267</f>
        <v>17086.838322799998</v>
      </c>
      <c r="J7" s="73" ph="1">
        <f>J6*290.8*0.7892</f>
        <v>1434.3710000000001</v>
      </c>
      <c r="K7" s="73" ph="1">
        <f>K6*290.8*1.1126</f>
        <v>2416.8742775999999</v>
      </c>
      <c r="L7" s="73" ph="1">
        <f>L6*290.8*0.777</f>
        <v>1674.3013559999999</v>
      </c>
      <c r="M7" s="73" ph="1">
        <f>M6*33.183*LOOKUP(M8,密度!$A$2:$A$50,密度!$D$2:$D$50)</f>
        <v>197577.28947600001</v>
      </c>
      <c r="N7" s="73" ph="1">
        <f>N6*33.183*LOOKUP(N8,密度!$A$2:$A$50,密度!$E$2:$E$50)</f>
        <v>51700.454593200011</v>
      </c>
      <c r="O7" s="73" ph="1">
        <f>O6*20.428*LOOKUP(O8,密度!$A$2:$A$50,密度!$C$2:$C$50)</f>
        <v>8664.2134375999995</v>
      </c>
      <c r="P7" s="73" ph="1">
        <f>P6*51.53*LOOKUP(P8,密度!$A$2:$A$50,密度!$B$2:$B$50)</f>
        <v>77292.444111999997</v>
      </c>
      <c r="Q7" s="73" ph="1">
        <f>Q6*1.5*1.5*3.1416*LOOKUP(W8,密度!$A$2:$A$50,密度!$L$2:$L$50)</f>
        <v>17223.421446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29217.9025908</v>
      </c>
      <c r="U7" s="73" ph="1">
        <f>U6*1.5*1.5*3.1416*LOOKUP(U8,密度!$A$2:$A$50,密度!$L$2:$L$50)</f>
        <v>46667.667677400001</v>
      </c>
      <c r="V7" s="73" ph="1">
        <f>V6*1.5*1.5*3.1416*LOOKUP(V8,密度!$A$2:$A$50,密度!$L$2:$L$50)</f>
        <v>41090.817952800004</v>
      </c>
      <c r="W7" s="73" ph="1">
        <f>W6*1.5*1.5*3.1416*LOOKUP(W8,密度!$A$2:$A$50,密度!$L$2:$L$50)</f>
        <v>46363.124114999999</v>
      </c>
      <c r="X7" s="73" ph="1">
        <f>X6*1.5*1.5*3.1416*LOOKUP(X8,密度!$A$2:$A$50,密度!$L$2:$L$50)</f>
        <v>47233.077922799996</v>
      </c>
      <c r="Y7" s="73" ph="1">
        <f>Y6*1.5*1.5*3.1416*LOOKUP(Y8,密度!$A$2:$A$50,密度!$L$2:$L$50)</f>
        <v>47892.924664200007</v>
      </c>
      <c r="Z7" s="73" ph="1">
        <f>Z6*33.183*LOOKUP(Z8,密度!$A$2:$A$50,密度!$L$2:$L$50)</f>
        <v>119229.77093400001</v>
      </c>
      <c r="AA7" s="73" ph="1">
        <f>AA6*33.183*LOOKUP(AA8,密度!$A$2:$A$50,密度!$D$2:$D$50)</f>
        <v>0</v>
      </c>
      <c r="AB7" s="73" ph="1">
        <f>AB6*20.428*LOOKUP(AB8,密度!$A$2:$A$50,密度!$D$2:$D$50)</f>
        <v>93990.76827120001</v>
      </c>
      <c r="AC7" s="73" ph="1">
        <f>AC6*51.53*LOOKUP(AC8,密度!$A$2:$A$50,密度!$Q$2:$Q$50)</f>
        <v>183551.10908719999</v>
      </c>
      <c r="AD7" s="73" ph="1">
        <f>AD6*20.428*LOOKUP(AD8,密度!$A$2:$A$50,密度!$V$2:$V$50)</f>
        <v>69679.31967360001</v>
      </c>
      <c r="AE7" s="73" ph="1">
        <f>AE6*20.428</f>
        <v>103712.95600000001</v>
      </c>
    </row>
    <row r="8" spans="1:99" ph="1">
      <c r="B8" s="241" ph="1"/>
      <c r="C8" s="68" t="s" ph="1">
        <v>179</v>
      </c>
      <c r="D8" s="74">
        <v>26</v>
      </c>
      <c r="E8" s="74">
        <v>26</v>
      </c>
      <c r="F8" s="74">
        <v>24</v>
      </c>
      <c r="G8" s="74">
        <v>23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28</v>
      </c>
      <c r="O8" s="74">
        <v>27</v>
      </c>
      <c r="P8" s="74">
        <v>25</v>
      </c>
      <c r="Q8" s="74">
        <v>28</v>
      </c>
      <c r="R8" s="74">
        <v>31</v>
      </c>
      <c r="S8" s="74">
        <v>23</v>
      </c>
      <c r="T8" s="74">
        <v>23</v>
      </c>
      <c r="U8" s="74">
        <v>23</v>
      </c>
      <c r="V8" s="74">
        <v>25</v>
      </c>
      <c r="W8" s="74">
        <v>27</v>
      </c>
      <c r="X8" s="74">
        <v>19</v>
      </c>
      <c r="Y8" s="74">
        <v>25</v>
      </c>
      <c r="Z8" s="74">
        <v>28</v>
      </c>
      <c r="AA8" s="74">
        <v>23</v>
      </c>
      <c r="AB8" s="74">
        <v>20</v>
      </c>
      <c r="AC8" s="74">
        <v>20</v>
      </c>
      <c r="AD8" s="74">
        <v>32</v>
      </c>
      <c r="AE8" s="74">
        <v>28</v>
      </c>
    </row>
    <row r="9" spans="1:99" ht="26.4" ph="1">
      <c r="B9" s="241" ph="1">
        <v>0.66666666666666663</v>
      </c>
      <c r="C9" s="162" t="s" ph="1">
        <v>180</v>
      </c>
      <c r="D9" s="71">
        <v>0</v>
      </c>
      <c r="E9" s="71">
        <v>8152</v>
      </c>
      <c r="F9" s="71">
        <v>5838</v>
      </c>
      <c r="G9" s="71">
        <v>330</v>
      </c>
      <c r="H9" s="71">
        <v>9164</v>
      </c>
      <c r="I9" s="71">
        <v>6.17</v>
      </c>
      <c r="J9" s="71">
        <v>6.31</v>
      </c>
      <c r="K9" s="71">
        <v>7.45</v>
      </c>
      <c r="L9" s="71">
        <v>82.63</v>
      </c>
      <c r="M9" s="71">
        <v>6391</v>
      </c>
      <c r="N9" s="71">
        <v>1778</v>
      </c>
      <c r="O9" s="71">
        <v>382</v>
      </c>
      <c r="P9" s="71">
        <v>1361</v>
      </c>
      <c r="Q9" s="71">
        <v>5251</v>
      </c>
      <c r="R9" s="71">
        <v>0</v>
      </c>
      <c r="S9" s="71">
        <v>0</v>
      </c>
      <c r="T9" s="71">
        <v>194</v>
      </c>
      <c r="U9" s="71">
        <v>7038</v>
      </c>
      <c r="V9" s="71">
        <v>6212</v>
      </c>
      <c r="W9" s="71">
        <v>7024</v>
      </c>
      <c r="X9" s="71">
        <v>7093</v>
      </c>
      <c r="Y9" s="71">
        <v>7243</v>
      </c>
      <c r="Z9" s="71">
        <v>4771</v>
      </c>
      <c r="AA9" s="71">
        <v>0</v>
      </c>
      <c r="AB9" s="71">
        <v>4252</v>
      </c>
      <c r="AC9" s="71">
        <v>4160</v>
      </c>
      <c r="AD9" s="71">
        <v>3561</v>
      </c>
      <c r="AE9" s="71">
        <v>5023</v>
      </c>
    </row>
    <row r="10" spans="1:99" s="72" customFormat="1" ht="22.2" ph="1">
      <c r="B10" s="241" ph="1"/>
      <c r="C10" s="162" t="s" ph="1">
        <v>178</v>
      </c>
      <c r="D10" s="73" ph="1">
        <f>D9*33.183*LOOKUP(D11,密度!$A$2:$A$50,密度!$Q$2:$Q$50)</f>
        <v>0</v>
      </c>
      <c r="E10" s="73" ph="1">
        <f>E9*51.53*LOOKUP(E11,密度!$A$2:$A$50,密度!$B$2:$B$50)</f>
        <v>326060.32107200002</v>
      </c>
      <c r="F10" s="73" ph="1">
        <f>F9*33.183*LOOKUP(F11,密度!$A$2:$A$50,密度!$C$2:$C$50)</f>
        <v>214373.15693639999</v>
      </c>
      <c r="G10" s="73" ph="1">
        <f xml:space="preserve"> (G9+2)*51.53*LOOKUP(G11,密度!$A$2:$A$50,密度!$B$2:$B$50)</f>
        <v>13279.198552</v>
      </c>
      <c r="H10" s="73" ph="1">
        <f>(H9)*51.53*LOOKUP(H11,密度!$A$2:$A$50,密度!$B$2:$B$50)</f>
        <v>366537.878104</v>
      </c>
      <c r="I10" s="73" ph="1">
        <f>I9*290.8*1.0267</f>
        <v>1842.1421012000001</v>
      </c>
      <c r="J10" s="73" ph="1">
        <f>J9*290.8*0.7892</f>
        <v>1448.1409615999999</v>
      </c>
      <c r="K10" s="73" ph="1">
        <f>K9*290.8*1.1126</f>
        <v>2410.4033960000002</v>
      </c>
      <c r="L10" s="73" ph="1">
        <f>L9*290.8*0.777</f>
        <v>18670.380708000001</v>
      </c>
      <c r="M10" s="73" ph="1">
        <f>M9*33.183*LOOKUP(M11,密度!$A$2:$A$50,密度!$D$2:$D$50)</f>
        <v>215614.16463509997</v>
      </c>
      <c r="N10" s="73" ph="1">
        <f>N9*33.183*LOOKUP(N11,密度!$A$2:$A$50,密度!$E$2:$E$50)</f>
        <v>45877.913222399991</v>
      </c>
      <c r="O10" s="73" ph="1">
        <f>O9*20.428*LOOKUP(O11,密度!$A$2:$A$50,密度!$C$2:$C$50)</f>
        <v>8533.9032255999991</v>
      </c>
      <c r="P10" s="73" ph="1">
        <f>P9*51.53*LOOKUP(P11,密度!$A$2:$A$50,密度!$B$2:$B$50)</f>
        <v>54436.714546000003</v>
      </c>
      <c r="Q10" s="73" ph="1">
        <f>Q9*1.5*1.5*3.1416*LOOKUP(W11,密度!$A$2:$A$50,密度!$L$2:$L$50)</f>
        <v>34667.482172399999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1276.6881203999999</v>
      </c>
      <c r="U10" s="73" ph="1">
        <f>U9*1.5*1.5*3.1416*LOOKUP(U11,密度!$A$2:$A$50,密度!$L$2:$L$50)</f>
        <v>46564.883164799998</v>
      </c>
      <c r="V10" s="73" ph="1">
        <f>V9*1.5*1.5*3.1416*LOOKUP(V11,密度!$A$2:$A$50,密度!$L$2:$L$50)</f>
        <v>41055.983892000004</v>
      </c>
      <c r="W10" s="73" ph="1">
        <f>W9*1.5*1.5*3.1416*LOOKUP(W11,密度!$A$2:$A$50,密度!$L$2:$L$50)</f>
        <v>46372.956537600003</v>
      </c>
      <c r="X10" s="73" ph="1">
        <f>X9*1.5*1.5*3.1416*LOOKUP(X11,密度!$A$2:$A$50,密度!$L$2:$L$50)</f>
        <v>46878.637113000004</v>
      </c>
      <c r="Y10" s="73" ph="1">
        <f>Y9*1.5*1.5*3.1416*LOOKUP(Y11,密度!$A$2:$A$50,密度!$L$2:$L$50)</f>
        <v>47818.810393200001</v>
      </c>
      <c r="Z10" s="73" ph="1">
        <f>Z9*33.183*LOOKUP(Z11,密度!$A$2:$A$50,密度!$L$2:$L$50)</f>
        <v>147233.96648999999</v>
      </c>
      <c r="AA10" s="73" ph="1">
        <f>AA9*33.183*LOOKUP(AA11,密度!$A$2:$A$50,密度!$D$2:$D$50)</f>
        <v>0</v>
      </c>
      <c r="AB10" s="73" ph="1">
        <f>AB9*20.428*LOOKUP(AB11,密度!$A$2:$A$50,密度!$D$2:$D$50)</f>
        <v>89257.1880256</v>
      </c>
      <c r="AC10" s="73" ph="1">
        <f>AC9*51.53*LOOKUP(AC11,密度!$A$2:$A$50,密度!$Q$2:$Q$50)</f>
        <v>202216.74678400002</v>
      </c>
      <c r="AD10" s="73" ph="1">
        <f>AD9*20.428*LOOKUP(AD11,密度!$A$2:$A$50,密度!$V$2:$V$50)</f>
        <v>69659.757820800005</v>
      </c>
      <c r="AE10" s="73" ph="1">
        <f>AE9*20.428</f>
        <v>102609.844</v>
      </c>
    </row>
    <row r="11" spans="1:99" ph="1">
      <c r="A11" s="64" t="s" ph="1">
        <v>162</v>
      </c>
      <c r="B11" s="241" ph="1"/>
      <c r="C11" s="162" t="s" ph="1">
        <v>179</v>
      </c>
      <c r="D11" s="74">
        <v>30</v>
      </c>
      <c r="E11" s="74">
        <v>29</v>
      </c>
      <c r="F11" s="74">
        <v>28</v>
      </c>
      <c r="G11" s="74">
        <v>29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36</v>
      </c>
      <c r="N11" s="74">
        <v>30</v>
      </c>
      <c r="O11" s="74">
        <v>41</v>
      </c>
      <c r="P11" s="74">
        <v>29</v>
      </c>
      <c r="Q11" s="74">
        <v>30</v>
      </c>
      <c r="R11" s="74">
        <v>35</v>
      </c>
      <c r="S11" s="74">
        <v>29</v>
      </c>
      <c r="T11" s="74">
        <v>31</v>
      </c>
      <c r="U11" s="74">
        <v>26</v>
      </c>
      <c r="V11" s="74">
        <v>27</v>
      </c>
      <c r="W11" s="74">
        <v>28</v>
      </c>
      <c r="X11" s="74">
        <v>27</v>
      </c>
      <c r="Y11" s="74">
        <v>28</v>
      </c>
      <c r="Z11" s="74">
        <v>32</v>
      </c>
      <c r="AA11" s="74">
        <v>40</v>
      </c>
      <c r="AB11" s="74">
        <v>24</v>
      </c>
      <c r="AC11" s="74">
        <v>30</v>
      </c>
      <c r="AD11" s="74">
        <v>37</v>
      </c>
      <c r="AE11" s="74">
        <v>30</v>
      </c>
    </row>
    <row r="12" spans="1:99" ht="9.9" customHeight="1" ph="1"/>
    <row r="13" spans="1:99" s="72" customFormat="1" ht="29.25" customHeight="1" ph="1">
      <c r="B13" s="218" t="s" ph="1">
        <v>37</v>
      </c>
      <c r="C13" s="16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2" t="s" ph="1">
        <v>177</v>
      </c>
      <c r="D15" s="78">
        <v>6006</v>
      </c>
      <c r="E15" s="78">
        <v>4356</v>
      </c>
      <c r="F15" s="78">
        <v>1631</v>
      </c>
      <c r="G15" s="78">
        <v>4425</v>
      </c>
      <c r="H15" s="78">
        <v>0</v>
      </c>
      <c r="I15" s="78">
        <v>29</v>
      </c>
      <c r="J15" s="78">
        <v>5213</v>
      </c>
      <c r="K15" s="78">
        <v>2277</v>
      </c>
      <c r="L15" s="78">
        <v>5491</v>
      </c>
      <c r="M15" s="78">
        <v>6463</v>
      </c>
      <c r="N15" s="78">
        <v>444</v>
      </c>
      <c r="O15" s="78">
        <v>1961</v>
      </c>
      <c r="P15" s="78">
        <v>6998</v>
      </c>
      <c r="Q15" s="78">
        <v>6980</v>
      </c>
      <c r="R15" s="78">
        <v>0</v>
      </c>
      <c r="S15" s="78">
        <v>3803</v>
      </c>
      <c r="T15" s="78">
        <v>907</v>
      </c>
      <c r="U15" s="78">
        <v>5360</v>
      </c>
      <c r="V15" s="78">
        <v>2277</v>
      </c>
      <c r="W15" s="71">
        <v>-737</v>
      </c>
      <c r="X15" s="78">
        <v>-322</v>
      </c>
      <c r="Y15" s="106">
        <v>-2364</v>
      </c>
      <c r="Z15" s="78">
        <v>0</v>
      </c>
      <c r="AA15" s="78">
        <v>261</v>
      </c>
      <c r="AB15" s="78" ph="1">
        <v>7345</v>
      </c>
      <c r="AC15" s="78" ph="1">
        <v>7259</v>
      </c>
      <c r="AD15" s="78">
        <v>5.46</v>
      </c>
      <c r="AE15" s="78">
        <v>57.38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2" t="s" ph="1">
        <v>178</v>
      </c>
      <c r="D16" s="73" ph="1">
        <f>D15*7.0686*LOOKUP(D17,密度!$A$2:$A$50,密度!$L$2:$L$50)</f>
        <v>39652.046834400004</v>
      </c>
      <c r="E16" s="73" ph="1">
        <f>E15*7.0686*LOOKUP(E17,密度!$A$2:$A$50,密度!$L$2:$L$50)</f>
        <v>28758.627374400003</v>
      </c>
      <c r="F16" s="73" ph="1">
        <f>F15*9.0746*LOOKUP(F17,密度!$A$2:$A$50,密度!$L$2:$L$50)</f>
        <v>13735.0241728</v>
      </c>
      <c r="G16" s="73" ph="1">
        <f>G15*9.0746*LOOKUP(G17,密度!$A$2:$A$50,密度!$B$2:$B$50)</f>
        <v>31268.780263500001</v>
      </c>
      <c r="H16" s="73" ph="1">
        <f>H15*9.0746*LOOKUP(H17,密度!$A$2:$A$50,密度!$L$2:$L$50)</f>
        <v>0</v>
      </c>
      <c r="I16" s="73" ph="1">
        <f>I15*9.0746*LOOKUP(I17,密度!$A$2:$A$50,密度!$U$2:$U$50)</f>
        <v>270.26881179999998</v>
      </c>
      <c r="J16" s="73" ph="1">
        <f>J15*9.0746*LOOKUP(J17,密度!$A$2:$A$50,密度!$L$2:$L$50)</f>
        <v>44183.701073200005</v>
      </c>
      <c r="K16" s="73" ph="1">
        <f>K15*9.0746*LOOKUP(K17,密度!$A$2:$A$50,密度!$C$2:$C$50)</f>
        <v>22896.519820020003</v>
      </c>
      <c r="L16" s="73" ph="1">
        <f>L15*9.0746*LOOKUP(L17,密度!$A$2:$A$50,密度!$E$2:$E$50)</f>
        <v>38856.364582280003</v>
      </c>
      <c r="M16" s="73" ph="1">
        <f>M15*9.0746*LOOKUP(M17,密度!$A$2:$A$50,密度!$M$2:$M$50)</f>
        <v>51018.886712020001</v>
      </c>
      <c r="N16" s="73" ph="1">
        <f>N15*9.0746*LOOKUP(N17,密度!$A$2:$A$50,密度!$M$2:$M$50)</f>
        <v>3521.8558898400001</v>
      </c>
      <c r="O16" s="73" ph="1">
        <f>O15*9.0746*LOOKUP(O17,密度!$A$2:$A$50,密度!$G$2:$G$50)</f>
        <v>17010.518284540001</v>
      </c>
      <c r="P16" s="73" ph="1">
        <f ca="1">P15*9.0746*LOOKUP(P17,密度!$A$2:$A$51,密度!$Q$2:$Q$50)</f>
        <v>60031.64930225601</v>
      </c>
      <c r="Q16" s="73" ph="1">
        <f>Q15*9.0746*LOOKUP(Q17,密度!$A$2:$A$50,密度!$Q$2:$Q$50)</f>
        <v>59832.899590959998</v>
      </c>
      <c r="R16" s="73" ph="1">
        <f>MAX(R15*9.0746*LOOKUP(R17,密度!$A$2:$A$50,密度!$B$2:$B$50),0)</f>
        <v>0</v>
      </c>
      <c r="S16" s="73" ph="1">
        <f>S15*9.0746*LOOKUP(S17,密度!$A$2:$A$50,密度!$Q$2:$Q$50)</f>
        <v>32599.501023556004</v>
      </c>
      <c r="T16" s="73" ph="1">
        <f>T15*9.0746*LOOKUP(T17,密度!$A$2:$A$50,密度!$O$2:$O$50)</f>
        <v>7621.5931972000008</v>
      </c>
      <c r="U16" s="73" ph="1">
        <f>U15*9.0746*LOOKUP(U17,密度!$A$2:$A$50,密度!$H$2:$H$50)</f>
        <v>44490.876283199999</v>
      </c>
      <c r="V16" s="73" ph="1">
        <f>MAX(5600*LOOKUP(V17,密度!$A$2:$A$50,密度!$Q$2:$Q$50)+V15*9.0476*LOOKUP(V17,密度!$A$2:$A$50,密度!$Q$2:$Q$50),0)</f>
        <v>24662.053819499997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2776.4076715200008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1848.5913032999999</v>
      </c>
      <c r="AB16" s="73" ph="1">
        <f>AB15*9.0746*LOOKUP(AB17,密度!$A$2:$A$50,密度!$L$2:$L$50)</f>
        <v>62253.843158000011</v>
      </c>
      <c r="AC16" s="73" ph="1">
        <f>AC15*9.0746*LOOKUP(AC17,密度!$A$2:$A$50,密度!$L$2:$L$50)</f>
        <v>61590.807508999998</v>
      </c>
      <c r="AD16" s="73" ph="1">
        <f>AD15*268.68*LOOKUP(AD17,密度!$A$2:$A$50,密度!B2:B50)+IF(AD15&lt;=0,0,1566*LOOKUP(AD17,密度!$A$2:$A$50,密度!B2:B50))</f>
        <v>2364.5211868799997</v>
      </c>
      <c r="AE16" s="73" ph="1">
        <f>AE15*268.68*LOOKUP(AE17,密度!$A$2:$A$50,密度!B2:B50)+IF(AE15&lt;=0,0,1566*LOOKUP(AE17,密度!$A$2:$A$50,密度!B2:B50))</f>
        <v>13239.83640864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28</v>
      </c>
      <c r="E17" s="74">
        <v>28</v>
      </c>
      <c r="F17" s="74">
        <v>34</v>
      </c>
      <c r="G17" s="74">
        <v>26</v>
      </c>
      <c r="H17" s="74">
        <v>23</v>
      </c>
      <c r="I17" s="74">
        <v>23</v>
      </c>
      <c r="J17" s="74">
        <v>28</v>
      </c>
      <c r="K17" s="74">
        <v>26</v>
      </c>
      <c r="L17" s="74">
        <v>28</v>
      </c>
      <c r="M17" s="74">
        <v>30</v>
      </c>
      <c r="N17" s="74">
        <v>26</v>
      </c>
      <c r="O17" s="74">
        <v>29</v>
      </c>
      <c r="P17" s="74">
        <v>27</v>
      </c>
      <c r="Q17" s="74">
        <v>28</v>
      </c>
      <c r="R17" s="74">
        <v>25</v>
      </c>
      <c r="S17" s="74">
        <v>28</v>
      </c>
      <c r="T17" s="74">
        <v>25</v>
      </c>
      <c r="U17" s="74">
        <v>25</v>
      </c>
      <c r="V17" s="74">
        <v>33</v>
      </c>
      <c r="W17" s="74">
        <v>33</v>
      </c>
      <c r="X17" s="74">
        <v>33</v>
      </c>
      <c r="Y17" s="108">
        <v>23</v>
      </c>
      <c r="Z17" s="74">
        <v>27</v>
      </c>
      <c r="AA17" s="74">
        <v>24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6025</v>
      </c>
      <c r="E18" s="71">
        <v>2858</v>
      </c>
      <c r="F18" s="71">
        <v>1693</v>
      </c>
      <c r="G18" s="71">
        <v>1116</v>
      </c>
      <c r="H18" s="71">
        <v>0</v>
      </c>
      <c r="I18" s="71">
        <v>2573</v>
      </c>
      <c r="J18" s="71">
        <v>5221</v>
      </c>
      <c r="K18" s="71">
        <v>2278</v>
      </c>
      <c r="L18" s="71">
        <v>5503</v>
      </c>
      <c r="M18" s="71">
        <v>6475</v>
      </c>
      <c r="N18" s="71">
        <v>2296</v>
      </c>
      <c r="O18" s="71">
        <v>1963</v>
      </c>
      <c r="P18" s="71">
        <v>5326</v>
      </c>
      <c r="Q18" s="71">
        <v>6967</v>
      </c>
      <c r="R18" s="71">
        <v>0</v>
      </c>
      <c r="S18" s="71">
        <v>3928</v>
      </c>
      <c r="T18" s="71">
        <v>6539</v>
      </c>
      <c r="U18" s="71">
        <v>1395</v>
      </c>
      <c r="V18" s="71">
        <v>2596</v>
      </c>
      <c r="W18" s="71">
        <v>-737</v>
      </c>
      <c r="X18" s="71">
        <v>-323</v>
      </c>
      <c r="Y18" s="109">
        <v>-9909</v>
      </c>
      <c r="Z18" s="71">
        <v>513</v>
      </c>
      <c r="AA18" s="71">
        <v>260</v>
      </c>
      <c r="AB18" s="71">
        <v>7352</v>
      </c>
      <c r="AC18" s="71">
        <v>7264</v>
      </c>
      <c r="AD18" s="71">
        <v>29.93</v>
      </c>
      <c r="AE18" s="71">
        <v>84.51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2" t="s" ph="1">
        <v>178</v>
      </c>
      <c r="D19" s="73" ph="1">
        <f>D18*7.0686*LOOKUP(D20,密度!$A$2:$A$50,密度!$L$2:$L$50)</f>
        <v>39692.309580000001</v>
      </c>
      <c r="E19" s="73" ph="1">
        <f>E18*7.0686*LOOKUP(E20,密度!$A$2:$A$50,密度!$L$2:$L$50)</f>
        <v>18828.318801599999</v>
      </c>
      <c r="F19" s="73" ph="1">
        <f>F18*9.0746*LOOKUP(F20,密度!$A$2:$A$50,密度!$L$2:$L$50)</f>
        <v>14257.140358400002</v>
      </c>
      <c r="G19" s="73" ph="1">
        <f>G18*9.0746*LOOKUP(G20,密度!$A$2:$A$50,密度!$B$2:$B$50)</f>
        <v>7851.6597160800002</v>
      </c>
      <c r="H19" s="73" ph="1">
        <f>H18*9.0746*LOOKUP(H20,密度!$A$2:$A$50,密度!$L$2:$L$50)</f>
        <v>0</v>
      </c>
      <c r="I19" s="73" ph="1">
        <f>I18*9.0746*LOOKUP(I20,密度!$A$2:$A$50,密度!$U$2:$U$50)</f>
        <v>23792.575770199997</v>
      </c>
      <c r="J19" s="73" ph="1">
        <f>J18*9.0746*LOOKUP(J20,密度!$A$2:$A$50,密度!$L$2:$L$50)</f>
        <v>44061.992538000006</v>
      </c>
      <c r="K19" s="73" ph="1">
        <f>K18*9.0746*LOOKUP(K20,密度!$A$2:$A$50,密度!$C$2:$C$50)</f>
        <v>22844.559567879998</v>
      </c>
      <c r="L19" s="73" ph="1">
        <f>L18*9.0746*LOOKUP(L20,密度!$A$2:$A$50,密度!$E$2:$E$50)</f>
        <v>38831.41850688</v>
      </c>
      <c r="M19" s="73" ph="1">
        <f>M18*9.0746*LOOKUP(M20,密度!$A$2:$A$50,密度!$M$2:$M$50)</f>
        <v>51113.614646500006</v>
      </c>
      <c r="N19" s="73" ph="1">
        <f>N18*9.0746*LOOKUP(N20,密度!$A$2:$A$50,密度!$M$2:$M$50)</f>
        <v>18212.119646560001</v>
      </c>
      <c r="O19" s="73" ph="1">
        <f>O18*9.0746*LOOKUP(O20,密度!$A$2:$A$50,密度!$G$2:$G$50)</f>
        <v>17006.490977059999</v>
      </c>
      <c r="P19" s="73" ph="1">
        <f ca="1">P18*9.0746*LOOKUP(P20,密度!$A$2:$A$51,密度!$Q$2:$Q$50)</f>
        <v>45592.383718268</v>
      </c>
      <c r="Q19" s="73" ph="1">
        <f>Q18*9.0746*LOOKUP(Q20,密度!$A$2:$A$50,密度!$Q$2:$Q$50)</f>
        <v>59639.905626205997</v>
      </c>
      <c r="R19" s="73" ph="1">
        <f>MAX(R18*9.0746*LOOKUP(R20,密度!$A$2:$A$50,密度!$B$2:$B$50),0)</f>
        <v>0</v>
      </c>
      <c r="S19" s="73" ph="1">
        <f>S18*9.0746*LOOKUP(S20,密度!$A$2:$A$50,密度!$Q$2:$Q$50)</f>
        <v>33625.025017904001</v>
      </c>
      <c r="T19" s="73" ph="1">
        <f>T18*9.0746*LOOKUP(T20,密度!$A$2:$A$50,密度!$O$2:$O$50)</f>
        <v>54947.7375044</v>
      </c>
      <c r="U19" s="73" ph="1">
        <f>U18*9.0746*LOOKUP(U20,密度!$A$2:$A$50,密度!$H$2:$H$50)</f>
        <v>11532.410037000001</v>
      </c>
      <c r="V19" s="73" ph="1">
        <f>MAX(5600*LOOKUP(V20,密度!$A$2:$A$50,密度!$Q$2:$Q$50)+V18*9.0476*LOOKUP(V20,密度!$A$2:$A$50,密度!$Q$2:$Q$50),0)</f>
        <v>27340.570169824001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2790.8887459600005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4745.5820341200006</v>
      </c>
      <c r="AA19" s="73" ph="1">
        <f>AA18*9.0746*LOOKUP(AA20,密度!$A$2:$A$50,密度!$B$2:$B$50)</f>
        <v>1824.992806</v>
      </c>
      <c r="AB19" s="73" ph="1">
        <f>AB18*9.0746*LOOKUP(AB20,密度!$A$2:$A$50,密度!$L$2:$L$50)</f>
        <v>62246.456433600004</v>
      </c>
      <c r="AC19" s="73" ph="1">
        <f>AC18*9.0746*LOOKUP(AC20,密度!$A$2:$A$50,密度!$L$2:$L$50)</f>
        <v>61435.477580800005</v>
      </c>
      <c r="AD19" s="73" ph="1">
        <f>AD18*268.68*LOOKUP(AD20,密度!$A$2:$A$50,密度!B5:B53)+IF(AD18&lt;=0,0,1566*LOOKUP(AD20,密度!$A$2:$A$50,密度!B5:B53))</f>
        <v>7465.0992948000003</v>
      </c>
      <c r="AE19" s="73" ph="1">
        <f>AE18*268.68*LOOKUP(AE20,密度!$A$2:$A$50,密度!B5:B53)+IF(AE18&lt;=0,0,1566*LOOKUP(AE20,密度!$A$2:$A$50,密度!B5:B53))</f>
        <v>18859.458063600003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30</v>
      </c>
      <c r="E20" s="81">
        <v>30</v>
      </c>
      <c r="F20" s="81">
        <v>34</v>
      </c>
      <c r="G20" s="81">
        <v>30</v>
      </c>
      <c r="H20" s="81">
        <v>28</v>
      </c>
      <c r="I20" s="81">
        <v>31</v>
      </c>
      <c r="J20" s="81">
        <v>32</v>
      </c>
      <c r="K20" s="81">
        <v>30</v>
      </c>
      <c r="L20" s="81">
        <v>30</v>
      </c>
      <c r="M20" s="81">
        <v>30</v>
      </c>
      <c r="N20" s="81">
        <v>26</v>
      </c>
      <c r="O20" s="81">
        <v>30</v>
      </c>
      <c r="P20" s="81">
        <v>30</v>
      </c>
      <c r="Q20" s="81">
        <v>30</v>
      </c>
      <c r="R20" s="81">
        <v>34</v>
      </c>
      <c r="S20" s="81">
        <v>30</v>
      </c>
      <c r="T20" s="81">
        <v>27</v>
      </c>
      <c r="U20" s="81">
        <v>29</v>
      </c>
      <c r="V20" s="81">
        <v>35</v>
      </c>
      <c r="W20" s="81">
        <v>35</v>
      </c>
      <c r="X20" s="81">
        <v>25</v>
      </c>
      <c r="Y20" s="110">
        <v>25</v>
      </c>
      <c r="Z20" s="81">
        <v>33</v>
      </c>
      <c r="AA20" s="81">
        <v>32</v>
      </c>
      <c r="AB20" s="81">
        <v>29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2" t="s" ph="1">
        <v>177</v>
      </c>
      <c r="D24" s="71">
        <v>4.3</v>
      </c>
      <c r="E24" s="71">
        <v>5.64</v>
      </c>
      <c r="F24" s="71">
        <v>0</v>
      </c>
      <c r="G24" s="71">
        <v>2732</v>
      </c>
      <c r="H24" s="71">
        <v>3118</v>
      </c>
      <c r="I24" s="71">
        <v>2164</v>
      </c>
      <c r="J24" s="71">
        <v>218</v>
      </c>
      <c r="K24" s="71">
        <v>248</v>
      </c>
      <c r="L24" s="71">
        <v>469</v>
      </c>
      <c r="M24" s="71">
        <v>4862</v>
      </c>
      <c r="N24" s="71">
        <v>2467</v>
      </c>
      <c r="O24" s="71">
        <v>3191</v>
      </c>
      <c r="P24" s="71">
        <v>1162</v>
      </c>
      <c r="Q24" s="90">
        <v>1465</v>
      </c>
      <c r="R24" s="71">
        <v>2624</v>
      </c>
      <c r="S24" s="71">
        <v>3162</v>
      </c>
      <c r="T24" s="71">
        <v>145</v>
      </c>
      <c r="U24" s="71">
        <v>7350</v>
      </c>
      <c r="V24" s="71">
        <v>2243</v>
      </c>
      <c r="W24" s="71">
        <v>3886</v>
      </c>
      <c r="X24" s="71">
        <v>1663</v>
      </c>
      <c r="Y24" s="71">
        <v>2516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2576.38628376</v>
      </c>
      <c r="E25" s="91" ph="1">
        <f>E24*268.68*LOOKUP(E26,密度!$A$2:$A$50,密度!$C$2:$C$50)+IF(E24&lt;=0,0,1566*LOOKUP(E26,密度!$A$2:$A$50,密度!$C$2:$C$50))</f>
        <v>3416.9147812800002</v>
      </c>
      <c r="F25" s="91" ph="1">
        <f>F24*11.702*LOOKUP(F26,密度!$A$2:$A$50,密度!$Q$2:$Q$50)</f>
        <v>0</v>
      </c>
      <c r="G25" s="91" ph="1">
        <f>G24*18.322*LOOKUP(G26,密度!$A$2:$A$50,密度!$B$2:$B$50)</f>
        <v>39068.476971999997</v>
      </c>
      <c r="H25" s="91" ph="1">
        <f>H24*18.322*LOOKUP(H26,密度!$A$2:$A$50,密度!$B$2:$B$50)</f>
        <v>44639.816074399998</v>
      </c>
      <c r="I25" s="91" ph="1">
        <f>I24*18.322*LOOKUP(I26,密度!$A$2:$A$50,密度!$Q$2:$Q$50)</f>
        <v>37594.999745599998</v>
      </c>
      <c r="J25" s="91" ph="1">
        <f>J24*18.322*LOOKUP(J26,密度!$A$2:$A$50,密度!$Q$2:$Q$50)</f>
        <v>3762.1332123999996</v>
      </c>
      <c r="K25" s="91" ph="1">
        <f>K24*18.322*LOOKUP(K26,密度!$A$2:$A$50,密度!$Q$2:$Q$50)</f>
        <v>4312.5282910400001</v>
      </c>
      <c r="L25" s="91" ph="1">
        <f>L24*18.322*LOOKUP(L26,密度!$A$2:$A$50,密度!$Q$2:$Q$50)</f>
        <v>8155.5474536199999</v>
      </c>
      <c r="M25" s="91" ph="1">
        <f>M24*18.322*LOOKUP(M26,密度!$A$2:$A$50,密度!$Q$2:$Q$50)</f>
        <v>84467.138984799996</v>
      </c>
      <c r="N25" s="91" ph="1">
        <f>N24*18.322*LOOKUP(N26,密度!$A$2:$A$50,密度!$Q$2:$Q$50)</f>
        <v>42858.994626799999</v>
      </c>
      <c r="O25" s="91" ph="1">
        <f>O24*18.322*LOOKUP(O26,密度!$A$2:$A$50,密度!$C$2:$C$50)</f>
        <v>64961.019272199999</v>
      </c>
      <c r="P25" s="91" ph="1">
        <f>P24*11.702*LOOKUP(P26,密度!$A$2:$A$50,密度!$B$2:$B$50)</f>
        <v>10625.2615336</v>
      </c>
      <c r="Q25" s="92" ph="1">
        <f>Q24*18.322*LOOKUP(Q26,密度!$A$2:$A$50,密度!$B$2:$B$50)</f>
        <v>20998.285379000001</v>
      </c>
      <c r="R25" s="91" ph="1">
        <f>R24*35.891*LOOKUP(R26,密度!$A$2:$A$50,密度!$C$2:$C$50)</f>
        <v>104575.23343360001</v>
      </c>
      <c r="S25" s="91" ph="1">
        <f>S24*35.891*LOOKUP(S26,密度!$A$2:$A$50,密度!$B$2:$B$50)</f>
        <v>88679.009038799995</v>
      </c>
      <c r="T25" s="91" ph="1">
        <f>T24*35.891*LOOKUP(T26,密度!$A$2:$A$50,密度!$Q$2:$Q$50)</f>
        <v>4939.2494325499993</v>
      </c>
      <c r="U25" s="91" ph="1">
        <f>U24*35.891</f>
        <v>263798.84999999998</v>
      </c>
      <c r="V25" s="91" ph="1">
        <f>V24*47.051*LOOKUP(V26,密度!$A$2:$A$50,密度!$B$2:$B$50)</f>
        <v>82465.356090200003</v>
      </c>
      <c r="W25" s="91" ph="1">
        <f>W24*47.051*LOOKUP(W26,密度!$A$2:$A$50,密度!$B$2:$B$50)</f>
        <v>142706.76517300002</v>
      </c>
      <c r="X25" s="91" ph="1">
        <f>X24*47.051*LOOKUP(X26,密度!$A$2:$A$61,密度!$I$2:$I$61)</f>
        <v>81555.61088990001</v>
      </c>
      <c r="Y25" s="91" ph="1">
        <f>Y24*47.051*LOOKUP(Y26,密度!$A$2:$A$50,密度!$L$2:$L$50)</f>
        <v>110803.97577600001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23</v>
      </c>
      <c r="G26" s="74">
        <v>24</v>
      </c>
      <c r="H26" s="74">
        <v>23</v>
      </c>
      <c r="I26" s="74">
        <v>23</v>
      </c>
      <c r="J26" s="74">
        <v>32</v>
      </c>
      <c r="K26" s="74">
        <v>22</v>
      </c>
      <c r="L26" s="74">
        <v>22</v>
      </c>
      <c r="M26" s="74">
        <v>23</v>
      </c>
      <c r="N26" s="74">
        <v>23</v>
      </c>
      <c r="O26" s="74">
        <v>22</v>
      </c>
      <c r="P26" s="74">
        <v>23</v>
      </c>
      <c r="Q26" s="93">
        <v>22</v>
      </c>
      <c r="R26" s="74">
        <v>23</v>
      </c>
      <c r="S26" s="74">
        <v>23</v>
      </c>
      <c r="T26" s="74">
        <v>22</v>
      </c>
      <c r="U26" s="74">
        <v>24</v>
      </c>
      <c r="V26" s="74">
        <v>23</v>
      </c>
      <c r="W26" s="74">
        <v>24</v>
      </c>
      <c r="X26" s="74">
        <v>25</v>
      </c>
      <c r="Y26" s="74">
        <v>26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2" t="s" ph="1">
        <v>180</v>
      </c>
      <c r="D27" s="71">
        <v>4.28</v>
      </c>
      <c r="E27" s="71">
        <v>5.61</v>
      </c>
      <c r="F27" s="71">
        <v>0</v>
      </c>
      <c r="G27" s="71">
        <v>2261</v>
      </c>
      <c r="H27" s="71">
        <v>2678</v>
      </c>
      <c r="I27" s="71">
        <v>1239</v>
      </c>
      <c r="J27" s="71">
        <v>212</v>
      </c>
      <c r="K27" s="71">
        <v>242</v>
      </c>
      <c r="L27" s="71">
        <v>463</v>
      </c>
      <c r="M27" s="71">
        <v>4863</v>
      </c>
      <c r="N27" s="71">
        <v>2465</v>
      </c>
      <c r="O27" s="71">
        <v>2023</v>
      </c>
      <c r="P27" s="71">
        <v>1158</v>
      </c>
      <c r="Q27" s="90">
        <v>1781</v>
      </c>
      <c r="R27" s="71">
        <v>2621</v>
      </c>
      <c r="S27" s="71">
        <v>3158</v>
      </c>
      <c r="T27" s="71">
        <v>145</v>
      </c>
      <c r="U27" s="71">
        <v>7258</v>
      </c>
      <c r="V27" s="71">
        <v>1936</v>
      </c>
      <c r="W27" s="71">
        <v>3883</v>
      </c>
      <c r="X27" s="71">
        <v>1801</v>
      </c>
      <c r="Y27" s="71">
        <v>909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2" t="s" ph="1">
        <v>178</v>
      </c>
      <c r="D28" s="91" ph="1">
        <f>D27*268.68*LOOKUP(D29,密度!$A$2:$A$50,密度!$Q$2:$Q$50)+IF(D27&lt;=0,0,1566*LOOKUP(D29,密度!$A$2:$A$50,密度!$Q$2:$Q$50))</f>
        <v>2571.2988816960001</v>
      </c>
      <c r="E28" s="91" ph="1">
        <f>E27*268.68*LOOKUP(E29,密度!$A$2:$A$50,密度!$C$2:$C$50)+IF(E27&lt;=0,0,1566*LOOKUP(E29,密度!$A$2:$A$50,密度!$C$2:$C$50))</f>
        <v>3407.9766037199997</v>
      </c>
      <c r="F28" s="91" ph="1">
        <f>F27*11.702*LOOKUP(F29,密度!$A$2:$A$50,密度!$Q$2:$Q$50)</f>
        <v>0</v>
      </c>
      <c r="G28" s="91" ph="1">
        <f>G27*18.322*LOOKUP(G29,密度!$A$2:$A$50,密度!$B$2:$B$50)</f>
        <v>32080.3269248</v>
      </c>
      <c r="H28" s="91" ph="1">
        <f>H27*18.322*LOOKUP(H29,密度!$A$2:$A$50,密度!$B$2:$B$50)</f>
        <v>38085.274479200001</v>
      </c>
      <c r="I28" s="91" ph="1">
        <f>I27*18.322*LOOKUP(I29,密度!$A$2:$A$50,密度!$Q$2:$Q$50)</f>
        <v>21459.669616560001</v>
      </c>
      <c r="J28" s="91" ph="1">
        <f>J27*18.322*LOOKUP(J29,密度!$A$2:$A$50,密度!$Q$2:$Q$50)</f>
        <v>3645.9644035999995</v>
      </c>
      <c r="K28" s="91" ph="1">
        <f>K27*18.322*LOOKUP(K29,密度!$A$2:$A$50,密度!$Q$2:$Q$50)</f>
        <v>4188.3732888800005</v>
      </c>
      <c r="L28" s="91" ph="1">
        <f>L27*18.322*LOOKUP(L29,密度!$A$2:$A$50,密度!$Q$2:$Q$50)</f>
        <v>8013.2926973199992</v>
      </c>
      <c r="M28" s="91" ph="1">
        <f>M27*18.322*LOOKUP(M29,密度!$A$2:$A$50,密度!$Q$2:$Q$50)</f>
        <v>84165.534313319993</v>
      </c>
      <c r="N28" s="91" ph="1">
        <f>N27*18.322*LOOKUP(N29,密度!$A$2:$A$50,密度!$Q$2:$Q$50)</f>
        <v>42758.309740199998</v>
      </c>
      <c r="O28" s="91" ph="1">
        <f>O27*18.322*LOOKUP(O29,密度!$A$2:$A$50,密度!$C$2:$C$50)</f>
        <v>41101.828713399998</v>
      </c>
      <c r="P28" s="91" ph="1">
        <f>P27*11.702*LOOKUP(P29,密度!$A$2:$A$50,密度!$B$2:$B$50)</f>
        <v>10529.061732</v>
      </c>
      <c r="Q28" s="92" ph="1">
        <f>Q27*18.322*LOOKUP(Q29,密度!$A$2:$A$50,密度!$B$2:$B$50)</f>
        <v>25299.187994600001</v>
      </c>
      <c r="R28" s="91" ph="1">
        <f>R27*35.891*LOOKUP(R29,密度!$A$2:$A$50,密度!$C$2:$C$50)</f>
        <v>104173.4624014</v>
      </c>
      <c r="S28" s="91" ph="1">
        <f>S27*35.891*LOOKUP(S29,密度!$A$2:$A$50,密度!$B$2:$B$50)</f>
        <v>88362.809328799995</v>
      </c>
      <c r="T28" s="91" ph="1">
        <f>T27*35.891*LOOKUP(T29,密度!$A$2:$A$50,密度!$Q$2:$Q$50)</f>
        <v>4909.2732693499993</v>
      </c>
      <c r="U28" s="91" ph="1">
        <f>U27*35.891</f>
        <v>260496.878</v>
      </c>
      <c r="V28" s="91" ph="1">
        <f>V27*47.051*LOOKUP(V29,密度!$A$2:$A$50,密度!$B$2:$B$50)</f>
        <v>71014.337785600001</v>
      </c>
      <c r="W28" s="91" ph="1">
        <f>W27*47.051*LOOKUP(W29,密度!$A$2:$A$50,密度!$B$2:$B$50)</f>
        <v>142596.5952565</v>
      </c>
      <c r="X28" s="91" ph="1">
        <f>X27*47.051*LOOKUP(X29,密度!$A$2:$A$61,密度!$I$2:$I$61)</f>
        <v>88323.304397300017</v>
      </c>
      <c r="Y28" s="91" ph="1">
        <f>Y27*47.051*LOOKUP(Y29,密度!$A$2:$A$50,密度!$L$2:$L$50)</f>
        <v>39903.811947000009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2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29</v>
      </c>
      <c r="I29" s="74">
        <v>27</v>
      </c>
      <c r="J29" s="74">
        <v>37</v>
      </c>
      <c r="K29" s="74">
        <v>28</v>
      </c>
      <c r="L29" s="74">
        <v>28</v>
      </c>
      <c r="M29" s="74">
        <v>28</v>
      </c>
      <c r="N29" s="74">
        <v>25</v>
      </c>
      <c r="O29" s="74">
        <v>25</v>
      </c>
      <c r="P29" s="74">
        <v>28</v>
      </c>
      <c r="Q29" s="93">
        <v>30</v>
      </c>
      <c r="R29" s="74">
        <v>27</v>
      </c>
      <c r="S29" s="74">
        <v>25</v>
      </c>
      <c r="T29" s="74">
        <v>30</v>
      </c>
      <c r="U29" s="74">
        <v>28</v>
      </c>
      <c r="V29" s="74">
        <v>25</v>
      </c>
      <c r="W29" s="74">
        <v>24</v>
      </c>
      <c r="X29" s="74">
        <v>25</v>
      </c>
      <c r="Y29" s="74">
        <v>29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2" t="s" ph="1">
        <v>5</v>
      </c>
      <c r="F32" s="161" t="s" ph="1">
        <v>43</v>
      </c>
      <c r="G32" s="97" t="s" ph="1">
        <v>4</v>
      </c>
      <c r="H32" s="162" t="s" ph="1">
        <v>5</v>
      </c>
      <c r="I32" s="161" t="s" ph="1">
        <v>43</v>
      </c>
      <c r="J32" s="97" t="s" ph="1">
        <v>4</v>
      </c>
      <c r="K32" s="162" t="s" ph="1">
        <v>5</v>
      </c>
      <c r="L32" s="161" t="s" ph="1">
        <v>43</v>
      </c>
      <c r="M32" s="97" t="s" ph="1">
        <v>4</v>
      </c>
      <c r="N32" s="162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1" t="s" ph="1">
        <v>43</v>
      </c>
      <c r="AB32" s="97" t="s" ph="1">
        <v>85</v>
      </c>
      <c r="AC32" s="162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94002.770059720002</v>
      </c>
      <c r="E33" s="190" ph="1">
        <f>M10+I10</f>
        <v>217456.30673629997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16" ph="1">
        <f>N19</f>
        <v>18212.119646560001</v>
      </c>
      <c r="H33" s="190" ph="1">
        <f>M19</f>
        <v>51113.614646500006</v>
      </c>
      <c r="I33" s="194" ph="1">
        <v>0</v>
      </c>
      <c r="J33" s="198" ph="1">
        <f>F10+O28</f>
        <v>255474.98564979999</v>
      </c>
      <c r="K33" s="190" ph="1">
        <f>O10+K10+E28+R28</f>
        <v>118525.74562672</v>
      </c>
      <c r="L33" s="200" ph="1">
        <f>K19</f>
        <v>22844.559567879998</v>
      </c>
      <c r="M33" s="198" ph="1">
        <f>G10+H10+W28+S28+V28+E10+R19+P28+Q28</f>
        <v>1043679.3898255001</v>
      </c>
      <c r="N33" s="190" ph="1">
        <f>L10+P10++G28+H28+AD19+AE19</f>
        <v>169597.25401639999</v>
      </c>
      <c r="O33" s="194" ph="1">
        <f>G19</f>
        <v>7851.6597160800002</v>
      </c>
      <c r="P33" s="198" ph="1">
        <f>L19</f>
        <v>38831.41850688</v>
      </c>
      <c r="Q33" s="190" ph="1">
        <f>J10+N10</f>
        <v>47326.054183999993</v>
      </c>
      <c r="R33" s="194" ph="1">
        <f>BE23</f>
        <v>890</v>
      </c>
      <c r="S33" s="198" ph="1">
        <f>X28</f>
        <v>88323.304397300017</v>
      </c>
      <c r="T33" s="190" ph="1">
        <f>X19</f>
        <v>2790.8887459600005</v>
      </c>
      <c r="U33" s="179" ph="1">
        <f>BE21</f>
        <v>730</v>
      </c>
      <c r="V33" s="192" ph="1">
        <f ca="1">P19+Q19+S19+M28+N28+J28+D10+AC10+D19+E19+H19+J19+O19+V19+W19+K28+L28</f>
        <v>630775.21765618201</v>
      </c>
      <c r="W33" s="192" ph="1">
        <f>D28+F28+T28+I28</f>
        <v>28940.241767605999</v>
      </c>
      <c r="X33" s="194" ph="1">
        <f>BE29+BE31</f>
        <v>10200</v>
      </c>
      <c r="Y33" s="196" ph="1">
        <f>+Q10+R10+S10+T10+U10+V10+W10+X10+Y10</f>
        <v>264635.44139340002</v>
      </c>
      <c r="Z33" s="177" ph="1">
        <f>T19+U19+Y28+Z10</f>
        <v>253617.92597839999</v>
      </c>
      <c r="AA33" s="179" ph="1">
        <f>BE19</f>
        <v>1440</v>
      </c>
      <c r="AB33" s="181" ph="1">
        <f>I19</f>
        <v>23792.575770199997</v>
      </c>
      <c r="AC33" s="183" ph="1">
        <f>AD10+AB19</f>
        <v>131906.21425439999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0" t="s" ph="1">
        <v>185</v>
      </c>
      <c r="AA36" s="160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6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0" t="s" ph="1">
        <v>342</v>
      </c>
      <c r="AI37" s="160" t="s" ph="1">
        <v>209</v>
      </c>
      <c r="AJ37" s="160" t="s" ph="1">
        <v>210</v>
      </c>
      <c r="AK37" s="160" t="s" ph="1">
        <v>211</v>
      </c>
      <c r="AM37" s="160" t="s" ph="1">
        <v>210</v>
      </c>
      <c r="AN37" s="160" t="s" ph="1">
        <v>211</v>
      </c>
      <c r="AO37" s="160" t="s" ph="1">
        <v>212</v>
      </c>
      <c r="AP37" s="160" t="s" ph="1">
        <v>210</v>
      </c>
      <c r="AQ37" s="160" t="s" ph="1">
        <v>211</v>
      </c>
      <c r="AR37" s="160" t="s" ph="1">
        <v>212</v>
      </c>
      <c r="AS37" s="160" t="s" ph="1">
        <v>210</v>
      </c>
      <c r="AT37" s="160" t="s" ph="1">
        <v>211</v>
      </c>
      <c r="AU37" s="160" t="s" ph="1">
        <v>212</v>
      </c>
      <c r="AV37" s="160" t="s" ph="1">
        <v>210</v>
      </c>
      <c r="AW37" s="160" t="s" ph="1">
        <v>211</v>
      </c>
      <c r="AX37" s="160" t="s" ph="1">
        <v>212</v>
      </c>
      <c r="AY37" s="160" t="s" ph="1">
        <v>211</v>
      </c>
      <c r="AZ37" s="160" t="s" ph="1">
        <v>213</v>
      </c>
      <c r="BD37" s="160" t="s" ph="1">
        <v>305</v>
      </c>
      <c r="BE37" s="16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99" priority="100">
      <formula>ABS(D$7-D$10)&gt;=1000</formula>
    </cfRule>
  </conditionalFormatting>
  <conditionalFormatting sqref="E4 E6:E11">
    <cfRule type="expression" dxfId="1298" priority="99">
      <formula>ABS(E$7-E$10)&gt;=1000</formula>
    </cfRule>
  </conditionalFormatting>
  <conditionalFormatting sqref="F4:F11">
    <cfRule type="expression" dxfId="1297" priority="98">
      <formula>ABS(F$7-F$10)&gt;=1000</formula>
    </cfRule>
  </conditionalFormatting>
  <conditionalFormatting sqref="G4:G11">
    <cfRule type="expression" dxfId="1296" priority="97">
      <formula>ABS(G$7-G$10)&gt;=1000</formula>
    </cfRule>
  </conditionalFormatting>
  <conditionalFormatting sqref="H4:H11">
    <cfRule type="expression" dxfId="1295" priority="96">
      <formula>ABS(H$7-H$10)&gt;=1000</formula>
    </cfRule>
  </conditionalFormatting>
  <conditionalFormatting sqref="I4:I11">
    <cfRule type="expression" dxfId="1294" priority="95">
      <formula>ABS(I$7-I$10)&gt;=1000</formula>
    </cfRule>
  </conditionalFormatting>
  <conditionalFormatting sqref="J4:J11">
    <cfRule type="expression" dxfId="1293" priority="94">
      <formula>ABS(J$7-J$10)&gt;=1000</formula>
    </cfRule>
  </conditionalFormatting>
  <conditionalFormatting sqref="K4:K11">
    <cfRule type="expression" dxfId="1292" priority="93">
      <formula>ABS(K$7-K$10)&gt;=1000</formula>
    </cfRule>
  </conditionalFormatting>
  <conditionalFormatting sqref="L4:L11">
    <cfRule type="expression" dxfId="1291" priority="92">
      <formula>ABS(L$7-L$10)&gt;=1000</formula>
    </cfRule>
  </conditionalFormatting>
  <conditionalFormatting sqref="M4 M6:M11">
    <cfRule type="expression" dxfId="1290" priority="91">
      <formula>ABS(M$7-M$10)&gt;=1000</formula>
    </cfRule>
  </conditionalFormatting>
  <conditionalFormatting sqref="N4 N6:N11">
    <cfRule type="expression" dxfId="1289" priority="90">
      <formula>ABS(N$7-N$10)&gt;=1000</formula>
    </cfRule>
  </conditionalFormatting>
  <conditionalFormatting sqref="O4 O6:O11">
    <cfRule type="expression" dxfId="1288" priority="89">
      <formula>ABS(O$7-O$10)&gt;=1000</formula>
    </cfRule>
  </conditionalFormatting>
  <conditionalFormatting sqref="P4 P6:P11">
    <cfRule type="expression" dxfId="1287" priority="88">
      <formula>ABS(P$7-P$10)&gt;=1000</formula>
    </cfRule>
  </conditionalFormatting>
  <conditionalFormatting sqref="Q4:Q11">
    <cfRule type="expression" dxfId="1286" priority="87">
      <formula>ABS(Q$7-Q$10)&gt;=1000</formula>
    </cfRule>
  </conditionalFormatting>
  <conditionalFormatting sqref="R4:R11">
    <cfRule type="expression" dxfId="1285" priority="86">
      <formula>ABS(R$7-R$10)&gt;=1000</formula>
    </cfRule>
  </conditionalFormatting>
  <conditionalFormatting sqref="S4:S11">
    <cfRule type="expression" dxfId="1284" priority="85">
      <formula>ABS(S$7-S$10)&gt;=1000</formula>
    </cfRule>
  </conditionalFormatting>
  <conditionalFormatting sqref="T4:T9 T11">
    <cfRule type="expression" dxfId="1283" priority="84">
      <formula>ABS(T$7-T$10)&gt;=1000</formula>
    </cfRule>
  </conditionalFormatting>
  <conditionalFormatting sqref="U4:U9 U11">
    <cfRule type="expression" dxfId="1282" priority="83">
      <formula>ABS(U$7-U$10)&gt;=1000</formula>
    </cfRule>
  </conditionalFormatting>
  <conditionalFormatting sqref="V4:V9 V11">
    <cfRule type="expression" dxfId="1281" priority="82">
      <formula>ABS(V$7-V$10)&gt;=1000</formula>
    </cfRule>
  </conditionalFormatting>
  <conditionalFormatting sqref="W4:W9 W11">
    <cfRule type="expression" dxfId="1280" priority="81">
      <formula>ABS(W$7-W$10)&gt;=1000</formula>
    </cfRule>
  </conditionalFormatting>
  <conditionalFormatting sqref="X4:X9 X11">
    <cfRule type="expression" dxfId="1279" priority="80">
      <formula>ABS(X$7-X$10)&gt;=1000</formula>
    </cfRule>
  </conditionalFormatting>
  <conditionalFormatting sqref="Y4:Y9 Y11">
    <cfRule type="expression" dxfId="1278" priority="79">
      <formula>ABS(Y$7-Y$10)&gt;=1000</formula>
    </cfRule>
  </conditionalFormatting>
  <conditionalFormatting sqref="Z4:Z11">
    <cfRule type="expression" dxfId="1277" priority="78">
      <formula>ABS(Z$7-Z$10)&gt;=1000</formula>
    </cfRule>
  </conditionalFormatting>
  <conditionalFormatting sqref="AA4:AA11">
    <cfRule type="expression" dxfId="1276" priority="77">
      <formula>ABS(AA$7-AA$10)&gt;=1000</formula>
    </cfRule>
  </conditionalFormatting>
  <conditionalFormatting sqref="AB4:AB11">
    <cfRule type="expression" dxfId="1275" priority="76">
      <formula>ABS(AB$7-AB$10)&gt;=1000</formula>
    </cfRule>
  </conditionalFormatting>
  <conditionalFormatting sqref="AC4 AC6:AC11">
    <cfRule type="expression" dxfId="1274" priority="75">
      <formula>ABS(AC$7-AC$10)&gt;=1000</formula>
    </cfRule>
  </conditionalFormatting>
  <conditionalFormatting sqref="AD4 AD6:AD11">
    <cfRule type="expression" dxfId="1273" priority="74">
      <formula>ABS(AD$7-AD$10)&gt;=1000</formula>
    </cfRule>
  </conditionalFormatting>
  <conditionalFormatting sqref="AE4 AE6:AE11">
    <cfRule type="expression" dxfId="1272" priority="73">
      <formula>ABS(AE$7-AE$10)&gt;=1000</formula>
    </cfRule>
  </conditionalFormatting>
  <conditionalFormatting sqref="D13:D20">
    <cfRule type="expression" dxfId="1271" priority="72">
      <formula>ABS(D$16-D$19)&gt;=1000</formula>
    </cfRule>
  </conditionalFormatting>
  <conditionalFormatting sqref="E13:E20">
    <cfRule type="expression" dxfId="1270" priority="71">
      <formula>ABS(E$16-E$19)&gt;=1000</formula>
    </cfRule>
  </conditionalFormatting>
  <conditionalFormatting sqref="F13 F15:F20">
    <cfRule type="expression" dxfId="1269" priority="70">
      <formula>ABS(F$16-F$19)&gt;=1000</formula>
    </cfRule>
  </conditionalFormatting>
  <conditionalFormatting sqref="G13:G20">
    <cfRule type="expression" dxfId="1268" priority="69">
      <formula>ABS(G$16-G$19)&gt;=1000</formula>
    </cfRule>
  </conditionalFormatting>
  <conditionalFormatting sqref="H13 H15:H20">
    <cfRule type="expression" dxfId="1267" priority="68">
      <formula>ABS(H$16-H$19)&gt;=1000</formula>
    </cfRule>
  </conditionalFormatting>
  <conditionalFormatting sqref="I13:I20">
    <cfRule type="expression" dxfId="1266" priority="67">
      <formula>ABS(I$16-I$19)&gt;=1000</formula>
    </cfRule>
  </conditionalFormatting>
  <conditionalFormatting sqref="J13:J20">
    <cfRule type="expression" dxfId="1265" priority="66">
      <formula>ABS(J$16-J$19)&gt;=1000</formula>
    </cfRule>
  </conditionalFormatting>
  <conditionalFormatting sqref="L13:L20">
    <cfRule type="expression" dxfId="1264" priority="65">
      <formula>ABS(L$16-L$19)&gt;=1000</formula>
    </cfRule>
  </conditionalFormatting>
  <conditionalFormatting sqref="M13 M15 M17:M18 M20">
    <cfRule type="expression" dxfId="1263" priority="64">
      <formula>ABS(M$16-M$19)&gt;=1000</formula>
    </cfRule>
  </conditionalFormatting>
  <conditionalFormatting sqref="N13:N20">
    <cfRule type="expression" dxfId="1262" priority="63">
      <formula>ABS(N$16-N$19)&gt;=1000</formula>
    </cfRule>
  </conditionalFormatting>
  <conditionalFormatting sqref="O13:O20">
    <cfRule type="expression" dxfId="1261" priority="62">
      <formula>ABS(O$16-O$19)&gt;=1000</formula>
    </cfRule>
  </conditionalFormatting>
  <conditionalFormatting sqref="P13:P20">
    <cfRule type="expression" dxfId="1260" priority="61">
      <formula>ABS(P$16-P$19)&gt;=1000</formula>
    </cfRule>
  </conditionalFormatting>
  <conditionalFormatting sqref="Q13 Q15:Q20">
    <cfRule type="expression" dxfId="1259" priority="60">
      <formula>ABS(Q$16-Q$19)&gt;=1000</formula>
    </cfRule>
  </conditionalFormatting>
  <conditionalFormatting sqref="R13:R20">
    <cfRule type="expression" dxfId="1258" priority="59">
      <formula>ABS(R$16-R$19)&gt;=1000</formula>
    </cfRule>
  </conditionalFormatting>
  <conditionalFormatting sqref="S13:S20">
    <cfRule type="expression" dxfId="1257" priority="58">
      <formula>ABS(S$16-S$19)&gt;=1000</formula>
    </cfRule>
  </conditionalFormatting>
  <conditionalFormatting sqref="T13:T20">
    <cfRule type="expression" dxfId="1256" priority="57">
      <formula>ABS(T$16-T$19)&gt;=1000</formula>
    </cfRule>
  </conditionalFormatting>
  <conditionalFormatting sqref="U13:U20">
    <cfRule type="expression" dxfId="1255" priority="56">
      <formula>ABS(U$16-U$19)&gt;=1000</formula>
    </cfRule>
  </conditionalFormatting>
  <conditionalFormatting sqref="V13:V20">
    <cfRule type="expression" dxfId="1254" priority="55">
      <formula>ABS(V$16-V$19)&gt;=1000</formula>
    </cfRule>
  </conditionalFormatting>
  <conditionalFormatting sqref="W13 W20 W15:W18">
    <cfRule type="expression" dxfId="1253" priority="54">
      <formula>ABS(W$16-W$19)&gt;=1000</formula>
    </cfRule>
  </conditionalFormatting>
  <conditionalFormatting sqref="X13 X15:X20 Y19">
    <cfRule type="expression" dxfId="1252" priority="53">
      <formula>ABS(X$16-X$19)&gt;=1000</formula>
    </cfRule>
  </conditionalFormatting>
  <conditionalFormatting sqref="Y13 Y15:Y18 Y20">
    <cfRule type="expression" dxfId="1251" priority="52">
      <formula>ABS(Y$16-Y$19)&gt;=1000</formula>
    </cfRule>
  </conditionalFormatting>
  <conditionalFormatting sqref="Z13:Z20">
    <cfRule type="expression" dxfId="1250" priority="51">
      <formula>ABS(Z$16-Z$19)&gt;=1000</formula>
    </cfRule>
  </conditionalFormatting>
  <conditionalFormatting sqref="AA13:AA20">
    <cfRule type="expression" dxfId="1249" priority="50">
      <formula>ABS(AA$16-AA$19)&gt;=1000</formula>
    </cfRule>
  </conditionalFormatting>
  <conditionalFormatting sqref="AB13 AB15:AB20">
    <cfRule type="expression" dxfId="1248" priority="49">
      <formula>ABS(AB$16-AB$19)&gt;=1000</formula>
    </cfRule>
  </conditionalFormatting>
  <conditionalFormatting sqref="AC13 AC15:AC20">
    <cfRule type="expression" dxfId="1247" priority="48">
      <formula>ABS(AC$16-AC$19)&gt;=1000</formula>
    </cfRule>
  </conditionalFormatting>
  <conditionalFormatting sqref="AD13:AD20">
    <cfRule type="expression" dxfId="1246" priority="47">
      <formula>ABS(AD$16-AD$19)&gt;=1000</formula>
    </cfRule>
  </conditionalFormatting>
  <conditionalFormatting sqref="AE13:AE20">
    <cfRule type="expression" dxfId="1245" priority="46">
      <formula>ABS(AE$16-AE$19)&gt;=1000</formula>
    </cfRule>
  </conditionalFormatting>
  <conditionalFormatting sqref="D22:D29">
    <cfRule type="expression" dxfId="1244" priority="45">
      <formula>ABS(D$25-D$28)&gt;=1000</formula>
    </cfRule>
  </conditionalFormatting>
  <conditionalFormatting sqref="E22:E29">
    <cfRule type="expression" dxfId="1243" priority="44">
      <formula>ABS(E$25-E$28)&gt;=1000</formula>
    </cfRule>
  </conditionalFormatting>
  <conditionalFormatting sqref="F22:F29">
    <cfRule type="expression" dxfId="1242" priority="43">
      <formula>ABS(F$25-F$28)&gt;=1000</formula>
    </cfRule>
  </conditionalFormatting>
  <conditionalFormatting sqref="G22:G29">
    <cfRule type="expression" dxfId="1241" priority="42">
      <formula>ABS(G$25-G$28)&gt;=1000</formula>
    </cfRule>
  </conditionalFormatting>
  <conditionalFormatting sqref="H22:H29">
    <cfRule type="expression" dxfId="1240" priority="41">
      <formula>ABS(H$25-H$28)&gt;=1000</formula>
    </cfRule>
  </conditionalFormatting>
  <conditionalFormatting sqref="I22 I24:I29">
    <cfRule type="expression" dxfId="1239" priority="40">
      <formula>ABS(I$25-I$28)&gt;=1000</formula>
    </cfRule>
  </conditionalFormatting>
  <conditionalFormatting sqref="J22:J29 K22">
    <cfRule type="expression" dxfId="1238" priority="39">
      <formula>ABS(J$25-J$28)&gt;=1000</formula>
    </cfRule>
  </conditionalFormatting>
  <conditionalFormatting sqref="K23:K29 L25 L28">
    <cfRule type="expression" dxfId="1237" priority="38">
      <formula>ABS(K$25-K$28)&gt;=1000</formula>
    </cfRule>
  </conditionalFormatting>
  <conditionalFormatting sqref="L22 L26:L27 L29 L24">
    <cfRule type="expression" dxfId="1236" priority="37">
      <formula>ABS(L$25-L$28)&gt;=1000</formula>
    </cfRule>
  </conditionalFormatting>
  <conditionalFormatting sqref="M22:M29">
    <cfRule type="expression" dxfId="1235" priority="36">
      <formula>ABS(M$25-M$28)&gt;=1000</formula>
    </cfRule>
  </conditionalFormatting>
  <conditionalFormatting sqref="N22:N29">
    <cfRule type="expression" dxfId="1234" priority="35">
      <formula>ABS(N$25-N$28)&gt;=1000</formula>
    </cfRule>
  </conditionalFormatting>
  <conditionalFormatting sqref="O22:O29">
    <cfRule type="expression" dxfId="1233" priority="34">
      <formula>ABS(O$25-O$28)&gt;=1000</formula>
    </cfRule>
  </conditionalFormatting>
  <conditionalFormatting sqref="P22:P29">
    <cfRule type="expression" dxfId="1232" priority="33">
      <formula>ABS(P$25-P$28)&gt;=1000</formula>
    </cfRule>
  </conditionalFormatting>
  <conditionalFormatting sqref="Q22:Q29">
    <cfRule type="expression" dxfId="1231" priority="32">
      <formula>ABS(Q$25-Q$28)&gt;=1000</formula>
    </cfRule>
  </conditionalFormatting>
  <conditionalFormatting sqref="R22:R29">
    <cfRule type="expression" dxfId="1230" priority="31">
      <formula>ABS(R$25-R$28)&gt;=1000</formula>
    </cfRule>
  </conditionalFormatting>
  <conditionalFormatting sqref="S22:S29">
    <cfRule type="expression" dxfId="1229" priority="30">
      <formula>ABS(S$25-S$28)&gt;=1000</formula>
    </cfRule>
  </conditionalFormatting>
  <conditionalFormatting sqref="T22:T29">
    <cfRule type="expression" dxfId="1228" priority="29">
      <formula>ABS(T$25-T$28)&gt;=1000</formula>
    </cfRule>
  </conditionalFormatting>
  <conditionalFormatting sqref="U22:U29">
    <cfRule type="expression" dxfId="1227" priority="28">
      <formula>ABS(U$25-U$28)&gt;=1000</formula>
    </cfRule>
  </conditionalFormatting>
  <conditionalFormatting sqref="V22:V29">
    <cfRule type="expression" dxfId="1226" priority="27">
      <formula>ABS(V$25-V$28)&gt;=1000</formula>
    </cfRule>
  </conditionalFormatting>
  <conditionalFormatting sqref="W22:W29">
    <cfRule type="expression" dxfId="1225" priority="26">
      <formula>ABS(W$25-W$28)&gt;=1000</formula>
    </cfRule>
  </conditionalFormatting>
  <conditionalFormatting sqref="X22:X29">
    <cfRule type="expression" dxfId="1224" priority="25">
      <formula>ABS(X$25-X$28)&gt;=1000</formula>
    </cfRule>
  </conditionalFormatting>
  <conditionalFormatting sqref="Y22:Y29">
    <cfRule type="expression" dxfId="1223" priority="24">
      <formula>ABS(Y$25-Y$28)&gt;=1000</formula>
    </cfRule>
  </conditionalFormatting>
  <conditionalFormatting sqref="I23">
    <cfRule type="expression" dxfId="1222" priority="23">
      <formula>ABS(I$25-I$28)&gt;=1000</formula>
    </cfRule>
  </conditionalFormatting>
  <conditionalFormatting sqref="Q14">
    <cfRule type="expression" dxfId="1221" priority="22">
      <formula>ABS(Q$16-Q$19)&gt;=1000</formula>
    </cfRule>
  </conditionalFormatting>
  <conditionalFormatting sqref="W14">
    <cfRule type="expression" dxfId="1220" priority="21">
      <formula>ABS(W$16-W$19)&gt;=1000</formula>
    </cfRule>
  </conditionalFormatting>
  <conditionalFormatting sqref="X14">
    <cfRule type="expression" dxfId="1219" priority="20">
      <formula>ABS(X$16-X$19)&gt;=1000</formula>
    </cfRule>
  </conditionalFormatting>
  <conditionalFormatting sqref="T10:Y10">
    <cfRule type="expression" dxfId="1218" priority="19">
      <formula>ABS(T$7-T$10)&gt;=1000</formula>
    </cfRule>
  </conditionalFormatting>
  <conditionalFormatting sqref="W19">
    <cfRule type="expression" dxfId="1217" priority="18">
      <formula>ABS(W$16-W$19)&gt;=1000</formula>
    </cfRule>
  </conditionalFormatting>
  <conditionalFormatting sqref="AC5">
    <cfRule type="expression" dxfId="1216" priority="17">
      <formula>ABS(AC$7-AC$10)&gt;=1000</formula>
    </cfRule>
  </conditionalFormatting>
  <conditionalFormatting sqref="M14">
    <cfRule type="expression" dxfId="1215" priority="16">
      <formula>ABS(M$16-M$19)&gt;=1000</formula>
    </cfRule>
  </conditionalFormatting>
  <conditionalFormatting sqref="M16">
    <cfRule type="expression" dxfId="1214" priority="15">
      <formula>ABS(M$16-M$19)&gt;=1000</formula>
    </cfRule>
  </conditionalFormatting>
  <conditionalFormatting sqref="M19">
    <cfRule type="expression" dxfId="1213" priority="14">
      <formula>ABS(M$16-M$19)&gt;=1000</formula>
    </cfRule>
  </conditionalFormatting>
  <conditionalFormatting sqref="K13:K20">
    <cfRule type="expression" dxfId="1212" priority="13">
      <formula>ABS(K$16-K$19)&gt;=1000</formula>
    </cfRule>
  </conditionalFormatting>
  <conditionalFormatting sqref="E5">
    <cfRule type="expression" dxfId="1211" priority="12">
      <formula>ABS(E$7-E$10)&gt;=1000</formula>
    </cfRule>
  </conditionalFormatting>
  <conditionalFormatting sqref="AB14:AC14">
    <cfRule type="expression" dxfId="1210" priority="11">
      <formula>ABS(AB$16-AB$19)&gt;=1000</formula>
    </cfRule>
  </conditionalFormatting>
  <conditionalFormatting sqref="M5">
    <cfRule type="expression" dxfId="1209" priority="10">
      <formula>ABS(M$7-M$10)&gt;=1000</formula>
    </cfRule>
  </conditionalFormatting>
  <conditionalFormatting sqref="N5">
    <cfRule type="expression" dxfId="1208" priority="9">
      <formula>ABS(N$7-N$10)&gt;=1000</formula>
    </cfRule>
  </conditionalFormatting>
  <conditionalFormatting sqref="O5">
    <cfRule type="expression" dxfId="1207" priority="8">
      <formula>ABS(O$7-O$10)&gt;=1000</formula>
    </cfRule>
  </conditionalFormatting>
  <conditionalFormatting sqref="P5">
    <cfRule type="expression" dxfId="1206" priority="7">
      <formula>ABS(P$7-P$10)&gt;=1000</formula>
    </cfRule>
  </conditionalFormatting>
  <conditionalFormatting sqref="L23">
    <cfRule type="expression" dxfId="1205" priority="6">
      <formula>ABS(L$25-L$28)&gt;=1000</formula>
    </cfRule>
  </conditionalFormatting>
  <conditionalFormatting sqref="Y14">
    <cfRule type="expression" dxfId="1204" priority="5">
      <formula>ABS(Y$16-Y$19)&gt;=1000</formula>
    </cfRule>
  </conditionalFormatting>
  <conditionalFormatting sqref="F14">
    <cfRule type="expression" dxfId="1203" priority="4">
      <formula>ABS(F$16-F$19)&gt;=1000</formula>
    </cfRule>
  </conditionalFormatting>
  <conditionalFormatting sqref="H14">
    <cfRule type="expression" dxfId="1202" priority="3">
      <formula>ABS(H$16-H$19)&gt;=1000</formula>
    </cfRule>
  </conditionalFormatting>
  <conditionalFormatting sqref="AD5">
    <cfRule type="expression" dxfId="1201" priority="2">
      <formula>ABS(AD$7-AD$10)&gt;=1000</formula>
    </cfRule>
  </conditionalFormatting>
  <conditionalFormatting sqref="AE5">
    <cfRule type="expression" dxfId="120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59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91">
    <pageSetUpPr fitToPage="1"/>
  </sheetPr>
  <dimension ref="A1:CU223"/>
  <sheetViews>
    <sheetView view="pageBreakPreview" zoomScale="59" zoomScaleNormal="100" zoomScaleSheetLayoutView="59" workbookViewId="0">
      <selection activeCell="Z13" sqref="Z13:Z2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46161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2" t="s" ph="1">
        <v>177</v>
      </c>
      <c r="D6" s="71">
        <v>0</v>
      </c>
      <c r="E6" s="71">
        <v>8155</v>
      </c>
      <c r="F6" s="71">
        <v>5835</v>
      </c>
      <c r="G6" s="71">
        <v>330</v>
      </c>
      <c r="H6" s="71">
        <v>9161</v>
      </c>
      <c r="I6" s="71">
        <v>11.95</v>
      </c>
      <c r="J6" s="71">
        <v>6.27</v>
      </c>
      <c r="K6" s="71">
        <v>7.44</v>
      </c>
      <c r="L6" s="71">
        <v>7.45</v>
      </c>
      <c r="M6" s="71">
        <v>6390</v>
      </c>
      <c r="N6" s="71">
        <v>1774</v>
      </c>
      <c r="O6" s="71">
        <v>383</v>
      </c>
      <c r="P6" s="71">
        <v>1411</v>
      </c>
      <c r="Q6" s="71">
        <v>5251</v>
      </c>
      <c r="R6" s="71">
        <v>0</v>
      </c>
      <c r="S6" s="71">
        <v>0</v>
      </c>
      <c r="T6" s="71">
        <v>0</v>
      </c>
      <c r="U6" s="71">
        <v>0</v>
      </c>
      <c r="V6" s="71">
        <v>3253</v>
      </c>
      <c r="W6" s="71">
        <v>7020</v>
      </c>
      <c r="X6" s="71">
        <v>7091</v>
      </c>
      <c r="Y6" s="71">
        <v>7239</v>
      </c>
      <c r="Z6" s="71">
        <v>5195</v>
      </c>
      <c r="AA6" s="71">
        <v>0</v>
      </c>
      <c r="AB6" s="71">
        <v>4252</v>
      </c>
      <c r="AC6" s="71">
        <v>4323</v>
      </c>
      <c r="AD6" s="71">
        <v>3555</v>
      </c>
      <c r="AE6" s="71">
        <v>5026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0</v>
      </c>
      <c r="E7" s="73" ph="1">
        <f>E6*51.53*LOOKUP(E8,密度!$A$2:$A$50,密度!$B$2:$B$50)</f>
        <v>327230.88170500001</v>
      </c>
      <c r="F7" s="73" ph="1">
        <f>F6*33.183*LOOKUP(F8,密度!$A$2:$A$50,密度!$C$2:$C$50)</f>
        <v>214708.32846449999</v>
      </c>
      <c r="G7" s="73" ph="1">
        <f xml:space="preserve"> (G6+2)*51.53*LOOKUP(G8,密度!$A$2:$A$50,密度!$B$2:$B$50)</f>
        <v>13368.159943999999</v>
      </c>
      <c r="H7" s="73" ph="1">
        <f>(H6)*51.53*LOOKUP(H8,密度!$A$2:$A$50,密度!$B$2:$B$50)</f>
        <v>368872.63026200002</v>
      </c>
      <c r="I7" s="73" ph="1">
        <f>I6*290.8*1.0267</f>
        <v>3567.8441019999996</v>
      </c>
      <c r="J7" s="73" ph="1">
        <f>J6*290.8*0.7892</f>
        <v>1438.9609872000001</v>
      </c>
      <c r="K7" s="73" ph="1">
        <f>K6*290.8*1.1126</f>
        <v>2407.1679552000001</v>
      </c>
      <c r="L7" s="73" ph="1">
        <f>L6*290.8*0.777</f>
        <v>1683.33942</v>
      </c>
      <c r="M7" s="73" ph="1">
        <f>M6*33.183*LOOKUP(M8,密度!$A$2:$A$50,密度!$D$2:$D$50)</f>
        <v>216895.07157299996</v>
      </c>
      <c r="N7" s="73" ph="1">
        <f>N6*33.183*LOOKUP(N8,密度!$A$2:$A$50,密度!$E$2:$E$50)</f>
        <v>45904.2074316</v>
      </c>
      <c r="O7" s="73" ph="1">
        <f>O6*20.428*LOOKUP(O8,密度!$A$2:$A$50,密度!$C$2:$C$50)</f>
        <v>8657.9542984</v>
      </c>
      <c r="P7" s="73" ph="1">
        <f>P6*51.53*LOOKUP(P8,密度!$A$2:$A$50,密度!$B$2:$B$50)</f>
        <v>56618.365920999997</v>
      </c>
      <c r="Q7" s="73" ph="1">
        <f>Q6*1.5*1.5*3.1416*LOOKUP(W8,密度!$A$2:$A$50,密度!$L$2:$L$50)</f>
        <v>34704.599391000003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21499.535673000002</v>
      </c>
      <c r="W7" s="73" ph="1">
        <f>W6*1.5*1.5*3.1416*LOOKUP(W8,密度!$A$2:$A$50,密度!$L$2:$L$50)</f>
        <v>46396.169820000003</v>
      </c>
      <c r="X7" s="73" ph="1">
        <f>X6*1.5*1.5*3.1416*LOOKUP(X8,密度!$A$2:$A$50,密度!$L$2:$L$50)</f>
        <v>47316.529814399997</v>
      </c>
      <c r="Y7" s="73" ph="1">
        <f>Y6*1.5*1.5*3.1416*LOOKUP(Y8,密度!$A$2:$A$50,密度!$L$2:$L$50)</f>
        <v>47945.910889799998</v>
      </c>
      <c r="Z7" s="73" ph="1">
        <f>Z6*33.183*LOOKUP(Z8,密度!$A$2:$A$50,密度!$L$2:$L$50)</f>
        <v>161180.615475</v>
      </c>
      <c r="AA7" s="73" ph="1">
        <f>AA6*33.183*LOOKUP(AA8,密度!$A$2:$A$50,密度!$D$2:$D$50)</f>
        <v>0</v>
      </c>
      <c r="AB7" s="73" ph="1">
        <f>AB6*20.428*LOOKUP(AB8,密度!$A$2:$A$50,密度!$D$2:$D$50)</f>
        <v>89587.255478400009</v>
      </c>
      <c r="AC7" s="73" ph="1">
        <f>AC6*51.53*LOOKUP(AC8,密度!$A$2:$A$50,密度!$Q$2:$Q$50)</f>
        <v>211710.63089220002</v>
      </c>
      <c r="AD7" s="73" ph="1">
        <f>AD6*20.428*LOOKUP(AD8,密度!$A$2:$A$50,密度!$V$2:$V$50)</f>
        <v>69542.386704000004</v>
      </c>
      <c r="AE7" s="73" ph="1">
        <f>AE6*20.428</f>
        <v>102671.128</v>
      </c>
    </row>
    <row r="8" spans="1:99" ph="1">
      <c r="B8" s="241" ph="1"/>
      <c r="C8" s="68" t="s" ph="1">
        <v>179</v>
      </c>
      <c r="D8" s="74">
        <v>26</v>
      </c>
      <c r="E8" s="74">
        <v>26</v>
      </c>
      <c r="F8" s="74">
        <v>25</v>
      </c>
      <c r="G8" s="74">
        <v>23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28</v>
      </c>
      <c r="O8" s="74">
        <v>28</v>
      </c>
      <c r="P8" s="74">
        <v>26</v>
      </c>
      <c r="Q8" s="74">
        <v>28</v>
      </c>
      <c r="R8" s="74">
        <v>30</v>
      </c>
      <c r="S8" s="74">
        <v>24</v>
      </c>
      <c r="T8" s="74">
        <v>21</v>
      </c>
      <c r="U8" s="74">
        <v>25</v>
      </c>
      <c r="V8" s="74">
        <v>27</v>
      </c>
      <c r="W8" s="74">
        <v>27</v>
      </c>
      <c r="X8" s="74">
        <v>18</v>
      </c>
      <c r="Y8" s="74">
        <v>25</v>
      </c>
      <c r="Z8" s="74">
        <v>27</v>
      </c>
      <c r="AA8" s="74">
        <v>23</v>
      </c>
      <c r="AB8" s="74">
        <v>20</v>
      </c>
      <c r="AC8" s="74">
        <v>20</v>
      </c>
      <c r="AD8" s="74">
        <v>30</v>
      </c>
      <c r="AE8" s="74">
        <v>28</v>
      </c>
    </row>
    <row r="9" spans="1:99" ht="26.4" ph="1">
      <c r="B9" s="241" ph="1">
        <v>0.66666666666666663</v>
      </c>
      <c r="C9" s="162" t="s" ph="1">
        <v>180</v>
      </c>
      <c r="D9" s="71">
        <v>0</v>
      </c>
      <c r="E9" s="71">
        <v>8155</v>
      </c>
      <c r="F9" s="71">
        <v>5838</v>
      </c>
      <c r="G9" s="71">
        <v>1204</v>
      </c>
      <c r="H9" s="71">
        <v>9135</v>
      </c>
      <c r="I9" s="71">
        <v>39.39</v>
      </c>
      <c r="J9" s="71">
        <v>6.29</v>
      </c>
      <c r="K9" s="71">
        <v>7.45</v>
      </c>
      <c r="L9" s="71">
        <v>50</v>
      </c>
      <c r="M9" s="71">
        <v>6391</v>
      </c>
      <c r="N9" s="71">
        <v>1667</v>
      </c>
      <c r="O9" s="71">
        <v>381</v>
      </c>
      <c r="P9" s="71">
        <v>1481</v>
      </c>
      <c r="Q9" s="71">
        <v>7177</v>
      </c>
      <c r="R9" s="71">
        <v>3542</v>
      </c>
      <c r="S9" s="71">
        <v>0</v>
      </c>
      <c r="T9" s="71">
        <v>0</v>
      </c>
      <c r="U9" s="71">
        <v>0</v>
      </c>
      <c r="V9" s="71">
        <v>0</v>
      </c>
      <c r="W9" s="71">
        <v>7017</v>
      </c>
      <c r="X9" s="71">
        <v>7095</v>
      </c>
      <c r="Y9" s="71">
        <v>7247</v>
      </c>
      <c r="Z9" s="71">
        <v>2900</v>
      </c>
      <c r="AA9" s="71">
        <v>0</v>
      </c>
      <c r="AB9" s="71">
        <v>4253</v>
      </c>
      <c r="AC9" s="71">
        <v>4500</v>
      </c>
      <c r="AD9" s="71">
        <v>3554</v>
      </c>
      <c r="AE9" s="71">
        <v>5027</v>
      </c>
    </row>
    <row r="10" spans="1:99" s="72" customFormat="1" ht="22.2" ph="1">
      <c r="B10" s="241" ph="1"/>
      <c r="C10" s="162" t="s" ph="1">
        <v>178</v>
      </c>
      <c r="D10" s="73" ph="1">
        <f>D9*33.183*LOOKUP(D11,密度!$A$2:$A$50,密度!$Q$2:$Q$50)</f>
        <v>0</v>
      </c>
      <c r="E10" s="73" ph="1">
        <f>E9*51.53*LOOKUP(E11,密度!$A$2:$A$50,密度!$B$2:$B$50)</f>
        <v>326180.31383</v>
      </c>
      <c r="F10" s="73" ph="1">
        <f>F9*33.183*LOOKUP(F11,密度!$A$2:$A$50,密度!$C$2:$C$50)</f>
        <v>214237.55128860002</v>
      </c>
      <c r="G10" s="73" ph="1">
        <f xml:space="preserve"> (G9+2)*51.53*LOOKUP(G11,密度!$A$2:$A$50,密度!$B$2:$B$50)</f>
        <v>48342.735522000003</v>
      </c>
      <c r="H10" s="73" ph="1">
        <f>(H9)*51.53*LOOKUP(H11,密度!$A$2:$A$50,密度!$B$2:$B$50)</f>
        <v>366178.18324500002</v>
      </c>
      <c r="I10" s="73" ph="1">
        <f>I9*290.8*1.0267</f>
        <v>11760.4501404</v>
      </c>
      <c r="J10" s="73" ph="1">
        <f>J9*290.8*0.7892</f>
        <v>1443.5509744000001</v>
      </c>
      <c r="K10" s="73" ph="1">
        <f>K9*290.8*1.1126</f>
        <v>2410.4033960000002</v>
      </c>
      <c r="L10" s="73" ph="1">
        <f>L9*290.8*0.777</f>
        <v>11297.58</v>
      </c>
      <c r="M10" s="73" ph="1">
        <f>M9*33.183*LOOKUP(M11,密度!$A$2:$A$50,密度!$D$2:$D$50)</f>
        <v>214871.9106996</v>
      </c>
      <c r="N10" s="73" ph="1">
        <f>N9*33.183*LOOKUP(N11,密度!$A$2:$A$50,密度!$E$2:$E$50)</f>
        <v>42950.155563449996</v>
      </c>
      <c r="O10" s="73" ph="1">
        <f>O9*20.428*LOOKUP(O11,密度!$A$2:$A$50,密度!$C$2:$C$50)</f>
        <v>8527.9076076000001</v>
      </c>
      <c r="P10" s="73" ph="1">
        <f>P9*51.53*LOOKUP(P11,密度!$A$2:$A$50,密度!$B$2:$B$50)</f>
        <v>59167.740529000002</v>
      </c>
      <c r="Q10" s="73" ph="1">
        <f>Q9*1.5*1.5*3.1416*LOOKUP(W11,密度!$A$2:$A$50,密度!$L$2:$L$50)</f>
        <v>47383.0736148</v>
      </c>
      <c r="R10" s="73" ph="1">
        <f>R9*1.5*1.5*3.1416*LOOKUP(R11,密度!$A$2:$A$50,密度!$L$2:$L$50)</f>
        <v>23309.429497199999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46326.7420308</v>
      </c>
      <c r="X10" s="73" ph="1">
        <f>X9*1.5*1.5*3.1416*LOOKUP(X11,密度!$A$2:$A$50,密度!$L$2:$L$50)</f>
        <v>46891.855394999999</v>
      </c>
      <c r="Y10" s="73" ph="1">
        <f>Y9*1.5*1.5*3.1416*LOOKUP(Y11,密度!$A$2:$A$50,密度!$L$2:$L$50)</f>
        <v>47947.670971200008</v>
      </c>
      <c r="Z10" s="73" ph="1">
        <f>Z9*33.183*LOOKUP(Z11,密度!$A$2:$A$50,密度!$L$2:$L$50)</f>
        <v>89398.320300000007</v>
      </c>
      <c r="AA10" s="73" ph="1">
        <f>AA9*33.183*LOOKUP(AA11,密度!$A$2:$A$50,密度!$D$2:$D$50)</f>
        <v>0</v>
      </c>
      <c r="AB10" s="73" ph="1">
        <f>AB9*20.428*LOOKUP(AB11,密度!$A$2:$A$50,密度!$D$2:$D$50)</f>
        <v>89365.060122399998</v>
      </c>
      <c r="AC10" s="73" ph="1">
        <f>AC9*51.53*LOOKUP(AC11,密度!$A$2:$A$50,密度!$Q$2:$Q$50)</f>
        <v>218744.07704999999</v>
      </c>
      <c r="AD10" s="73" ph="1">
        <f>AD9*20.428*LOOKUP(AD11,密度!$A$2:$A$50,密度!$V$2:$V$50)</f>
        <v>69522.824851200014</v>
      </c>
      <c r="AE10" s="73" ph="1">
        <f>AE9*20.428</f>
        <v>102691.55600000001</v>
      </c>
    </row>
    <row r="11" spans="1:99" ph="1">
      <c r="A11" s="64" t="s" ph="1">
        <v>162</v>
      </c>
      <c r="B11" s="241" ph="1"/>
      <c r="C11" s="162" t="s" ph="1">
        <v>179</v>
      </c>
      <c r="D11" s="74">
        <v>30</v>
      </c>
      <c r="E11" s="74">
        <v>29</v>
      </c>
      <c r="F11" s="74">
        <v>29</v>
      </c>
      <c r="G11" s="74">
        <v>27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40</v>
      </c>
      <c r="N11" s="74">
        <v>31</v>
      </c>
      <c r="O11" s="74">
        <v>39</v>
      </c>
      <c r="P11" s="74">
        <v>30</v>
      </c>
      <c r="Q11" s="74">
        <v>30</v>
      </c>
      <c r="R11" s="74">
        <v>31</v>
      </c>
      <c r="S11" s="74">
        <v>24</v>
      </c>
      <c r="T11" s="74">
        <v>27</v>
      </c>
      <c r="U11" s="74">
        <v>26</v>
      </c>
      <c r="V11" s="74">
        <v>29</v>
      </c>
      <c r="W11" s="74">
        <v>28</v>
      </c>
      <c r="X11" s="74">
        <v>27</v>
      </c>
      <c r="Y11" s="74">
        <v>26</v>
      </c>
      <c r="Z11" s="74">
        <v>33</v>
      </c>
      <c r="AA11" s="74">
        <v>40</v>
      </c>
      <c r="AB11" s="74">
        <v>23</v>
      </c>
      <c r="AC11" s="74">
        <v>30</v>
      </c>
      <c r="AD11" s="74">
        <v>37</v>
      </c>
      <c r="AE11" s="74">
        <v>28</v>
      </c>
    </row>
    <row r="12" spans="1:99" ht="9.9" customHeight="1" ph="1"/>
    <row r="13" spans="1:99" s="72" customFormat="1" ht="29.25" customHeight="1" ph="1">
      <c r="B13" s="218" t="s" ph="1">
        <v>37</v>
      </c>
      <c r="C13" s="16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2" t="s" ph="1">
        <v>177</v>
      </c>
      <c r="D15" s="78">
        <v>6016</v>
      </c>
      <c r="E15" s="78">
        <v>1447</v>
      </c>
      <c r="F15" s="78">
        <v>1691</v>
      </c>
      <c r="G15" s="78">
        <v>1257</v>
      </c>
      <c r="H15" s="78">
        <v>0</v>
      </c>
      <c r="I15" s="78">
        <v>2570</v>
      </c>
      <c r="J15" s="78">
        <v>5216</v>
      </c>
      <c r="K15" s="78">
        <v>2278</v>
      </c>
      <c r="L15" s="78">
        <v>5492</v>
      </c>
      <c r="M15" s="78">
        <v>6465</v>
      </c>
      <c r="N15" s="78">
        <v>2297</v>
      </c>
      <c r="O15" s="78">
        <v>1962</v>
      </c>
      <c r="P15" s="78">
        <v>5321</v>
      </c>
      <c r="Q15" s="78">
        <v>6959</v>
      </c>
      <c r="R15" s="78">
        <v>0</v>
      </c>
      <c r="S15" s="78">
        <v>4314</v>
      </c>
      <c r="T15" s="78">
        <v>6658</v>
      </c>
      <c r="U15" s="78">
        <v>1261</v>
      </c>
      <c r="V15" s="78">
        <v>921</v>
      </c>
      <c r="W15" s="71">
        <v>-737</v>
      </c>
      <c r="X15" s="78">
        <v>-321</v>
      </c>
      <c r="Y15" s="106">
        <v>-2366</v>
      </c>
      <c r="Z15" s="78">
        <v>1956</v>
      </c>
      <c r="AA15" s="78">
        <v>259</v>
      </c>
      <c r="AB15" s="78" ph="1">
        <v>7347</v>
      </c>
      <c r="AC15" s="78" ph="1">
        <v>7251</v>
      </c>
      <c r="AD15" s="78">
        <v>5.24</v>
      </c>
      <c r="AE15" s="78">
        <v>57.04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2" t="s" ph="1">
        <v>178</v>
      </c>
      <c r="D16" s="73" ph="1">
        <f>D15*7.0686*LOOKUP(D17,密度!$A$2:$A$50,密度!$L$2:$L$50)</f>
        <v>39718.067558399998</v>
      </c>
      <c r="E16" s="73" ph="1">
        <f>E15*7.0686*LOOKUP(E17,密度!$A$2:$A$50,密度!$L$2:$L$50)</f>
        <v>9553.1987628000006</v>
      </c>
      <c r="F16" s="73" ph="1">
        <f>F15*9.0746*LOOKUP(F17,密度!$A$2:$A$50,密度!$L$2:$L$50)</f>
        <v>14270.988198000001</v>
      </c>
      <c r="G16" s="73" ph="1">
        <f>G15*9.0746*LOOKUP(G17,密度!$A$2:$A$50,密度!$B$2:$B$50)</f>
        <v>8892.7196071199996</v>
      </c>
      <c r="H16" s="73" ph="1">
        <f>H15*9.0746*LOOKUP(H17,密度!$A$2:$A$50,密度!$L$2:$L$50)</f>
        <v>0</v>
      </c>
      <c r="I16" s="73" ph="1">
        <f>I15*9.0746*LOOKUP(I17,密度!$A$2:$A$50,密度!$U$2:$U$50)</f>
        <v>23858.121606000001</v>
      </c>
      <c r="J16" s="73" ph="1">
        <f>J15*9.0746*LOOKUP(J17,密度!$A$2:$A$50,密度!$L$2:$L$50)</f>
        <v>44256.461216000003</v>
      </c>
      <c r="K16" s="73" ph="1">
        <f>K15*9.0746*LOOKUP(K17,密度!$A$2:$A$50,密度!$C$2:$C$50)</f>
        <v>22906.57538428</v>
      </c>
      <c r="L16" s="73" ph="1">
        <f>L15*9.0746*LOOKUP(L17,密度!$A$2:$A$50,密度!$E$2:$E$50)</f>
        <v>38808.619481840004</v>
      </c>
      <c r="M16" s="73" ph="1">
        <f>M15*9.0746*LOOKUP(M17,密度!$A$2:$A$50,密度!$M$2:$M$50)</f>
        <v>51099.208719000002</v>
      </c>
      <c r="N16" s="73" ph="1">
        <f>N15*9.0746*LOOKUP(N17,密度!$A$2:$A$50,密度!$M$2:$M$50)</f>
        <v>18240.89611062</v>
      </c>
      <c r="O16" s="73" ph="1">
        <f>O15*9.0746*LOOKUP(O17,密度!$A$2:$A$50,密度!$G$2:$G$50)</f>
        <v>17038.777496399998</v>
      </c>
      <c r="P16" s="73" ph="1">
        <f ca="1">P15*9.0746*LOOKUP(P17,密度!$A$2:$A$51,密度!$Q$2:$Q$50)</f>
        <v>45611.870877292</v>
      </c>
      <c r="Q16" s="73" ph="1">
        <f>Q15*9.0746*LOOKUP(Q17,密度!$A$2:$A$50,密度!$Q$2:$Q$50)</f>
        <v>59652.886569268005</v>
      </c>
      <c r="R16" s="73" ph="1">
        <f>MAX(R15*9.0746*LOOKUP(R17,密度!$A$2:$A$50,密度!$B$2:$B$50),0)</f>
        <v>0</v>
      </c>
      <c r="S16" s="73" ph="1">
        <f>S15*9.0746*LOOKUP(S17,密度!$A$2:$A$50,密度!$Q$2:$Q$50)</f>
        <v>36979.817884728</v>
      </c>
      <c r="T16" s="73" ph="1">
        <f>T15*9.0746*LOOKUP(T17,密度!$A$2:$A$50,密度!$O$2:$O$50)</f>
        <v>55947.703976800003</v>
      </c>
      <c r="U16" s="73" ph="1">
        <f>U15*9.0746*LOOKUP(U17,密度!$A$2:$A$50,密度!$H$2:$H$50)</f>
        <v>10478.419748420001</v>
      </c>
      <c r="V16" s="73" ph="1">
        <f>MAX(5600*LOOKUP(V17,密度!$A$2:$A$50,密度!$Q$2:$Q$50)+V15*9.0476*LOOKUP(V17,密度!$A$2:$A$50,密度!$Q$2:$Q$50),0)</f>
        <v>13151.625283628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2815.9495298400007</v>
      </c>
      <c r="Y16" s="107" ph="1">
        <v>0</v>
      </c>
      <c r="Z16" s="73" ph="1">
        <f>Z15*9.0746*LOOKUP(Z17,密度!$A$2:$A$50,密度!$D$2:$D$50)</f>
        <v>18124.440861359999</v>
      </c>
      <c r="AA16" s="73" ph="1">
        <f>AA15*9.0746*LOOKUP(AA17,密度!$A$2:$A$50,密度!$B$2:$B$50)</f>
        <v>1834.4258527000002</v>
      </c>
      <c r="AB16" s="73" ph="1">
        <f>AB15*9.0746*LOOKUP(AB17,密度!$A$2:$A$50,密度!$L$2:$L$50)</f>
        <v>62270.794510800006</v>
      </c>
      <c r="AC16" s="73" ph="1">
        <f>AC15*9.0746*LOOKUP(AC17,密度!$A$2:$A$50,密度!$L$2:$L$50)</f>
        <v>61522.929500999999</v>
      </c>
      <c r="AD16" s="73" ph="1">
        <f>AD15*268.68*LOOKUP(AD17,密度!$A$2:$A$50,密度!B2:B50)+IF(AD15&lt;=0,0,1566*LOOKUP(AD17,密度!$A$2:$A$50,密度!B2:B50))</f>
        <v>2318.4393427199998</v>
      </c>
      <c r="AE16" s="73" ph="1">
        <f>AE15*268.68*LOOKUP(AE17,密度!$A$2:$A$50,密度!B2:B50)+IF(AE15&lt;=0,0,1566*LOOKUP(AE17,密度!$A$2:$A$50,密度!B2:B50))</f>
        <v>13168.61901312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28</v>
      </c>
      <c r="E17" s="74">
        <v>28</v>
      </c>
      <c r="F17" s="74">
        <v>32</v>
      </c>
      <c r="G17" s="74">
        <v>25</v>
      </c>
      <c r="H17" s="74">
        <v>22</v>
      </c>
      <c r="I17" s="74">
        <v>27</v>
      </c>
      <c r="J17" s="74">
        <v>27</v>
      </c>
      <c r="K17" s="74">
        <v>26</v>
      </c>
      <c r="L17" s="74">
        <v>29</v>
      </c>
      <c r="M17" s="74">
        <v>29</v>
      </c>
      <c r="N17" s="74">
        <v>25</v>
      </c>
      <c r="O17" s="74">
        <v>28</v>
      </c>
      <c r="P17" s="74">
        <v>28</v>
      </c>
      <c r="Q17" s="74">
        <v>28</v>
      </c>
      <c r="R17" s="74">
        <v>26</v>
      </c>
      <c r="S17" s="74">
        <v>28</v>
      </c>
      <c r="T17" s="74">
        <v>25</v>
      </c>
      <c r="U17" s="74">
        <v>24</v>
      </c>
      <c r="V17" s="74">
        <v>29</v>
      </c>
      <c r="W17" s="74">
        <v>29</v>
      </c>
      <c r="X17" s="74">
        <v>23</v>
      </c>
      <c r="Y17" s="108">
        <v>23</v>
      </c>
      <c r="Z17" s="74">
        <v>31</v>
      </c>
      <c r="AA17" s="74">
        <v>24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6017</v>
      </c>
      <c r="E18" s="71">
        <v>786</v>
      </c>
      <c r="F18" s="71">
        <v>1752</v>
      </c>
      <c r="G18" s="71">
        <v>1333</v>
      </c>
      <c r="H18" s="71">
        <v>0</v>
      </c>
      <c r="I18" s="71">
        <v>2571</v>
      </c>
      <c r="J18" s="71">
        <v>5227</v>
      </c>
      <c r="K18" s="71">
        <v>2279</v>
      </c>
      <c r="L18" s="71">
        <v>5502</v>
      </c>
      <c r="M18" s="71">
        <v>6474</v>
      </c>
      <c r="N18" s="71">
        <v>2300</v>
      </c>
      <c r="O18" s="71">
        <v>1963</v>
      </c>
      <c r="P18" s="71">
        <v>5325</v>
      </c>
      <c r="Q18" s="71">
        <v>6966</v>
      </c>
      <c r="R18" s="71">
        <v>0</v>
      </c>
      <c r="S18" s="71">
        <v>4468</v>
      </c>
      <c r="T18" s="71">
        <v>6665</v>
      </c>
      <c r="U18" s="71">
        <v>1263</v>
      </c>
      <c r="V18" s="71">
        <v>488</v>
      </c>
      <c r="W18" s="71">
        <v>-737</v>
      </c>
      <c r="X18" s="71">
        <v>-323</v>
      </c>
      <c r="Y18" s="109">
        <v>-9908</v>
      </c>
      <c r="Z18" s="71">
        <v>1953</v>
      </c>
      <c r="AA18" s="71">
        <v>260</v>
      </c>
      <c r="AB18" s="71">
        <v>7354</v>
      </c>
      <c r="AC18" s="71">
        <v>4200</v>
      </c>
      <c r="AD18" s="71">
        <v>32.97</v>
      </c>
      <c r="AE18" s="71">
        <v>84.35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2" t="s" ph="1">
        <v>178</v>
      </c>
      <c r="D19" s="73" ph="1">
        <f>D18*7.0686*LOOKUP(D20,密度!$A$2:$A$50,密度!$L$2:$L$50)</f>
        <v>39639.6060984</v>
      </c>
      <c r="E19" s="73" ph="1">
        <f>E18*7.0686*LOOKUP(E20,密度!$A$2:$A$50,密度!$L$2:$L$50)</f>
        <v>5178.1170672000007</v>
      </c>
      <c r="F19" s="73" ph="1">
        <f>F18*9.0746*LOOKUP(F20,密度!$A$2:$A$50,密度!$L$2:$L$50)</f>
        <v>14817.587654400002</v>
      </c>
      <c r="G19" s="73" ph="1">
        <f>G18*9.0746*LOOKUP(G20,密度!$A$2:$A$50,密度!$B$2:$B$50)</f>
        <v>9409.8220762200017</v>
      </c>
      <c r="H19" s="73" ph="1">
        <f>H18*9.0746*LOOKUP(H20,密度!$A$2:$A$50,密度!$L$2:$L$50)</f>
        <v>0</v>
      </c>
      <c r="I19" s="73" ph="1">
        <f>I18*9.0746*LOOKUP(I20,密度!$A$2:$A$50,密度!$U$2:$U$50)</f>
        <v>23797.412532000002</v>
      </c>
      <c r="J19" s="73" ph="1">
        <f>J18*9.0746*LOOKUP(J20,密度!$A$2:$A$50,密度!$L$2:$L$50)</f>
        <v>44160.061740200006</v>
      </c>
      <c r="K19" s="73" ph="1">
        <f>K18*9.0746*LOOKUP(K20,密度!$A$2:$A$50,密度!$C$2:$C$50)</f>
        <v>22871.132719060002</v>
      </c>
      <c r="L19" s="73" ph="1">
        <f>L18*9.0746*LOOKUP(L20,密度!$A$2:$A$50,密度!$E$2:$E$50)</f>
        <v>38824.362097919999</v>
      </c>
      <c r="M19" s="73" ph="1">
        <f>M18*9.0746*LOOKUP(M20,密度!$A$2:$A$50,密度!$M$2:$M$50)</f>
        <v>51105.72065196</v>
      </c>
      <c r="N19" s="73" ph="1">
        <f>N18*9.0746*LOOKUP(N20,密度!$A$2:$A$50,密度!$M$2:$M$50)</f>
        <v>18264.719658000002</v>
      </c>
      <c r="O19" s="73" ph="1">
        <f>O18*9.0746*LOOKUP(O20,密度!$A$2:$A$50,密度!$G$2:$G$50)</f>
        <v>17027.867104820001</v>
      </c>
      <c r="P19" s="73" ph="1">
        <f ca="1">P18*9.0746*LOOKUP(P20,密度!$A$2:$A$51,密度!$Q$2:$Q$50)</f>
        <v>45646.159071900001</v>
      </c>
      <c r="Q19" s="73" ph="1">
        <f>Q18*9.0746*LOOKUP(Q20,密度!$A$2:$A$50,密度!$Q$2:$Q$50)</f>
        <v>59631.345283788003</v>
      </c>
      <c r="R19" s="73" ph="1">
        <f>MAX(R18*9.0746*LOOKUP(R20,密度!$A$2:$A$50,密度!$B$2:$B$50),0)</f>
        <v>0</v>
      </c>
      <c r="S19" s="73" ph="1">
        <f>S18*9.0746*LOOKUP(S20,密度!$A$2:$A$50,密度!$Q$2:$Q$50)</f>
        <v>38247.609923623997</v>
      </c>
      <c r="T19" s="73" ph="1">
        <f>T18*9.0746*LOOKUP(T20,密度!$A$2:$A$50,密度!$O$2:$O$50)</f>
        <v>56006.525534000008</v>
      </c>
      <c r="U19" s="73" ph="1">
        <f>U18*9.0746*LOOKUP(U20,密度!$A$2:$A$50,密度!$H$2:$H$50)</f>
        <v>10429.710018000002</v>
      </c>
      <c r="V19" s="73" ph="1">
        <f>MAX(5600*LOOKUP(V20,密度!$A$2:$A$50,密度!$Q$2:$Q$50)+V18*9.0476*LOOKUP(V20,密度!$A$2:$A$50,密度!$Q$2:$Q$50),0)</f>
        <v>9426.8341079999991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2790.8887459600005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18112.593063600001</v>
      </c>
      <c r="AA19" s="73" ph="1">
        <f>AA18*9.0746*LOOKUP(AA20,密度!$A$2:$A$50,密度!$B$2:$B$50)</f>
        <v>1829.2397188000002</v>
      </c>
      <c r="AB19" s="73" ph="1">
        <f>AB18*9.0746*LOOKUP(AB20,密度!$A$2:$A$50,密度!$L$2:$L$50)</f>
        <v>62263.389637200002</v>
      </c>
      <c r="AC19" s="73" ph="1">
        <f>AC18*9.0746*LOOKUP(AC20,密度!$A$2:$A$50,密度!$L$2:$L$50)</f>
        <v>35521.614240000003</v>
      </c>
      <c r="AD19" s="73" ph="1">
        <f>AD18*268.68*LOOKUP(AD20,密度!$A$2:$A$50,密度!B5:B53)+IF(AD18&lt;=0,0,1566*LOOKUP(AD20,密度!$A$2:$A$50,密度!B5:B53))</f>
        <v>8099.7429492000001</v>
      </c>
      <c r="AE19" s="73" ph="1">
        <f>AE18*268.68*LOOKUP(AE20,密度!$A$2:$A$50,密度!B5:B53)+IF(AE18&lt;=0,0,1566*LOOKUP(AE20,密度!$A$2:$A$50,密度!B5:B53))</f>
        <v>18826.055765999998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30</v>
      </c>
      <c r="E20" s="81">
        <v>30</v>
      </c>
      <c r="F20" s="81">
        <v>30</v>
      </c>
      <c r="G20" s="81">
        <v>27</v>
      </c>
      <c r="H20" s="81">
        <v>24</v>
      </c>
      <c r="I20" s="81">
        <v>30</v>
      </c>
      <c r="J20" s="81">
        <v>31</v>
      </c>
      <c r="K20" s="81">
        <v>29</v>
      </c>
      <c r="L20" s="81">
        <v>30</v>
      </c>
      <c r="M20" s="81">
        <v>30</v>
      </c>
      <c r="N20" s="81">
        <v>25</v>
      </c>
      <c r="O20" s="81">
        <v>29</v>
      </c>
      <c r="P20" s="81">
        <v>28</v>
      </c>
      <c r="Q20" s="81">
        <v>30</v>
      </c>
      <c r="R20" s="81">
        <v>30</v>
      </c>
      <c r="S20" s="81">
        <v>30</v>
      </c>
      <c r="T20" s="81">
        <v>28</v>
      </c>
      <c r="U20" s="81">
        <v>30</v>
      </c>
      <c r="V20" s="81">
        <v>33</v>
      </c>
      <c r="W20" s="81">
        <v>33</v>
      </c>
      <c r="X20" s="81">
        <v>25</v>
      </c>
      <c r="Y20" s="110">
        <v>25</v>
      </c>
      <c r="Z20" s="81">
        <v>30</v>
      </c>
      <c r="AA20" s="81">
        <v>30</v>
      </c>
      <c r="AB20" s="81">
        <v>29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2" t="s" ph="1">
        <v>177</v>
      </c>
      <c r="D24" s="71">
        <v>4.3099999999999996</v>
      </c>
      <c r="E24" s="71">
        <v>5.65</v>
      </c>
      <c r="F24" s="71">
        <v>0</v>
      </c>
      <c r="G24" s="71">
        <v>2707</v>
      </c>
      <c r="H24" s="71">
        <v>3144</v>
      </c>
      <c r="I24" s="71">
        <v>976</v>
      </c>
      <c r="J24" s="71">
        <v>217</v>
      </c>
      <c r="K24" s="71">
        <v>247</v>
      </c>
      <c r="L24" s="71">
        <v>469</v>
      </c>
      <c r="M24" s="71">
        <v>4864</v>
      </c>
      <c r="N24" s="71">
        <v>2468</v>
      </c>
      <c r="O24" s="71">
        <v>2027</v>
      </c>
      <c r="P24" s="71">
        <v>1161</v>
      </c>
      <c r="Q24" s="90">
        <v>2267</v>
      </c>
      <c r="R24" s="71">
        <v>2626</v>
      </c>
      <c r="S24" s="71">
        <v>3163</v>
      </c>
      <c r="T24" s="71">
        <v>150</v>
      </c>
      <c r="U24" s="71">
        <v>7349</v>
      </c>
      <c r="V24" s="71">
        <v>1317</v>
      </c>
      <c r="W24" s="71">
        <v>3887</v>
      </c>
      <c r="X24" s="71">
        <v>1801</v>
      </c>
      <c r="Y24" s="71">
        <v>2145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2578.9299847920001</v>
      </c>
      <c r="E25" s="91" ph="1">
        <f>E24*268.68*LOOKUP(E26,密度!$A$2:$A$50,密度!$C$2:$C$50)+IF(E24&lt;=0,0,1566*LOOKUP(E26,密度!$A$2:$A$50,密度!$C$2:$C$50))</f>
        <v>3419.8941738000003</v>
      </c>
      <c r="F25" s="91" ph="1">
        <f>F24*11.702*LOOKUP(F26,密度!$A$2:$A$50,密度!$Q$2:$Q$50)</f>
        <v>0</v>
      </c>
      <c r="G25" s="91" ph="1">
        <f>G24*18.322*LOOKUP(G26,密度!$A$2:$A$50,密度!$B$2:$B$50)</f>
        <v>38710.968946999994</v>
      </c>
      <c r="H25" s="91" ph="1">
        <f>H24*18.322*LOOKUP(H26,密度!$A$2:$A$50,密度!$B$2:$B$50)</f>
        <v>45012.053155199996</v>
      </c>
      <c r="I25" s="91" ph="1">
        <f>I24*18.322*LOOKUP(I26,密度!$A$2:$A$50,密度!$Q$2:$Q$50)</f>
        <v>16955.9703104</v>
      </c>
      <c r="J25" s="91" ph="1">
        <f>J24*18.322*LOOKUP(J26,密度!$A$2:$A$50,密度!$Q$2:$Q$50)</f>
        <v>3773.4622546599999</v>
      </c>
      <c r="K25" s="91" ph="1">
        <f>K24*18.322*LOOKUP(K26,密度!$A$2:$A$50,密度!$Q$2:$Q$50)</f>
        <v>4291.1113387999994</v>
      </c>
      <c r="L25" s="91" ph="1">
        <f>L24*18.322*LOOKUP(L26,密度!$A$2:$A$50,密度!$Q$2:$Q$50)</f>
        <v>8147.8996676000006</v>
      </c>
      <c r="M25" s="91" ph="1">
        <f>M24*18.322*LOOKUP(M26,密度!$A$2:$A$50,密度!$Q$2:$Q$50)</f>
        <v>84501.884825600006</v>
      </c>
      <c r="N25" s="91" ph="1">
        <f>N24*18.322*LOOKUP(N26,密度!$A$2:$A$50,密度!$Q$2:$Q$50)</f>
        <v>42876.367547199996</v>
      </c>
      <c r="O25" s="91" ph="1">
        <f>O24*18.322*LOOKUP(O26,密度!$A$2:$A$50,密度!$C$2:$C$50)</f>
        <v>41264.802903399992</v>
      </c>
      <c r="P25" s="91" ph="1">
        <f>P24*11.702*LOOKUP(P26,密度!$A$2:$A$50,密度!$B$2:$B$50)</f>
        <v>10616.1175908</v>
      </c>
      <c r="Q25" s="92" ph="1">
        <f>Q24*18.322*LOOKUP(Q26,密度!$A$2:$A$50,密度!$B$2:$B$50)</f>
        <v>32493.592460199994</v>
      </c>
      <c r="R25" s="91" ph="1">
        <f>R24*35.891*LOOKUP(R26,密度!$A$2:$A$50,密度!$C$2:$C$50)</f>
        <v>104654.94016639999</v>
      </c>
      <c r="S25" s="91" ph="1">
        <f>S24*35.891*LOOKUP(S26,密度!$A$2:$A$50,密度!$B$2:$B$50)</f>
        <v>88707.054266199993</v>
      </c>
      <c r="T25" s="91" ph="1">
        <f>T24*35.891*LOOKUP(T26,密度!$A$2:$A$50,密度!$Q$2:$Q$50)</f>
        <v>5109.5683784999992</v>
      </c>
      <c r="U25" s="91" ph="1">
        <f>U24*35.891</f>
        <v>263762.95899999997</v>
      </c>
      <c r="V25" s="91" ph="1">
        <f>V24*47.051*LOOKUP(V26,密度!$A$2:$A$50,密度!$B$2:$B$50)</f>
        <v>48364.593343499997</v>
      </c>
      <c r="W25" s="91" ph="1">
        <f>W24*47.051*LOOKUP(W26,密度!$A$2:$A$50,密度!$B$2:$B$50)</f>
        <v>142743.48847849999</v>
      </c>
      <c r="X25" s="91" ph="1">
        <f>X24*47.051*LOOKUP(X26,密度!$A$2:$A$61,密度!$I$2:$I$61)</f>
        <v>88323.304397300017</v>
      </c>
      <c r="Y25" s="91" ph="1">
        <f>Y24*47.051*LOOKUP(Y26,密度!$A$2:$A$50,密度!$L$2:$L$50)</f>
        <v>94465.233720000004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23</v>
      </c>
      <c r="G26" s="74">
        <v>24</v>
      </c>
      <c r="H26" s="74">
        <v>23</v>
      </c>
      <c r="I26" s="74">
        <v>23</v>
      </c>
      <c r="J26" s="74">
        <v>22</v>
      </c>
      <c r="K26" s="74">
        <v>23</v>
      </c>
      <c r="L26" s="74">
        <v>23</v>
      </c>
      <c r="M26" s="74">
        <v>23</v>
      </c>
      <c r="N26" s="74">
        <v>23</v>
      </c>
      <c r="O26" s="74">
        <v>22</v>
      </c>
      <c r="P26" s="74">
        <v>23</v>
      </c>
      <c r="Q26" s="93">
        <v>22</v>
      </c>
      <c r="R26" s="74">
        <v>23</v>
      </c>
      <c r="S26" s="74">
        <v>23</v>
      </c>
      <c r="T26" s="74">
        <v>22</v>
      </c>
      <c r="U26" s="74">
        <v>22</v>
      </c>
      <c r="V26" s="74">
        <v>24</v>
      </c>
      <c r="W26" s="74">
        <v>24</v>
      </c>
      <c r="X26" s="74">
        <v>25</v>
      </c>
      <c r="Y26" s="74">
        <v>26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2" t="s" ph="1">
        <v>180</v>
      </c>
      <c r="D27" s="71">
        <v>4.29</v>
      </c>
      <c r="E27" s="71">
        <v>5.6</v>
      </c>
      <c r="F27" s="71">
        <v>0</v>
      </c>
      <c r="G27" s="71">
        <v>1961</v>
      </c>
      <c r="H27" s="71">
        <v>2635</v>
      </c>
      <c r="I27" s="71">
        <v>211</v>
      </c>
      <c r="J27" s="71">
        <v>213</v>
      </c>
      <c r="K27" s="71">
        <v>244</v>
      </c>
      <c r="L27" s="71">
        <v>464</v>
      </c>
      <c r="M27" s="71">
        <v>4866</v>
      </c>
      <c r="N27" s="71">
        <v>2465</v>
      </c>
      <c r="O27" s="71">
        <v>856</v>
      </c>
      <c r="P27" s="71">
        <v>1159</v>
      </c>
      <c r="Q27" s="90">
        <v>2601</v>
      </c>
      <c r="R27" s="71">
        <v>2078</v>
      </c>
      <c r="S27" s="71">
        <v>3158</v>
      </c>
      <c r="T27" s="71">
        <v>146</v>
      </c>
      <c r="U27" s="71">
        <v>7349</v>
      </c>
      <c r="V27" s="71">
        <v>1014</v>
      </c>
      <c r="W27" s="71">
        <v>3887</v>
      </c>
      <c r="X27" s="71">
        <v>2035</v>
      </c>
      <c r="Y27" s="71">
        <v>2709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2" t="s" ph="1">
        <v>178</v>
      </c>
      <c r="D28" s="91" ph="1">
        <f>D27*268.68*LOOKUP(D29,密度!$A$2:$A$50,密度!$Q$2:$Q$50)+IF(D27&lt;=0,0,1566*LOOKUP(D29,密度!$A$2:$A$50,密度!$Q$2:$Q$50))</f>
        <v>2573.8425827279998</v>
      </c>
      <c r="E28" s="91" ph="1">
        <f>E27*268.68*LOOKUP(E29,密度!$A$2:$A$50,密度!$C$2:$C$50)+IF(E27&lt;=0,0,1566*LOOKUP(E29,密度!$A$2:$A$50,密度!$C$2:$C$50))</f>
        <v>3404.9972111999996</v>
      </c>
      <c r="F28" s="91" ph="1">
        <f>F27*11.702*LOOKUP(F29,密度!$A$2:$A$50,密度!$Q$2:$Q$50)</f>
        <v>0</v>
      </c>
      <c r="G28" s="91" ph="1">
        <f>G27*18.322*LOOKUP(G29,密度!$A$2:$A$50,密度!$B$2:$B$50)</f>
        <v>27823.759884799994</v>
      </c>
      <c r="H28" s="91" ph="1">
        <f>H27*18.322*LOOKUP(H29,密度!$A$2:$A$50,密度!$B$2:$B$50)</f>
        <v>37473.748414000002</v>
      </c>
      <c r="I28" s="91" ph="1">
        <f>I27*18.322*LOOKUP(I29,密度!$A$2:$A$50,密度!$Q$2:$Q$50)</f>
        <v>3654.5522914400003</v>
      </c>
      <c r="J28" s="91" ph="1">
        <f>J27*18.322*LOOKUP(J29,密度!$A$2:$A$50,密度!$Q$2:$Q$50)</f>
        <v>3689.1925975200002</v>
      </c>
      <c r="K28" s="91" ph="1">
        <f>K27*18.322*LOOKUP(K29,密度!$A$2:$A$50,密度!$Q$2:$Q$50)</f>
        <v>4222.9879441600006</v>
      </c>
      <c r="L28" s="91" ph="1">
        <f>L27*18.322*LOOKUP(L29,密度!$A$2:$A$50,密度!$Q$2:$Q$50)</f>
        <v>8030.6000249599992</v>
      </c>
      <c r="M28" s="91" ph="1">
        <f>M27*18.322*LOOKUP(M29,密度!$A$2:$A$50,密度!$Q$2:$Q$50)</f>
        <v>84217.456296239994</v>
      </c>
      <c r="N28" s="91" ph="1">
        <f>N27*18.322*LOOKUP(N29,密度!$A$2:$A$50,密度!$Q$2:$Q$50)</f>
        <v>42758.309740199998</v>
      </c>
      <c r="O28" s="91" ph="1">
        <f>O27*18.322*LOOKUP(O29,密度!$A$2:$A$50,密度!$C$2:$C$50)</f>
        <v>17391.579524799999</v>
      </c>
      <c r="P28" s="91" ph="1">
        <f>P27*11.702*LOOKUP(P29,密度!$A$2:$A$50,密度!$B$2:$B$50)</f>
        <v>10538.154186</v>
      </c>
      <c r="Q28" s="92" ph="1">
        <f>Q27*18.322*LOOKUP(Q29,密度!$A$2:$A$50,密度!$B$2:$B$50)</f>
        <v>36947.326206599995</v>
      </c>
      <c r="R28" s="91" ph="1">
        <f>R27*35.891*LOOKUP(R29,密度!$A$2:$A$50,密度!$C$2:$C$50)</f>
        <v>82591.550885199991</v>
      </c>
      <c r="S28" s="91" ph="1">
        <f>S27*35.891*LOOKUP(S29,密度!$A$2:$A$50,密度!$B$2:$B$50)</f>
        <v>88362.809328799995</v>
      </c>
      <c r="T28" s="91" ph="1">
        <f>T27*35.891*LOOKUP(T29,密度!$A$2:$A$50,密度!$Q$2:$Q$50)</f>
        <v>4943.1303263799991</v>
      </c>
      <c r="U28" s="91" ph="1">
        <f>U27*35.891</f>
        <v>263762.95899999997</v>
      </c>
      <c r="V28" s="91" ph="1">
        <f>V27*47.051*LOOKUP(V29,密度!$A$2:$A$50,密度!$B$2:$B$50)</f>
        <v>37194.493034399995</v>
      </c>
      <c r="W28" s="91" ph="1">
        <f>W27*47.051*LOOKUP(W29,密度!$A$2:$A$50,密度!$B$2:$B$50)</f>
        <v>142743.48847849999</v>
      </c>
      <c r="X28" s="91" ph="1">
        <f>X27*47.051*LOOKUP(X29,密度!$A$2:$A$61,密度!$I$2:$I$61)</f>
        <v>99798.958605500011</v>
      </c>
      <c r="Y28" s="91" ph="1">
        <f>Y27*47.051*LOOKUP(Y29,密度!$A$2:$A$50,密度!$L$2:$L$50)</f>
        <v>118921.26134700001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2" t="s" ph="1">
        <v>179</v>
      </c>
      <c r="D29" s="74">
        <v>25</v>
      </c>
      <c r="E29" s="74">
        <v>25</v>
      </c>
      <c r="F29" s="74">
        <v>30</v>
      </c>
      <c r="G29" s="74">
        <v>31</v>
      </c>
      <c r="H29" s="74">
        <v>29</v>
      </c>
      <c r="I29" s="74">
        <v>27</v>
      </c>
      <c r="J29" s="74">
        <v>27</v>
      </c>
      <c r="K29" s="74">
        <v>28</v>
      </c>
      <c r="L29" s="74">
        <v>28</v>
      </c>
      <c r="M29" s="74">
        <v>28</v>
      </c>
      <c r="N29" s="74">
        <v>25</v>
      </c>
      <c r="O29" s="74">
        <v>25</v>
      </c>
      <c r="P29" s="74">
        <v>28</v>
      </c>
      <c r="Q29" s="93">
        <v>30</v>
      </c>
      <c r="R29" s="74">
        <v>27</v>
      </c>
      <c r="S29" s="74">
        <v>25</v>
      </c>
      <c r="T29" s="74">
        <v>30</v>
      </c>
      <c r="U29" s="74">
        <v>28</v>
      </c>
      <c r="V29" s="74">
        <v>25</v>
      </c>
      <c r="W29" s="74">
        <v>24</v>
      </c>
      <c r="X29" s="74">
        <v>25</v>
      </c>
      <c r="Y29" s="74">
        <v>29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2" t="s" ph="1">
        <v>5</v>
      </c>
      <c r="F32" s="161" t="s" ph="1">
        <v>43</v>
      </c>
      <c r="G32" s="97" t="s" ph="1">
        <v>4</v>
      </c>
      <c r="H32" s="162" t="s" ph="1">
        <v>5</v>
      </c>
      <c r="I32" s="161" t="s" ph="1">
        <v>43</v>
      </c>
      <c r="J32" s="97" t="s" ph="1">
        <v>4</v>
      </c>
      <c r="K32" s="162" t="s" ph="1">
        <v>5</v>
      </c>
      <c r="L32" s="161" t="s" ph="1">
        <v>43</v>
      </c>
      <c r="M32" s="97" t="s" ph="1">
        <v>4</v>
      </c>
      <c r="N32" s="162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1" t="s" ph="1">
        <v>43</v>
      </c>
      <c r="AB32" s="97" t="s" ph="1">
        <v>85</v>
      </c>
      <c r="AC32" s="162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107477.653186</v>
      </c>
      <c r="E33" s="190" ph="1">
        <f>M10+I10</f>
        <v>226632.36084000001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16" ph="1">
        <f>N19</f>
        <v>18264.719658000002</v>
      </c>
      <c r="H33" s="190" ph="1">
        <f>M19</f>
        <v>51105.72065196</v>
      </c>
      <c r="I33" s="194" ph="1">
        <v>0</v>
      </c>
      <c r="J33" s="198" ph="1">
        <f>F10+O28</f>
        <v>231629.13081340003</v>
      </c>
      <c r="K33" s="190" ph="1">
        <f>O10+K10+E28+R28</f>
        <v>96934.859099999987</v>
      </c>
      <c r="L33" s="200" ph="1">
        <f>K19</f>
        <v>22871.132719060002</v>
      </c>
      <c r="M33" s="198" ph="1">
        <f>G10+H10+W28+S28+V28+E10+R19+P28+Q28</f>
        <v>1056487.5038313</v>
      </c>
      <c r="N33" s="190" ph="1">
        <f>L10+P10++G28+H28+AD19+AE19</f>
        <v>162688.62754300001</v>
      </c>
      <c r="O33" s="194" ph="1">
        <f>G19</f>
        <v>9409.8220762200017</v>
      </c>
      <c r="P33" s="198" ph="1">
        <f>L19</f>
        <v>38824.362097919999</v>
      </c>
      <c r="Q33" s="190" ph="1">
        <f>J10+N10</f>
        <v>44393.706537849997</v>
      </c>
      <c r="R33" s="194" ph="1">
        <f>BE23</f>
        <v>890</v>
      </c>
      <c r="S33" s="198" ph="1">
        <f>X28</f>
        <v>99798.958605500011</v>
      </c>
      <c r="T33" s="190" ph="1">
        <f>X19</f>
        <v>2790.8887459600005</v>
      </c>
      <c r="U33" s="179" ph="1">
        <f>BE21</f>
        <v>730</v>
      </c>
      <c r="V33" s="192" ph="1">
        <f ca="1">P19+Q19+S19+M28+N28+J28+D10+AC10+D19+E19+H19+J19+O19+V19+W19+K28+L28</f>
        <v>620620.22405101208</v>
      </c>
      <c r="W33" s="192" ph="1">
        <f>D28+F28+T28+I28</f>
        <v>11171.525200548</v>
      </c>
      <c r="X33" s="194" ph="1">
        <f>BE29+BE31</f>
        <v>10200</v>
      </c>
      <c r="Y33" s="196" ph="1">
        <f>+Q10+R10+S10+T10+U10+V10+W10+X10+Y10</f>
        <v>211858.77150900001</v>
      </c>
      <c r="Z33" s="177" ph="1">
        <f>T19+U19+Y28+Z10</f>
        <v>274755.81719900004</v>
      </c>
      <c r="AA33" s="179" ph="1">
        <f>BE19</f>
        <v>1440</v>
      </c>
      <c r="AB33" s="181" ph="1">
        <f>I19</f>
        <v>23797.412532000002</v>
      </c>
      <c r="AC33" s="183" ph="1">
        <f>AD10+AB19</f>
        <v>131786.21448840003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0" t="s" ph="1">
        <v>185</v>
      </c>
      <c r="AA36" s="160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6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0" t="s" ph="1">
        <v>342</v>
      </c>
      <c r="AI37" s="160" t="s" ph="1">
        <v>209</v>
      </c>
      <c r="AJ37" s="160" t="s" ph="1">
        <v>210</v>
      </c>
      <c r="AK37" s="160" t="s" ph="1">
        <v>211</v>
      </c>
      <c r="AM37" s="160" t="s" ph="1">
        <v>210</v>
      </c>
      <c r="AN37" s="160" t="s" ph="1">
        <v>211</v>
      </c>
      <c r="AO37" s="160" t="s" ph="1">
        <v>212</v>
      </c>
      <c r="AP37" s="160" t="s" ph="1">
        <v>210</v>
      </c>
      <c r="AQ37" s="160" t="s" ph="1">
        <v>211</v>
      </c>
      <c r="AR37" s="160" t="s" ph="1">
        <v>212</v>
      </c>
      <c r="AS37" s="160" t="s" ph="1">
        <v>210</v>
      </c>
      <c r="AT37" s="160" t="s" ph="1">
        <v>211</v>
      </c>
      <c r="AU37" s="160" t="s" ph="1">
        <v>212</v>
      </c>
      <c r="AV37" s="160" t="s" ph="1">
        <v>210</v>
      </c>
      <c r="AW37" s="160" t="s" ph="1">
        <v>211</v>
      </c>
      <c r="AX37" s="160" t="s" ph="1">
        <v>212</v>
      </c>
      <c r="AY37" s="160" t="s" ph="1">
        <v>211</v>
      </c>
      <c r="AZ37" s="160" t="s" ph="1">
        <v>213</v>
      </c>
      <c r="BD37" s="160" t="s" ph="1">
        <v>305</v>
      </c>
      <c r="BE37" s="16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169" priority="100">
      <formula>ABS(D$7-D$10)&gt;=1000</formula>
    </cfRule>
  </conditionalFormatting>
  <conditionalFormatting sqref="E4 E6:E11">
    <cfRule type="expression" dxfId="1168" priority="99">
      <formula>ABS(E$7-E$10)&gt;=1000</formula>
    </cfRule>
  </conditionalFormatting>
  <conditionalFormatting sqref="F4:F11">
    <cfRule type="expression" dxfId="1167" priority="98">
      <formula>ABS(F$7-F$10)&gt;=1000</formula>
    </cfRule>
  </conditionalFormatting>
  <conditionalFormatting sqref="G4:G11">
    <cfRule type="expression" dxfId="1166" priority="97">
      <formula>ABS(G$7-G$10)&gt;=1000</formula>
    </cfRule>
  </conditionalFormatting>
  <conditionalFormatting sqref="H4:H11">
    <cfRule type="expression" dxfId="1165" priority="96">
      <formula>ABS(H$7-H$10)&gt;=1000</formula>
    </cfRule>
  </conditionalFormatting>
  <conditionalFormatting sqref="I4:I11">
    <cfRule type="expression" dxfId="1164" priority="95">
      <formula>ABS(I$7-I$10)&gt;=1000</formula>
    </cfRule>
  </conditionalFormatting>
  <conditionalFormatting sqref="J4:J11">
    <cfRule type="expression" dxfId="1163" priority="94">
      <formula>ABS(J$7-J$10)&gt;=1000</formula>
    </cfRule>
  </conditionalFormatting>
  <conditionalFormatting sqref="K4:K11">
    <cfRule type="expression" dxfId="1162" priority="93">
      <formula>ABS(K$7-K$10)&gt;=1000</formula>
    </cfRule>
  </conditionalFormatting>
  <conditionalFormatting sqref="L4:L11">
    <cfRule type="expression" dxfId="1161" priority="92">
      <formula>ABS(L$7-L$10)&gt;=1000</formula>
    </cfRule>
  </conditionalFormatting>
  <conditionalFormatting sqref="M4 M6:M11">
    <cfRule type="expression" dxfId="1160" priority="91">
      <formula>ABS(M$7-M$10)&gt;=1000</formula>
    </cfRule>
  </conditionalFormatting>
  <conditionalFormatting sqref="N4 N6:N11">
    <cfRule type="expression" dxfId="1159" priority="90">
      <formula>ABS(N$7-N$10)&gt;=1000</formula>
    </cfRule>
  </conditionalFormatting>
  <conditionalFormatting sqref="O4 O6:O11">
    <cfRule type="expression" dxfId="1158" priority="89">
      <formula>ABS(O$7-O$10)&gt;=1000</formula>
    </cfRule>
  </conditionalFormatting>
  <conditionalFormatting sqref="P4 P6:P11">
    <cfRule type="expression" dxfId="1157" priority="88">
      <formula>ABS(P$7-P$10)&gt;=1000</formula>
    </cfRule>
  </conditionalFormatting>
  <conditionalFormatting sqref="Q4:Q11">
    <cfRule type="expression" dxfId="1156" priority="87">
      <formula>ABS(Q$7-Q$10)&gt;=1000</formula>
    </cfRule>
  </conditionalFormatting>
  <conditionalFormatting sqref="R4:R11">
    <cfRule type="expression" dxfId="1155" priority="86">
      <formula>ABS(R$7-R$10)&gt;=1000</formula>
    </cfRule>
  </conditionalFormatting>
  <conditionalFormatting sqref="S4:S11">
    <cfRule type="expression" dxfId="1154" priority="85">
      <formula>ABS(S$7-S$10)&gt;=1000</formula>
    </cfRule>
  </conditionalFormatting>
  <conditionalFormatting sqref="T4:T9 T11">
    <cfRule type="expression" dxfId="1153" priority="84">
      <formula>ABS(T$7-T$10)&gt;=1000</formula>
    </cfRule>
  </conditionalFormatting>
  <conditionalFormatting sqref="U4:U9 U11">
    <cfRule type="expression" dxfId="1152" priority="83">
      <formula>ABS(U$7-U$10)&gt;=1000</formula>
    </cfRule>
  </conditionalFormatting>
  <conditionalFormatting sqref="V4:V9 V11">
    <cfRule type="expression" dxfId="1151" priority="82">
      <formula>ABS(V$7-V$10)&gt;=1000</formula>
    </cfRule>
  </conditionalFormatting>
  <conditionalFormatting sqref="W4:W9 W11">
    <cfRule type="expression" dxfId="1150" priority="81">
      <formula>ABS(W$7-W$10)&gt;=1000</formula>
    </cfRule>
  </conditionalFormatting>
  <conditionalFormatting sqref="X4:X9 X11">
    <cfRule type="expression" dxfId="1149" priority="80">
      <formula>ABS(X$7-X$10)&gt;=1000</formula>
    </cfRule>
  </conditionalFormatting>
  <conditionalFormatting sqref="Y4:Y9 Y11">
    <cfRule type="expression" dxfId="1148" priority="79">
      <formula>ABS(Y$7-Y$10)&gt;=1000</formula>
    </cfRule>
  </conditionalFormatting>
  <conditionalFormatting sqref="Z4:Z11">
    <cfRule type="expression" dxfId="1147" priority="78">
      <formula>ABS(Z$7-Z$10)&gt;=1000</formula>
    </cfRule>
  </conditionalFormatting>
  <conditionalFormatting sqref="AA4:AA11">
    <cfRule type="expression" dxfId="1146" priority="77">
      <formula>ABS(AA$7-AA$10)&gt;=1000</formula>
    </cfRule>
  </conditionalFormatting>
  <conditionalFormatting sqref="AB4:AB11">
    <cfRule type="expression" dxfId="1145" priority="76">
      <formula>ABS(AB$7-AB$10)&gt;=1000</formula>
    </cfRule>
  </conditionalFormatting>
  <conditionalFormatting sqref="AC4 AC6:AC11">
    <cfRule type="expression" dxfId="1144" priority="75">
      <formula>ABS(AC$7-AC$10)&gt;=1000</formula>
    </cfRule>
  </conditionalFormatting>
  <conditionalFormatting sqref="AD4 AD6:AD11">
    <cfRule type="expression" dxfId="1143" priority="74">
      <formula>ABS(AD$7-AD$10)&gt;=1000</formula>
    </cfRule>
  </conditionalFormatting>
  <conditionalFormatting sqref="AE4 AE6:AE11">
    <cfRule type="expression" dxfId="1142" priority="73">
      <formula>ABS(AE$7-AE$10)&gt;=1000</formula>
    </cfRule>
  </conditionalFormatting>
  <conditionalFormatting sqref="D13:D20">
    <cfRule type="expression" dxfId="1141" priority="72">
      <formula>ABS(D$16-D$19)&gt;=1000</formula>
    </cfRule>
  </conditionalFormatting>
  <conditionalFormatting sqref="E13:E20">
    <cfRule type="expression" dxfId="1140" priority="71">
      <formula>ABS(E$16-E$19)&gt;=1000</formula>
    </cfRule>
  </conditionalFormatting>
  <conditionalFormatting sqref="F13 F15:F20">
    <cfRule type="expression" dxfId="1139" priority="70">
      <formula>ABS(F$16-F$19)&gt;=1000</formula>
    </cfRule>
  </conditionalFormatting>
  <conditionalFormatting sqref="G13:G20">
    <cfRule type="expression" dxfId="1138" priority="69">
      <formula>ABS(G$16-G$19)&gt;=1000</formula>
    </cfRule>
  </conditionalFormatting>
  <conditionalFormatting sqref="H13 H15:H20">
    <cfRule type="expression" dxfId="1137" priority="68">
      <formula>ABS(H$16-H$19)&gt;=1000</formula>
    </cfRule>
  </conditionalFormatting>
  <conditionalFormatting sqref="I13:I20">
    <cfRule type="expression" dxfId="1136" priority="67">
      <formula>ABS(I$16-I$19)&gt;=1000</formula>
    </cfRule>
  </conditionalFormatting>
  <conditionalFormatting sqref="J13:J20">
    <cfRule type="expression" dxfId="1135" priority="66">
      <formula>ABS(J$16-J$19)&gt;=1000</formula>
    </cfRule>
  </conditionalFormatting>
  <conditionalFormatting sqref="L13:L20">
    <cfRule type="expression" dxfId="1134" priority="65">
      <formula>ABS(L$16-L$19)&gt;=1000</formula>
    </cfRule>
  </conditionalFormatting>
  <conditionalFormatting sqref="M13 M15 M17:M18 M20">
    <cfRule type="expression" dxfId="1133" priority="64">
      <formula>ABS(M$16-M$19)&gt;=1000</formula>
    </cfRule>
  </conditionalFormatting>
  <conditionalFormatting sqref="N13:N20">
    <cfRule type="expression" dxfId="1132" priority="63">
      <formula>ABS(N$16-N$19)&gt;=1000</formula>
    </cfRule>
  </conditionalFormatting>
  <conditionalFormatting sqref="O13:O20">
    <cfRule type="expression" dxfId="1131" priority="62">
      <formula>ABS(O$16-O$19)&gt;=1000</formula>
    </cfRule>
  </conditionalFormatting>
  <conditionalFormatting sqref="P13:P20">
    <cfRule type="expression" dxfId="1130" priority="61">
      <formula>ABS(P$16-P$19)&gt;=1000</formula>
    </cfRule>
  </conditionalFormatting>
  <conditionalFormatting sqref="Q13 Q15:Q20">
    <cfRule type="expression" dxfId="1129" priority="60">
      <formula>ABS(Q$16-Q$19)&gt;=1000</formula>
    </cfRule>
  </conditionalFormatting>
  <conditionalFormatting sqref="R13:R20">
    <cfRule type="expression" dxfId="1128" priority="59">
      <formula>ABS(R$16-R$19)&gt;=1000</formula>
    </cfRule>
  </conditionalFormatting>
  <conditionalFormatting sqref="S13:S20">
    <cfRule type="expression" dxfId="1127" priority="58">
      <formula>ABS(S$16-S$19)&gt;=1000</formula>
    </cfRule>
  </conditionalFormatting>
  <conditionalFormatting sqref="T13:T20">
    <cfRule type="expression" dxfId="1126" priority="57">
      <formula>ABS(T$16-T$19)&gt;=1000</formula>
    </cfRule>
  </conditionalFormatting>
  <conditionalFormatting sqref="U13:U20">
    <cfRule type="expression" dxfId="1125" priority="56">
      <formula>ABS(U$16-U$19)&gt;=1000</formula>
    </cfRule>
  </conditionalFormatting>
  <conditionalFormatting sqref="V13:V20">
    <cfRule type="expression" dxfId="1124" priority="55">
      <formula>ABS(V$16-V$19)&gt;=1000</formula>
    </cfRule>
  </conditionalFormatting>
  <conditionalFormatting sqref="W13 W20 W15:W18">
    <cfRule type="expression" dxfId="1123" priority="54">
      <formula>ABS(W$16-W$19)&gt;=1000</formula>
    </cfRule>
  </conditionalFormatting>
  <conditionalFormatting sqref="X13 X15:X20 Y19">
    <cfRule type="expression" dxfId="1122" priority="53">
      <formula>ABS(X$16-X$19)&gt;=1000</formula>
    </cfRule>
  </conditionalFormatting>
  <conditionalFormatting sqref="Y13 Y15:Y18 Y20">
    <cfRule type="expression" dxfId="1121" priority="52">
      <formula>ABS(Y$16-Y$19)&gt;=1000</formula>
    </cfRule>
  </conditionalFormatting>
  <conditionalFormatting sqref="Z13:Z20">
    <cfRule type="expression" dxfId="1120" priority="51">
      <formula>ABS(Z$16-Z$19)&gt;=1000</formula>
    </cfRule>
  </conditionalFormatting>
  <conditionalFormatting sqref="AA13:AA20">
    <cfRule type="expression" dxfId="1119" priority="50">
      <formula>ABS(AA$16-AA$19)&gt;=1000</formula>
    </cfRule>
  </conditionalFormatting>
  <conditionalFormatting sqref="AB13 AB15:AB20">
    <cfRule type="expression" dxfId="1118" priority="49">
      <formula>ABS(AB$16-AB$19)&gt;=1000</formula>
    </cfRule>
  </conditionalFormatting>
  <conditionalFormatting sqref="AC13 AC15:AC20">
    <cfRule type="expression" dxfId="1117" priority="48">
      <formula>ABS(AC$16-AC$19)&gt;=1000</formula>
    </cfRule>
  </conditionalFormatting>
  <conditionalFormatting sqref="AD13:AD20">
    <cfRule type="expression" dxfId="1116" priority="47">
      <formula>ABS(AD$16-AD$19)&gt;=1000</formula>
    </cfRule>
  </conditionalFormatting>
  <conditionalFormatting sqref="AE13:AE20">
    <cfRule type="expression" dxfId="1115" priority="46">
      <formula>ABS(AE$16-AE$19)&gt;=1000</formula>
    </cfRule>
  </conditionalFormatting>
  <conditionalFormatting sqref="D22:D29">
    <cfRule type="expression" dxfId="1114" priority="45">
      <formula>ABS(D$25-D$28)&gt;=1000</formula>
    </cfRule>
  </conditionalFormatting>
  <conditionalFormatting sqref="E22:E29">
    <cfRule type="expression" dxfId="1113" priority="44">
      <formula>ABS(E$25-E$28)&gt;=1000</formula>
    </cfRule>
  </conditionalFormatting>
  <conditionalFormatting sqref="F22:F29">
    <cfRule type="expression" dxfId="1112" priority="43">
      <formula>ABS(F$25-F$28)&gt;=1000</formula>
    </cfRule>
  </conditionalFormatting>
  <conditionalFormatting sqref="G22:G29">
    <cfRule type="expression" dxfId="1111" priority="42">
      <formula>ABS(G$25-G$28)&gt;=1000</formula>
    </cfRule>
  </conditionalFormatting>
  <conditionalFormatting sqref="H22:H29">
    <cfRule type="expression" dxfId="1110" priority="41">
      <formula>ABS(H$25-H$28)&gt;=1000</formula>
    </cfRule>
  </conditionalFormatting>
  <conditionalFormatting sqref="I22 I24:I29">
    <cfRule type="expression" dxfId="1109" priority="40">
      <formula>ABS(I$25-I$28)&gt;=1000</formula>
    </cfRule>
  </conditionalFormatting>
  <conditionalFormatting sqref="J22:J29 K22">
    <cfRule type="expression" dxfId="1108" priority="39">
      <formula>ABS(J$25-J$28)&gt;=1000</formula>
    </cfRule>
  </conditionalFormatting>
  <conditionalFormatting sqref="K23:K29 L25 L28">
    <cfRule type="expression" dxfId="1107" priority="38">
      <formula>ABS(K$25-K$28)&gt;=1000</formula>
    </cfRule>
  </conditionalFormatting>
  <conditionalFormatting sqref="L22 L26:L27 L29 L24">
    <cfRule type="expression" dxfId="1106" priority="37">
      <formula>ABS(L$25-L$28)&gt;=1000</formula>
    </cfRule>
  </conditionalFormatting>
  <conditionalFormatting sqref="M22:M29">
    <cfRule type="expression" dxfId="1105" priority="36">
      <formula>ABS(M$25-M$28)&gt;=1000</formula>
    </cfRule>
  </conditionalFormatting>
  <conditionalFormatting sqref="N22:N29">
    <cfRule type="expression" dxfId="1104" priority="35">
      <formula>ABS(N$25-N$28)&gt;=1000</formula>
    </cfRule>
  </conditionalFormatting>
  <conditionalFormatting sqref="O22:O29">
    <cfRule type="expression" dxfId="1103" priority="34">
      <formula>ABS(O$25-O$28)&gt;=1000</formula>
    </cfRule>
  </conditionalFormatting>
  <conditionalFormatting sqref="P22:P29">
    <cfRule type="expression" dxfId="1102" priority="33">
      <formula>ABS(P$25-P$28)&gt;=1000</formula>
    </cfRule>
  </conditionalFormatting>
  <conditionalFormatting sqref="Q22:Q29">
    <cfRule type="expression" dxfId="1101" priority="32">
      <formula>ABS(Q$25-Q$28)&gt;=1000</formula>
    </cfRule>
  </conditionalFormatting>
  <conditionalFormatting sqref="R22:R29">
    <cfRule type="expression" dxfId="1100" priority="31">
      <formula>ABS(R$25-R$28)&gt;=1000</formula>
    </cfRule>
  </conditionalFormatting>
  <conditionalFormatting sqref="S22:S29">
    <cfRule type="expression" dxfId="1099" priority="30">
      <formula>ABS(S$25-S$28)&gt;=1000</formula>
    </cfRule>
  </conditionalFormatting>
  <conditionalFormatting sqref="T22:T29">
    <cfRule type="expression" dxfId="1098" priority="29">
      <formula>ABS(T$25-T$28)&gt;=1000</formula>
    </cfRule>
  </conditionalFormatting>
  <conditionalFormatting sqref="U22:U29">
    <cfRule type="expression" dxfId="1097" priority="28">
      <formula>ABS(U$25-U$28)&gt;=1000</formula>
    </cfRule>
  </conditionalFormatting>
  <conditionalFormatting sqref="V22:V29">
    <cfRule type="expression" dxfId="1096" priority="27">
      <formula>ABS(V$25-V$28)&gt;=1000</formula>
    </cfRule>
  </conditionalFormatting>
  <conditionalFormatting sqref="W22:W29">
    <cfRule type="expression" dxfId="1095" priority="26">
      <formula>ABS(W$25-W$28)&gt;=1000</formula>
    </cfRule>
  </conditionalFormatting>
  <conditionalFormatting sqref="X22:X29">
    <cfRule type="expression" dxfId="1094" priority="25">
      <formula>ABS(X$25-X$28)&gt;=1000</formula>
    </cfRule>
  </conditionalFormatting>
  <conditionalFormatting sqref="Y22:Y29">
    <cfRule type="expression" dxfId="1093" priority="24">
      <formula>ABS(Y$25-Y$28)&gt;=1000</formula>
    </cfRule>
  </conditionalFormatting>
  <conditionalFormatting sqref="I23">
    <cfRule type="expression" dxfId="1092" priority="23">
      <formula>ABS(I$25-I$28)&gt;=1000</formula>
    </cfRule>
  </conditionalFormatting>
  <conditionalFormatting sqref="Q14">
    <cfRule type="expression" dxfId="1091" priority="22">
      <formula>ABS(Q$16-Q$19)&gt;=1000</formula>
    </cfRule>
  </conditionalFormatting>
  <conditionalFormatting sqref="W14">
    <cfRule type="expression" dxfId="1090" priority="21">
      <formula>ABS(W$16-W$19)&gt;=1000</formula>
    </cfRule>
  </conditionalFormatting>
  <conditionalFormatting sqref="X14">
    <cfRule type="expression" dxfId="1089" priority="20">
      <formula>ABS(X$16-X$19)&gt;=1000</formula>
    </cfRule>
  </conditionalFormatting>
  <conditionalFormatting sqref="T10:Y10">
    <cfRule type="expression" dxfId="1088" priority="19">
      <formula>ABS(T$7-T$10)&gt;=1000</formula>
    </cfRule>
  </conditionalFormatting>
  <conditionalFormatting sqref="W19">
    <cfRule type="expression" dxfId="1087" priority="18">
      <formula>ABS(W$16-W$19)&gt;=1000</formula>
    </cfRule>
  </conditionalFormatting>
  <conditionalFormatting sqref="AC5">
    <cfRule type="expression" dxfId="1086" priority="17">
      <formula>ABS(AC$7-AC$10)&gt;=1000</formula>
    </cfRule>
  </conditionalFormatting>
  <conditionalFormatting sqref="M14">
    <cfRule type="expression" dxfId="1085" priority="16">
      <formula>ABS(M$16-M$19)&gt;=1000</formula>
    </cfRule>
  </conditionalFormatting>
  <conditionalFormatting sqref="M16">
    <cfRule type="expression" dxfId="1084" priority="15">
      <formula>ABS(M$16-M$19)&gt;=1000</formula>
    </cfRule>
  </conditionalFormatting>
  <conditionalFormatting sqref="M19">
    <cfRule type="expression" dxfId="1083" priority="14">
      <formula>ABS(M$16-M$19)&gt;=1000</formula>
    </cfRule>
  </conditionalFormatting>
  <conditionalFormatting sqref="K13:K20">
    <cfRule type="expression" dxfId="1082" priority="13">
      <formula>ABS(K$16-K$19)&gt;=1000</formula>
    </cfRule>
  </conditionalFormatting>
  <conditionalFormatting sqref="E5">
    <cfRule type="expression" dxfId="1081" priority="12">
      <formula>ABS(E$7-E$10)&gt;=1000</formula>
    </cfRule>
  </conditionalFormatting>
  <conditionalFormatting sqref="AB14:AC14">
    <cfRule type="expression" dxfId="1080" priority="11">
      <formula>ABS(AB$16-AB$19)&gt;=1000</formula>
    </cfRule>
  </conditionalFormatting>
  <conditionalFormatting sqref="M5">
    <cfRule type="expression" dxfId="1079" priority="10">
      <formula>ABS(M$7-M$10)&gt;=1000</formula>
    </cfRule>
  </conditionalFormatting>
  <conditionalFormatting sqref="N5">
    <cfRule type="expression" dxfId="1078" priority="9">
      <formula>ABS(N$7-N$10)&gt;=1000</formula>
    </cfRule>
  </conditionalFormatting>
  <conditionalFormatting sqref="O5">
    <cfRule type="expression" dxfId="1077" priority="8">
      <formula>ABS(O$7-O$10)&gt;=1000</formula>
    </cfRule>
  </conditionalFormatting>
  <conditionalFormatting sqref="P5">
    <cfRule type="expression" dxfId="1076" priority="7">
      <formula>ABS(P$7-P$10)&gt;=1000</formula>
    </cfRule>
  </conditionalFormatting>
  <conditionalFormatting sqref="L23">
    <cfRule type="expression" dxfId="1075" priority="6">
      <formula>ABS(L$25-L$28)&gt;=1000</formula>
    </cfRule>
  </conditionalFormatting>
  <conditionalFormatting sqref="Y14">
    <cfRule type="expression" dxfId="1074" priority="5">
      <formula>ABS(Y$16-Y$19)&gt;=1000</formula>
    </cfRule>
  </conditionalFormatting>
  <conditionalFormatting sqref="F14">
    <cfRule type="expression" dxfId="1073" priority="4">
      <formula>ABS(F$16-F$19)&gt;=1000</formula>
    </cfRule>
  </conditionalFormatting>
  <conditionalFormatting sqref="H14">
    <cfRule type="expression" dxfId="1072" priority="3">
      <formula>ABS(H$16-H$19)&gt;=1000</formula>
    </cfRule>
  </conditionalFormatting>
  <conditionalFormatting sqref="AD5">
    <cfRule type="expression" dxfId="1071" priority="2">
      <formula>ABS(AD$7-AD$10)&gt;=1000</formula>
    </cfRule>
  </conditionalFormatting>
  <conditionalFormatting sqref="AE5">
    <cfRule type="expression" dxfId="107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92">
    <pageSetUpPr fitToPage="1"/>
  </sheetPr>
  <dimension ref="A1:CU223"/>
  <sheetViews>
    <sheetView view="pageBreakPreview" topLeftCell="D4" zoomScale="70" zoomScaleNormal="100" zoomScaleSheetLayoutView="70" workbookViewId="0">
      <selection activeCell="AD17" sqref="AD1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46162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2" t="s" ph="1">
        <v>177</v>
      </c>
      <c r="D6" s="71">
        <v>0</v>
      </c>
      <c r="E6" s="71">
        <v>8157</v>
      </c>
      <c r="F6" s="71">
        <v>5835</v>
      </c>
      <c r="G6" s="71">
        <v>1643</v>
      </c>
      <c r="H6" s="71">
        <v>8570</v>
      </c>
      <c r="I6" s="71">
        <v>52.45</v>
      </c>
      <c r="J6" s="71">
        <v>6.24</v>
      </c>
      <c r="K6" s="71">
        <v>7.46</v>
      </c>
      <c r="L6" s="71">
        <v>7.69</v>
      </c>
      <c r="M6" s="71">
        <v>6387</v>
      </c>
      <c r="N6" s="71">
        <v>1665</v>
      </c>
      <c r="O6" s="71">
        <v>383</v>
      </c>
      <c r="P6" s="71">
        <v>1865</v>
      </c>
      <c r="Q6" s="71">
        <v>7175</v>
      </c>
      <c r="R6" s="71">
        <v>3543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3705</v>
      </c>
      <c r="Y6" s="71">
        <v>7240</v>
      </c>
      <c r="Z6" s="71">
        <v>2893</v>
      </c>
      <c r="AA6" s="71">
        <v>0</v>
      </c>
      <c r="AB6" s="71">
        <v>4252</v>
      </c>
      <c r="AC6" s="71">
        <v>4654</v>
      </c>
      <c r="AD6" s="71">
        <v>3549</v>
      </c>
      <c r="AE6" s="71">
        <v>5050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0</v>
      </c>
      <c r="E7" s="73" ph="1">
        <f>E6*51.53*LOOKUP(E8,密度!$A$2:$A$50,密度!$B$2:$B$50)</f>
        <v>327311.13452700002</v>
      </c>
      <c r="F7" s="73" ph="1">
        <f>F6*33.183*LOOKUP(F8,密度!$A$2:$A$50,密度!$C$2:$C$50)</f>
        <v>214553.43022050001</v>
      </c>
      <c r="G7" s="73" ph="1">
        <f xml:space="preserve"> (G6+2)*51.53*LOOKUP(G8,密度!$A$2:$A$50,密度!$B$2:$B$50)</f>
        <v>66236.816590000002</v>
      </c>
      <c r="H7" s="73" ph="1">
        <f>(H6)*51.53*LOOKUP(H8,密度!$A$2:$A$50,密度!$B$2:$B$50)</f>
        <v>345075.69494000002</v>
      </c>
      <c r="I7" s="73" ph="1">
        <f>I6*290.8*1.0267</f>
        <v>15659.700682000001</v>
      </c>
      <c r="J7" s="73" ph="1">
        <f>J6*290.8*0.7892</f>
        <v>1432.0760064000001</v>
      </c>
      <c r="K7" s="73" ph="1">
        <f>K6*290.8*1.1126</f>
        <v>2413.6388367999998</v>
      </c>
      <c r="L7" s="73" ph="1">
        <f>L6*290.8*0.777</f>
        <v>1737.5678040000005</v>
      </c>
      <c r="M7" s="73" ph="1">
        <f>M6*33.183*LOOKUP(M8,密度!$A$2:$A$50,密度!$D$2:$D$50)</f>
        <v>216602.49706200001</v>
      </c>
      <c r="N7" s="73" ph="1">
        <f>N6*33.183*LOOKUP(N8,密度!$A$2:$A$50,密度!$E$2:$E$50)</f>
        <v>43083.712161000003</v>
      </c>
      <c r="O7" s="73" ph="1">
        <f>O6*20.428*LOOKUP(O8,密度!$A$2:$A$50,密度!$C$2:$C$50)</f>
        <v>8657.9542984</v>
      </c>
      <c r="P7" s="73" ph="1">
        <f>P6*51.53*LOOKUP(P8,密度!$A$2:$A$50,密度!$B$2:$B$50)</f>
        <v>74922.249619999988</v>
      </c>
      <c r="Q7" s="73" ph="1">
        <f>Q6*1.5*1.5*3.1416*LOOKUP(W8,密度!$A$2:$A$50,密度!$L$2:$L$50)</f>
        <v>47471.303880000007</v>
      </c>
      <c r="R7" s="73" ph="1">
        <f>R6*1.5*1.5*3.1416*LOOKUP(R8,密度!$A$2:$A$50,密度!$L$2:$L$50)</f>
        <v>23316.010363800004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24722.569872</v>
      </c>
      <c r="Y7" s="73" ph="1">
        <f>Y6*1.5*1.5*3.1416*LOOKUP(Y8,密度!$A$2:$A$50,密度!$L$2:$L$50)</f>
        <v>47901.357504</v>
      </c>
      <c r="Z7" s="73" ph="1">
        <f>Z6*33.183*LOOKUP(Z8,密度!$A$2:$A$50,密度!$L$2:$L$50)</f>
        <v>89758.521764999998</v>
      </c>
      <c r="AA7" s="73" ph="1">
        <f>AA6*33.183*LOOKUP(AA8,密度!$A$2:$A$50,密度!$D$2:$D$50)</f>
        <v>0</v>
      </c>
      <c r="AB7" s="73" ph="1">
        <f>AB6*20.428*LOOKUP(AB8,密度!$A$2:$A$50,密度!$D$2:$D$50)</f>
        <v>89587.255478400009</v>
      </c>
      <c r="AC7" s="73" ph="1">
        <f>AC6*51.53*LOOKUP(AC8,密度!$A$2:$A$50,密度!$Q$2:$Q$50)</f>
        <v>227920.72083559999</v>
      </c>
      <c r="AD7" s="73" ph="1">
        <f>AD6*20.428*LOOKUP(AD8,密度!$A$2:$A$50,密度!$V$2:$V$50)</f>
        <v>69425.015587200003</v>
      </c>
      <c r="AE7" s="73" ph="1">
        <f>AE6*20.428</f>
        <v>103161.40000000001</v>
      </c>
    </row>
    <row r="8" spans="1:99" ph="1">
      <c r="B8" s="241" ph="1"/>
      <c r="C8" s="68" t="s" ph="1">
        <v>179</v>
      </c>
      <c r="D8" s="74">
        <v>26</v>
      </c>
      <c r="E8" s="74">
        <v>26</v>
      </c>
      <c r="F8" s="74">
        <v>26</v>
      </c>
      <c r="G8" s="74">
        <v>23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28</v>
      </c>
      <c r="O8" s="74">
        <v>28</v>
      </c>
      <c r="P8" s="74">
        <v>25</v>
      </c>
      <c r="Q8" s="74">
        <v>28</v>
      </c>
      <c r="R8" s="74">
        <v>31</v>
      </c>
      <c r="S8" s="74">
        <v>25</v>
      </c>
      <c r="T8" s="74">
        <v>21</v>
      </c>
      <c r="U8" s="74">
        <v>25</v>
      </c>
      <c r="V8" s="74">
        <v>28</v>
      </c>
      <c r="W8" s="74">
        <v>26</v>
      </c>
      <c r="X8" s="74">
        <v>18</v>
      </c>
      <c r="Y8" s="74">
        <v>26</v>
      </c>
      <c r="Z8" s="74">
        <v>27</v>
      </c>
      <c r="AA8" s="74">
        <v>23</v>
      </c>
      <c r="AB8" s="74">
        <v>20</v>
      </c>
      <c r="AC8" s="74">
        <v>20</v>
      </c>
      <c r="AD8" s="74">
        <v>28</v>
      </c>
      <c r="AE8" s="74">
        <v>28</v>
      </c>
    </row>
    <row r="9" spans="1:99" ht="26.4" ph="1">
      <c r="B9" s="241" ph="1">
        <v>0.66666666666666663</v>
      </c>
      <c r="C9" s="162" t="s" ph="1">
        <v>180</v>
      </c>
      <c r="D9" s="71">
        <v>0</v>
      </c>
      <c r="E9" s="71">
        <v>8160</v>
      </c>
      <c r="F9" s="71">
        <v>5840</v>
      </c>
      <c r="G9" s="71">
        <v>1648</v>
      </c>
      <c r="H9" s="71">
        <v>8286</v>
      </c>
      <c r="I9" s="71">
        <v>52.43</v>
      </c>
      <c r="J9" s="71">
        <v>6.29</v>
      </c>
      <c r="K9" s="71">
        <v>7.5</v>
      </c>
      <c r="L9" s="71">
        <v>16.86</v>
      </c>
      <c r="M9" s="71">
        <v>6391</v>
      </c>
      <c r="N9" s="71">
        <v>1635</v>
      </c>
      <c r="O9" s="71">
        <v>382</v>
      </c>
      <c r="P9" s="71">
        <v>1716</v>
      </c>
      <c r="Q9" s="71">
        <v>7185</v>
      </c>
      <c r="R9" s="71">
        <v>6272</v>
      </c>
      <c r="S9" s="71">
        <v>1990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5818</v>
      </c>
      <c r="Z9" s="71">
        <v>597</v>
      </c>
      <c r="AA9" s="71">
        <v>0</v>
      </c>
      <c r="AB9" s="71">
        <v>4092</v>
      </c>
      <c r="AC9" s="71">
        <v>5095</v>
      </c>
      <c r="AD9" s="71">
        <v>3549</v>
      </c>
      <c r="AE9" s="71">
        <v>5037</v>
      </c>
    </row>
    <row r="10" spans="1:99" s="72" customFormat="1" ht="22.2" ph="1">
      <c r="B10" s="241" ph="1"/>
      <c r="C10" s="162" t="s" ph="1">
        <v>178</v>
      </c>
      <c r="D10" s="73" ph="1">
        <f>D9*33.183*LOOKUP(D11,密度!$A$2:$A$50,密度!$Q$2:$Q$50)</f>
        <v>0</v>
      </c>
      <c r="E10" s="73" ph="1">
        <f>E9*51.53*LOOKUP(E11,密度!$A$2:$A$50,密度!$B$2:$B$50)</f>
        <v>326380.30176</v>
      </c>
      <c r="F10" s="73" ph="1">
        <f>F9*33.183*LOOKUP(F11,密度!$A$2:$A$50,密度!$C$2:$C$50)</f>
        <v>214310.94544800001</v>
      </c>
      <c r="G10" s="73" ph="1">
        <f xml:space="preserve"> (G9+2)*51.53*LOOKUP(G11,密度!$A$2:$A$50,密度!$B$2:$B$50)</f>
        <v>66140.558550000002</v>
      </c>
      <c r="H10" s="73" ph="1">
        <f>(H9)*51.53*LOOKUP(H11,密度!$A$2:$A$50,密度!$B$2:$B$50)</f>
        <v>332145.859482</v>
      </c>
      <c r="I10" s="73" ph="1">
        <f>I9*290.8*1.0267</f>
        <v>15653.729394799999</v>
      </c>
      <c r="J10" s="73" ph="1">
        <f>J9*290.8*0.7892</f>
        <v>1443.5509744000001</v>
      </c>
      <c r="K10" s="73" ph="1">
        <f>K9*290.8*1.1126</f>
        <v>2426.5806000000002</v>
      </c>
      <c r="L10" s="73" ph="1">
        <f>L9*290.8*0.777</f>
        <v>3809.5439759999999</v>
      </c>
      <c r="M10" s="73" ph="1">
        <f>M9*33.183*LOOKUP(M11,密度!$A$2:$A$50,密度!$D$2:$D$50)</f>
        <v>215253.64129499995</v>
      </c>
      <c r="N10" s="73" ph="1">
        <f>N9*33.183*LOOKUP(N11,密度!$A$2:$A$50,密度!$E$2:$E$50)</f>
        <v>42125.677472249998</v>
      </c>
      <c r="O10" s="73" ph="1">
        <f>O9*20.428*LOOKUP(O11,密度!$A$2:$A$50,密度!$C$2:$C$50)</f>
        <v>8541.7067215999996</v>
      </c>
      <c r="P10" s="73" ph="1">
        <f>P9*51.53*LOOKUP(P11,密度!$A$2:$A$50,密度!$B$2:$B$50)</f>
        <v>68476.691712</v>
      </c>
      <c r="Q10" s="73" ph="1">
        <f>Q9*1.5*1.5*3.1416*LOOKUP(W11,密度!$A$2:$A$50,密度!$L$2:$L$50)</f>
        <v>47029.587066</v>
      </c>
      <c r="R10" s="73" ph="1">
        <f>R9*1.5*1.5*3.1416*LOOKUP(R11,密度!$A$2:$A$50,密度!$L$2:$L$50)</f>
        <v>41275.195315200006</v>
      </c>
      <c r="S10" s="73" ph="1">
        <f>S9*1.5*1.5*3.1416*LOOKUP(S11,密度!$A$2:$A$50,密度!$L$2:$L$50)</f>
        <v>13166.257104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38451.982338000002</v>
      </c>
      <c r="Z10" s="73" ph="1">
        <f>Z9*33.183*LOOKUP(Z11,密度!$A$2:$A$50,密度!$L$2:$L$50)</f>
        <v>18383.912928000002</v>
      </c>
      <c r="AA10" s="73" ph="1">
        <f>AA9*33.183*LOOKUP(AA11,密度!$A$2:$A$50,密度!$D$2:$D$50)</f>
        <v>0</v>
      </c>
      <c r="AB10" s="73" ph="1">
        <f>AB9*20.428*LOOKUP(AB11,密度!$A$2:$A$50,密度!$D$2:$D$50)</f>
        <v>85898.497977600011</v>
      </c>
      <c r="AC10" s="73" ph="1">
        <f>AC9*51.53*LOOKUP(AC11,密度!$A$2:$A$50,密度!$Q$2:$Q$50)</f>
        <v>247666.90501549997</v>
      </c>
      <c r="AD10" s="73" ph="1">
        <f>AD9*20.428*LOOKUP(AD11,密度!$A$2:$A$50,密度!$V$2:$V$50)</f>
        <v>69425.015587200003</v>
      </c>
      <c r="AE10" s="73" ph="1">
        <f>AE9*20.428</f>
        <v>102895.83600000001</v>
      </c>
    </row>
    <row r="11" spans="1:99" ph="1">
      <c r="A11" s="64" t="s" ph="1">
        <v>162</v>
      </c>
      <c r="B11" s="241" ph="1"/>
      <c r="C11" s="162" t="s" ph="1">
        <v>179</v>
      </c>
      <c r="D11" s="74">
        <v>29</v>
      </c>
      <c r="E11" s="74">
        <v>29</v>
      </c>
      <c r="F11" s="74">
        <v>29</v>
      </c>
      <c r="G11" s="74">
        <v>27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38</v>
      </c>
      <c r="N11" s="74">
        <v>31</v>
      </c>
      <c r="O11" s="74">
        <v>40</v>
      </c>
      <c r="P11" s="74">
        <v>31</v>
      </c>
      <c r="Q11" s="74">
        <v>31</v>
      </c>
      <c r="R11" s="74">
        <v>31</v>
      </c>
      <c r="S11" s="74">
        <v>26</v>
      </c>
      <c r="T11" s="74">
        <v>31</v>
      </c>
      <c r="U11" s="74">
        <v>32</v>
      </c>
      <c r="V11" s="74">
        <v>28</v>
      </c>
      <c r="W11" s="74">
        <v>36</v>
      </c>
      <c r="X11" s="74">
        <v>22</v>
      </c>
      <c r="Y11" s="74">
        <v>27</v>
      </c>
      <c r="Z11" s="74">
        <v>34</v>
      </c>
      <c r="AA11" s="74">
        <v>40</v>
      </c>
      <c r="AB11" s="74">
        <v>24</v>
      </c>
      <c r="AC11" s="74">
        <v>30</v>
      </c>
      <c r="AD11" s="74">
        <v>34</v>
      </c>
      <c r="AE11" s="74">
        <v>29</v>
      </c>
    </row>
    <row r="12" spans="1:99" ht="9.9" customHeight="1" ph="1"/>
    <row r="13" spans="1:99" s="72" customFormat="1" ht="29.25" customHeight="1" ph="1">
      <c r="B13" s="218" t="s" ph="1">
        <v>37</v>
      </c>
      <c r="C13" s="16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2" t="s" ph="1">
        <v>177</v>
      </c>
      <c r="D15" s="78">
        <v>5051</v>
      </c>
      <c r="E15" s="78">
        <v>73</v>
      </c>
      <c r="F15" s="78">
        <v>1958</v>
      </c>
      <c r="G15" s="78">
        <v>1491</v>
      </c>
      <c r="H15" s="78">
        <v>0</v>
      </c>
      <c r="I15" s="78">
        <v>2568</v>
      </c>
      <c r="J15" s="78">
        <v>5235</v>
      </c>
      <c r="K15" s="78">
        <v>2278</v>
      </c>
      <c r="L15" s="78">
        <v>5490</v>
      </c>
      <c r="M15" s="78">
        <v>6462</v>
      </c>
      <c r="N15" s="78">
        <v>2297</v>
      </c>
      <c r="O15" s="78">
        <v>1961</v>
      </c>
      <c r="P15" s="78">
        <v>5318</v>
      </c>
      <c r="Q15" s="78">
        <v>6888</v>
      </c>
      <c r="R15" s="78">
        <v>0</v>
      </c>
      <c r="S15" s="78">
        <v>4621</v>
      </c>
      <c r="T15" s="78">
        <v>6662</v>
      </c>
      <c r="U15" s="78">
        <v>1262</v>
      </c>
      <c r="V15" s="78">
        <v>-817</v>
      </c>
      <c r="W15" s="71">
        <v>-737</v>
      </c>
      <c r="X15" s="78">
        <v>-321</v>
      </c>
      <c r="Y15" s="106">
        <v>-2365</v>
      </c>
      <c r="Z15" s="78">
        <v>1953</v>
      </c>
      <c r="AA15" s="78">
        <v>258</v>
      </c>
      <c r="AB15" s="78" ph="1">
        <v>7347</v>
      </c>
      <c r="AC15" s="78" ph="1">
        <v>2588</v>
      </c>
      <c r="AD15" s="78">
        <v>5.45</v>
      </c>
      <c r="AE15" s="78">
        <v>57.28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2" t="s" ph="1">
        <v>178</v>
      </c>
      <c r="D16" s="73" ph="1">
        <f>D15*7.0686*LOOKUP(D17,密度!$A$2:$A$50,密度!$L$2:$L$50)</f>
        <v>33347.0676924</v>
      </c>
      <c r="E16" s="73" ph="1">
        <f>E15*7.0686*LOOKUP(E17,密度!$A$2:$A$50,密度!$L$2:$L$50)</f>
        <v>481.95128520000003</v>
      </c>
      <c r="F16" s="73" ph="1">
        <f>F15*9.0746*LOOKUP(F17,密度!$A$2:$A$50,密度!$L$2:$L$50)</f>
        <v>16488.765990400003</v>
      </c>
      <c r="G16" s="73" ph="1">
        <f>G15*9.0746*LOOKUP(G17,密度!$A$2:$A$50,密度!$B$2:$B$50)</f>
        <v>10535.98901082</v>
      </c>
      <c r="H16" s="73" ph="1">
        <f>H15*9.0746*LOOKUP(H17,密度!$A$2:$A$50,密度!$L$2:$L$50)</f>
        <v>0</v>
      </c>
      <c r="I16" s="73" ph="1">
        <f>I15*9.0746*LOOKUP(I17,密度!$A$2:$A$50,密度!$U$2:$U$50)</f>
        <v>23769.644256000003</v>
      </c>
      <c r="J16" s="73" ph="1">
        <f>J15*9.0746*LOOKUP(J17,密度!$A$2:$A$50,密度!$L$2:$L$50)</f>
        <v>44370.165954000004</v>
      </c>
      <c r="K16" s="73" ph="1">
        <f>K15*9.0746*LOOKUP(K17,密度!$A$2:$A$50,密度!$C$2:$C$50)</f>
        <v>22906.57538428</v>
      </c>
      <c r="L16" s="73" ph="1">
        <f>L15*9.0746*LOOKUP(L17,密度!$A$2:$A$50,密度!$E$2:$E$50)</f>
        <v>38849.288209200007</v>
      </c>
      <c r="M16" s="73" ph="1">
        <f>M15*9.0746*LOOKUP(M17,密度!$A$2:$A$50,密度!$M$2:$M$50)</f>
        <v>51134.136854400007</v>
      </c>
      <c r="N16" s="73" ph="1">
        <f>N15*9.0746*LOOKUP(N17,密度!$A$2:$A$50,密度!$M$2:$M$50)</f>
        <v>18240.89611062</v>
      </c>
      <c r="O16" s="73" ph="1">
        <f>O15*9.0746*LOOKUP(O17,密度!$A$2:$A$50,密度!$G$2:$G$50)</f>
        <v>17010.518284540001</v>
      </c>
      <c r="P16" s="73" ph="1">
        <f ca="1">P15*9.0746*LOOKUP(P17,密度!$A$2:$A$51,密度!$Q$2:$Q$50)</f>
        <v>45586.154731336006</v>
      </c>
      <c r="Q16" s="73" ph="1">
        <f>Q15*9.0746*LOOKUP(Q17,密度!$A$2:$A$50,密度!$Q$2:$Q$50)</f>
        <v>59044.271114976</v>
      </c>
      <c r="R16" s="73" ph="1">
        <f>MAX(R15*9.0746*LOOKUP(R17,密度!$A$2:$A$50,密度!$B$2:$B$50),0)</f>
        <v>0</v>
      </c>
      <c r="S16" s="73" ph="1">
        <f>S15*9.0746*LOOKUP(S17,密度!$A$2:$A$50,密度!$Q$2:$Q$50)</f>
        <v>39611.436820892006</v>
      </c>
      <c r="T16" s="73" ph="1">
        <f>T15*9.0746*LOOKUP(T17,密度!$A$2:$A$50,密度!$O$2:$O$50)</f>
        <v>55981.316295200006</v>
      </c>
      <c r="U16" s="73" ph="1">
        <f>U15*9.0746*LOOKUP(U17,密度!$A$2:$A$50,密度!$H$2:$H$50)</f>
        <v>10498.18150484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2812.7146653600007</v>
      </c>
      <c r="Y16" s="107" ph="1">
        <v>0</v>
      </c>
      <c r="Z16" s="73" ph="1">
        <f>Z15*9.0746*LOOKUP(Z17,密度!$A$2:$A$50,密度!$D$2:$D$50)</f>
        <v>18146.266181820003</v>
      </c>
      <c r="AA16" s="73" ph="1">
        <f>AA15*9.0746*LOOKUP(AA17,密度!$A$2:$A$50,密度!$B$2:$B$50)</f>
        <v>1827.3431274</v>
      </c>
      <c r="AB16" s="73" ph="1">
        <f>AB15*9.0746*LOOKUP(AB17,密度!$A$2:$A$50,密度!$L$2:$L$50)</f>
        <v>62337.465597000009</v>
      </c>
      <c r="AC16" s="73" ph="1">
        <f>AC15*9.0746*LOOKUP(AC17,密度!$A$2:$A$50,密度!$L$2:$L$50)</f>
        <v>21982.020652800002</v>
      </c>
      <c r="AD16" s="73" ph="1">
        <f>AD15*268.68*LOOKUP(AD17,密度!$A$2:$A$50,密度!B2:B50)+IF(AD15&lt;=0,0,1566*LOOKUP(AD17,密度!$A$2:$A$50,密度!B2:B50))</f>
        <v>2362.4265575999998</v>
      </c>
      <c r="AE16" s="73" ph="1">
        <f>AE15*268.68*LOOKUP(AE17,密度!$A$2:$A$50,密度!B2:B50)+IF(AE15&lt;=0,0,1566*LOOKUP(AE17,密度!$A$2:$A$50,密度!B2:B50))</f>
        <v>13218.89011584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28</v>
      </c>
      <c r="E17" s="74">
        <v>28</v>
      </c>
      <c r="F17" s="74">
        <v>34</v>
      </c>
      <c r="G17" s="74">
        <v>26</v>
      </c>
      <c r="H17" s="74">
        <v>23</v>
      </c>
      <c r="I17" s="74">
        <v>30</v>
      </c>
      <c r="J17" s="74">
        <v>28</v>
      </c>
      <c r="K17" s="74">
        <v>26</v>
      </c>
      <c r="L17" s="74">
        <v>28</v>
      </c>
      <c r="M17" s="74">
        <v>28</v>
      </c>
      <c r="N17" s="74">
        <v>25</v>
      </c>
      <c r="O17" s="74">
        <v>29</v>
      </c>
      <c r="P17" s="74">
        <v>28</v>
      </c>
      <c r="Q17" s="74">
        <v>28</v>
      </c>
      <c r="R17" s="74">
        <v>26</v>
      </c>
      <c r="S17" s="74">
        <v>28</v>
      </c>
      <c r="T17" s="74">
        <v>25</v>
      </c>
      <c r="U17" s="74">
        <v>23</v>
      </c>
      <c r="V17" s="74">
        <v>31</v>
      </c>
      <c r="W17" s="74">
        <v>31</v>
      </c>
      <c r="X17" s="74">
        <v>24</v>
      </c>
      <c r="Y17" s="108">
        <v>24</v>
      </c>
      <c r="Z17" s="74">
        <v>28</v>
      </c>
      <c r="AA17" s="74">
        <v>24</v>
      </c>
      <c r="AB17" s="74">
        <v>27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2115</v>
      </c>
      <c r="E18" s="71">
        <v>2306</v>
      </c>
      <c r="F18" s="71">
        <v>1958</v>
      </c>
      <c r="G18" s="71">
        <v>1565</v>
      </c>
      <c r="H18" s="71">
        <v>0</v>
      </c>
      <c r="I18" s="71">
        <v>5177</v>
      </c>
      <c r="J18" s="71">
        <v>5243</v>
      </c>
      <c r="K18" s="71">
        <v>2279</v>
      </c>
      <c r="L18" s="71">
        <v>5503</v>
      </c>
      <c r="M18" s="71">
        <v>3537</v>
      </c>
      <c r="N18" s="71">
        <v>3877</v>
      </c>
      <c r="O18" s="71">
        <v>1963</v>
      </c>
      <c r="P18" s="71">
        <v>5325</v>
      </c>
      <c r="Q18" s="71">
        <v>5650</v>
      </c>
      <c r="R18" s="71">
        <v>0</v>
      </c>
      <c r="S18" s="71">
        <v>4768</v>
      </c>
      <c r="T18" s="71">
        <v>6665</v>
      </c>
      <c r="U18" s="71">
        <v>1263</v>
      </c>
      <c r="V18" s="71">
        <v>3556</v>
      </c>
      <c r="W18" s="71">
        <v>-737</v>
      </c>
      <c r="X18" s="71">
        <v>-321</v>
      </c>
      <c r="Y18" s="109">
        <v>-9909</v>
      </c>
      <c r="Z18" s="71">
        <v>1952</v>
      </c>
      <c r="AA18" s="71">
        <v>258</v>
      </c>
      <c r="AB18" s="71">
        <v>7389</v>
      </c>
      <c r="AC18" s="71">
        <v>391</v>
      </c>
      <c r="AD18" s="71">
        <v>31.32</v>
      </c>
      <c r="AE18" s="71">
        <v>84.64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2" t="s" ph="1">
        <v>178</v>
      </c>
      <c r="D19" s="73" ph="1">
        <f>D18*7.0686*LOOKUP(D20,密度!$A$2:$A$50,密度!$L$2:$L$50)</f>
        <v>13933.482948000001</v>
      </c>
      <c r="E19" s="73" ph="1">
        <f>E18*7.0686*LOOKUP(E20,密度!$A$2:$A$50,密度!$L$2:$L$50)</f>
        <v>15191.7785712</v>
      </c>
      <c r="F19" s="73" ph="1">
        <f>F18*9.0746*LOOKUP(F20,密度!$A$2:$A$50,密度!$L$2:$L$50)</f>
        <v>16470.9979236</v>
      </c>
      <c r="G19" s="73" ph="1">
        <f>G18*9.0746*LOOKUP(G20,密度!$A$2:$A$50,密度!$B$2:$B$50)</f>
        <v>11034.758973</v>
      </c>
      <c r="H19" s="73" ph="1">
        <f>H18*9.0746*LOOKUP(H20,密度!$A$2:$A$50,密度!$L$2:$L$50)</f>
        <v>0</v>
      </c>
      <c r="I19" s="73" ph="1">
        <f>I18*9.0746*LOOKUP(I20,密度!$A$2:$A$50,密度!$U$2:$U$50)</f>
        <v>47646.308899639997</v>
      </c>
      <c r="J19" s="73" ph="1">
        <f>J18*9.0746*LOOKUP(J20,密度!$A$2:$A$50,密度!$L$2:$L$50)</f>
        <v>44152.502598400002</v>
      </c>
      <c r="K19" s="73" ph="1">
        <f>K18*9.0746*LOOKUP(K20,密度!$A$2:$A$50,密度!$C$2:$C$50)</f>
        <v>22854.58790834</v>
      </c>
      <c r="L19" s="73" ph="1">
        <f>L18*9.0746*LOOKUP(L20,密度!$A$2:$A$50,密度!$E$2:$E$50)</f>
        <v>38831.41850688</v>
      </c>
      <c r="M19" s="73" ph="1">
        <f>M18*9.0746*LOOKUP(M20,密度!$A$2:$A$50,密度!$M$2:$M$50)</f>
        <v>27921.058687979999</v>
      </c>
      <c r="N19" s="73" ph="1">
        <f>N18*9.0746*LOOKUP(N20,密度!$A$2:$A$50,密度!$M$2:$M$50)</f>
        <v>30752.782173220003</v>
      </c>
      <c r="O19" s="73" ph="1">
        <f>O18*9.0746*LOOKUP(O20,密度!$A$2:$A$50,密度!$G$2:$G$50)</f>
        <v>17006.490977059999</v>
      </c>
      <c r="P19" s="73" ph="1">
        <f ca="1">P18*9.0746*LOOKUP(P20,密度!$A$2:$A$51,密度!$Q$2:$Q$50)</f>
        <v>45583.823375849999</v>
      </c>
      <c r="Q19" s="73" ph="1">
        <f>Q18*9.0746*LOOKUP(Q20,密度!$A$2:$A$50,密度!$Q$2:$Q$50)</f>
        <v>48365.934661699997</v>
      </c>
      <c r="R19" s="73" ph="1">
        <f>MAX(R18*9.0746*LOOKUP(R20,密度!$A$2:$A$50,密度!$B$2:$B$50),0)</f>
        <v>0</v>
      </c>
      <c r="S19" s="73" ph="1">
        <f>S18*9.0746*LOOKUP(S20,密度!$A$2:$A$50,密度!$Q$2:$Q$50)</f>
        <v>40815.712649024004</v>
      </c>
      <c r="T19" s="73" ph="1">
        <f>T18*9.0746*LOOKUP(T20,密度!$A$2:$A$50,密度!$O$2:$O$50)</f>
        <v>56006.525534000008</v>
      </c>
      <c r="U19" s="73" ph="1">
        <f>U18*9.0746*LOOKUP(U20,密度!$A$2:$A$50,密度!$H$2:$H$50)</f>
        <v>10429.710018000002</v>
      </c>
      <c r="V19" s="73" ph="1">
        <f>MAX(5600*LOOKUP(V20,密度!$A$2:$A$50,密度!$Q$2:$Q$50)+V18*9.0476*LOOKUP(V20,密度!$A$2:$A$50,密度!$Q$2:$Q$50),0)</f>
        <v>35554.086245999999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2809.74937292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18087.376565119997</v>
      </c>
      <c r="AA19" s="73" ph="1">
        <f>AA18*9.0746*LOOKUP(AA20,密度!$A$2:$A$50,密度!$B$2:$B$50)</f>
        <v>1810.9543997999999</v>
      </c>
      <c r="AB19" s="73" ph="1">
        <f>AB18*9.0746*LOOKUP(AB20,密度!$A$2:$A$50,密度!$L$2:$L$50)</f>
        <v>62492.668480800006</v>
      </c>
      <c r="AC19" s="73" ph="1">
        <f>AC18*9.0746*LOOKUP(AC20,密度!$A$2:$A$50,密度!$L$2:$L$50)</f>
        <v>3303.3449666000001</v>
      </c>
      <c r="AD19" s="73" ph="1">
        <f>AD18*268.68*LOOKUP(AD20,密度!$A$2:$A$50,密度!B5:B53)+IF(AD18&lt;=0,0,1566*LOOKUP(AD20,密度!$A$2:$A$50,密度!B5:B53))</f>
        <v>7755.2817552000006</v>
      </c>
      <c r="AE19" s="73" ph="1">
        <f>AE18*268.68*LOOKUP(AE20,密度!$A$2:$A$50,密度!B5:B53)+IF(AE18&lt;=0,0,1566*LOOKUP(AE20,密度!$A$2:$A$50,密度!B5:B53))</f>
        <v>18886.597430400001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30</v>
      </c>
      <c r="E20" s="81">
        <v>30</v>
      </c>
      <c r="F20" s="81">
        <v>35</v>
      </c>
      <c r="G20" s="81">
        <v>28</v>
      </c>
      <c r="H20" s="81">
        <v>25</v>
      </c>
      <c r="I20" s="81">
        <v>36</v>
      </c>
      <c r="J20" s="81">
        <v>34</v>
      </c>
      <c r="K20" s="81">
        <v>30</v>
      </c>
      <c r="L20" s="81">
        <v>30</v>
      </c>
      <c r="M20" s="81">
        <v>30</v>
      </c>
      <c r="N20" s="81">
        <v>26</v>
      </c>
      <c r="O20" s="81">
        <v>30</v>
      </c>
      <c r="P20" s="81">
        <v>30</v>
      </c>
      <c r="Q20" s="81">
        <v>30</v>
      </c>
      <c r="R20" s="81">
        <v>32</v>
      </c>
      <c r="S20" s="81">
        <v>30</v>
      </c>
      <c r="T20" s="81">
        <v>29</v>
      </c>
      <c r="U20" s="81">
        <v>30</v>
      </c>
      <c r="V20" s="81">
        <v>33</v>
      </c>
      <c r="W20" s="81">
        <v>33</v>
      </c>
      <c r="X20" s="81">
        <v>25</v>
      </c>
      <c r="Y20" s="110">
        <v>25</v>
      </c>
      <c r="Z20" s="81">
        <v>31</v>
      </c>
      <c r="AA20" s="81">
        <v>32</v>
      </c>
      <c r="AB20" s="81">
        <v>30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2" t="s" ph="1">
        <v>177</v>
      </c>
      <c r="D24" s="71">
        <v>4.28</v>
      </c>
      <c r="E24" s="71">
        <v>5.62</v>
      </c>
      <c r="F24" s="71">
        <v>0</v>
      </c>
      <c r="G24" s="71">
        <v>3065</v>
      </c>
      <c r="H24" s="71">
        <v>3161</v>
      </c>
      <c r="I24" s="71">
        <v>0</v>
      </c>
      <c r="J24" s="71">
        <v>218</v>
      </c>
      <c r="K24" s="71">
        <v>247</v>
      </c>
      <c r="L24" s="71">
        <v>469</v>
      </c>
      <c r="M24" s="71">
        <v>4865</v>
      </c>
      <c r="N24" s="71">
        <v>2468</v>
      </c>
      <c r="O24" s="71">
        <v>860</v>
      </c>
      <c r="P24" s="71">
        <v>1161</v>
      </c>
      <c r="Q24" s="90">
        <v>2668</v>
      </c>
      <c r="R24" s="71">
        <v>2081</v>
      </c>
      <c r="S24" s="71">
        <v>3162</v>
      </c>
      <c r="T24" s="71">
        <v>149</v>
      </c>
      <c r="U24" s="71">
        <v>7349</v>
      </c>
      <c r="V24" s="71">
        <v>1015</v>
      </c>
      <c r="W24" s="71">
        <v>3887</v>
      </c>
      <c r="X24" s="71">
        <v>2036</v>
      </c>
      <c r="Y24" s="71">
        <v>4081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2571.2988816960001</v>
      </c>
      <c r="E25" s="91" ph="1">
        <f>E24*268.68*LOOKUP(E26,密度!$A$2:$A$50,密度!$C$2:$C$50)+IF(E24&lt;=0,0,1566*LOOKUP(E26,密度!$A$2:$A$50,密度!$C$2:$C$50))</f>
        <v>3410.9559962399999</v>
      </c>
      <c r="F25" s="91" ph="1">
        <f>F24*11.702*LOOKUP(F26,密度!$A$2:$A$50,密度!$Q$2:$Q$50)</f>
        <v>0</v>
      </c>
      <c r="G25" s="91" ph="1">
        <f>G24*18.322*LOOKUP(G26,密度!$A$2:$A$50,密度!$B$2:$B$50)</f>
        <v>43830.483865000002</v>
      </c>
      <c r="H25" s="91" ph="1">
        <f>H24*18.322*LOOKUP(H26,密度!$A$2:$A$50,密度!$B$2:$B$50)</f>
        <v>45255.438938799998</v>
      </c>
      <c r="I25" s="91" ph="1">
        <f>I24*18.322*LOOKUP(I26,密度!$A$2:$A$50,密度!$Q$2:$Q$50)</f>
        <v>0</v>
      </c>
      <c r="J25" s="91" ph="1">
        <f>J24*18.322*LOOKUP(J26,密度!$A$2:$A$50,密度!$Q$2:$Q$50)</f>
        <v>3790.8514816399997</v>
      </c>
      <c r="K25" s="91" ph="1">
        <f>K24*18.322*LOOKUP(K26,密度!$A$2:$A$50,密度!$Q$2:$Q$50)</f>
        <v>4291.1113387999994</v>
      </c>
      <c r="L25" s="91" ph="1">
        <f>L24*18.322*LOOKUP(L26,密度!$A$2:$A$50,密度!$Q$2:$Q$50)</f>
        <v>8147.8996676000006</v>
      </c>
      <c r="M25" s="91" ph="1">
        <f>M24*18.322*LOOKUP(M26,密度!$A$2:$A$50,密度!$Q$2:$Q$50)</f>
        <v>84519.257746000003</v>
      </c>
      <c r="N25" s="91" ph="1">
        <f>N24*18.322*LOOKUP(N26,密度!$A$2:$A$50,密度!$Q$2:$Q$50)</f>
        <v>42843.357899119997</v>
      </c>
      <c r="O25" s="91" ph="1">
        <f>O24*18.322*LOOKUP(O26,密度!$A$2:$A$50,密度!$C$2:$C$50)</f>
        <v>17496.483968</v>
      </c>
      <c r="P25" s="91" ph="1">
        <f>P24*11.702*LOOKUP(P26,密度!$A$2:$A$50,密度!$B$2:$B$50)</f>
        <v>10616.1175908</v>
      </c>
      <c r="Q25" s="92" ph="1">
        <f>Q24*18.322*LOOKUP(Q26,密度!$A$2:$A$50,密度!$B$2:$B$50)</f>
        <v>38241.246000799998</v>
      </c>
      <c r="R25" s="91" ph="1">
        <f>R24*35.891*LOOKUP(R26,密度!$A$2:$A$50,密度!$C$2:$C$50)</f>
        <v>82934.855478400001</v>
      </c>
      <c r="S25" s="91" ph="1">
        <f>S24*35.891*LOOKUP(S26,密度!$A$2:$A$50,密度!$B$2:$B$50)</f>
        <v>88679.009038799995</v>
      </c>
      <c r="T25" s="91" ph="1">
        <f>T24*35.891*LOOKUP(T26,密度!$A$2:$A$50,密度!$Q$2:$Q$50)</f>
        <v>5075.5045893099996</v>
      </c>
      <c r="U25" s="91" ph="1">
        <f>U24*35.891</f>
        <v>263762.95899999997</v>
      </c>
      <c r="V25" s="91" ph="1">
        <f>V24*47.051*LOOKUP(V26,密度!$A$2:$A$50,密度!$B$2:$B$50)</f>
        <v>37274.155082500001</v>
      </c>
      <c r="W25" s="91" ph="1">
        <f>W24*47.051*LOOKUP(W26,密度!$A$2:$A$50,密度!$B$2:$B$50)</f>
        <v>142743.48847849999</v>
      </c>
      <c r="X25" s="91" ph="1">
        <f>X24*47.051*LOOKUP(X26,密度!$A$2:$A$61,密度!$I$2:$I$61)</f>
        <v>99847.999862800018</v>
      </c>
      <c r="Y25" s="91" ph="1">
        <f>Y24*47.051*LOOKUP(Y26,密度!$A$2:$A$50,密度!$L$2:$L$50)</f>
        <v>179726.16261600002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23</v>
      </c>
      <c r="G26" s="74">
        <v>24</v>
      </c>
      <c r="H26" s="74">
        <v>23</v>
      </c>
      <c r="I26" s="74">
        <v>23</v>
      </c>
      <c r="J26" s="74">
        <v>22</v>
      </c>
      <c r="K26" s="74">
        <v>23</v>
      </c>
      <c r="L26" s="74">
        <v>23</v>
      </c>
      <c r="M26" s="74">
        <v>23</v>
      </c>
      <c r="N26" s="74">
        <v>24</v>
      </c>
      <c r="O26" s="74">
        <v>23</v>
      </c>
      <c r="P26" s="74">
        <v>23</v>
      </c>
      <c r="Q26" s="93">
        <v>22</v>
      </c>
      <c r="R26" s="74">
        <v>23</v>
      </c>
      <c r="S26" s="74">
        <v>23</v>
      </c>
      <c r="T26" s="74">
        <v>22</v>
      </c>
      <c r="U26" s="74">
        <v>22</v>
      </c>
      <c r="V26" s="74">
        <v>24</v>
      </c>
      <c r="W26" s="74">
        <v>24</v>
      </c>
      <c r="X26" s="74">
        <v>25</v>
      </c>
      <c r="Y26" s="74">
        <v>26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2" t="s" ph="1">
        <v>180</v>
      </c>
      <c r="D27" s="71">
        <v>4.28</v>
      </c>
      <c r="E27" s="71">
        <v>5.61</v>
      </c>
      <c r="F27" s="71">
        <v>0</v>
      </c>
      <c r="G27" s="71">
        <v>2596</v>
      </c>
      <c r="H27" s="71">
        <v>2721</v>
      </c>
      <c r="I27" s="71">
        <v>0</v>
      </c>
      <c r="J27" s="71">
        <v>213</v>
      </c>
      <c r="K27" s="71">
        <v>244</v>
      </c>
      <c r="L27" s="71">
        <v>464</v>
      </c>
      <c r="M27" s="71">
        <v>4867</v>
      </c>
      <c r="N27" s="71">
        <v>2466</v>
      </c>
      <c r="O27" s="71">
        <v>855</v>
      </c>
      <c r="P27" s="71">
        <v>1161</v>
      </c>
      <c r="Q27" s="90">
        <v>2944</v>
      </c>
      <c r="R27" s="71">
        <v>1539</v>
      </c>
      <c r="S27" s="71">
        <v>3160</v>
      </c>
      <c r="T27" s="71">
        <v>148</v>
      </c>
      <c r="U27" s="71">
        <v>7349</v>
      </c>
      <c r="V27" s="71">
        <v>1012</v>
      </c>
      <c r="W27" s="71">
        <v>3887</v>
      </c>
      <c r="X27" s="71">
        <v>2523</v>
      </c>
      <c r="Y27" s="71">
        <v>4863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2" t="s" ph="1">
        <v>178</v>
      </c>
      <c r="D28" s="91" ph="1">
        <f>D27*268.68*LOOKUP(D29,密度!$A$2:$A$50,密度!$Q$2:$Q$50)+IF(D27&lt;=0,0,1566*LOOKUP(D29,密度!$A$2:$A$50,密度!$Q$2:$Q$50))</f>
        <v>2571.2988816960001</v>
      </c>
      <c r="E28" s="91" ph="1">
        <f>E27*268.68*LOOKUP(E29,密度!$A$2:$A$50,密度!$C$2:$C$50)+IF(E27&lt;=0,0,1566*LOOKUP(E29,密度!$A$2:$A$50,密度!$C$2:$C$50))</f>
        <v>3407.9766037199997</v>
      </c>
      <c r="F28" s="91" ph="1">
        <f>F27*11.702*LOOKUP(F29,密度!$A$2:$A$50,密度!$Q$2:$Q$50)</f>
        <v>0</v>
      </c>
      <c r="G28" s="91" ph="1">
        <f>G27*18.322*LOOKUP(G29,密度!$A$2:$A$50,密度!$B$2:$B$50)</f>
        <v>36833.493452799994</v>
      </c>
      <c r="H28" s="91" ph="1">
        <f>H27*18.322*LOOKUP(H29,密度!$A$2:$A$50,密度!$B$2:$B$50)</f>
        <v>38696.800544400001</v>
      </c>
      <c r="I28" s="91" ph="1">
        <f>I27*18.322*LOOKUP(I29,密度!$A$2:$A$50,密度!$Q$2:$Q$50)</f>
        <v>0</v>
      </c>
      <c r="J28" s="91" ph="1">
        <f>J27*18.322*LOOKUP(J29,密度!$A$2:$A$50,密度!$Q$2:$Q$50)</f>
        <v>3689.1925975200002</v>
      </c>
      <c r="K28" s="91" ph="1">
        <f>K27*18.322*LOOKUP(K29,密度!$A$2:$A$50,密度!$Q$2:$Q$50)</f>
        <v>4222.9879441600006</v>
      </c>
      <c r="L28" s="91" ph="1">
        <f>L27*18.322*LOOKUP(L29,密度!$A$2:$A$50,密度!$Q$2:$Q$50)</f>
        <v>8030.6000249599992</v>
      </c>
      <c r="M28" s="91" ph="1">
        <f>M27*18.322*LOOKUP(M29,密度!$A$2:$A$50,密度!$Q$2:$Q$50)</f>
        <v>84234.763623880004</v>
      </c>
      <c r="N28" s="91" ph="1">
        <f>N27*18.322*LOOKUP(N29,密度!$A$2:$A$50,密度!$Q$2:$Q$50)</f>
        <v>42775.655910479996</v>
      </c>
      <c r="O28" s="91" ph="1">
        <f>O27*18.322*LOOKUP(O29,密度!$A$2:$A$50,密度!$C$2:$C$50)</f>
        <v>17371.262258999999</v>
      </c>
      <c r="P28" s="91" ph="1">
        <f>P27*11.702*LOOKUP(P29,密度!$A$2:$A$50,密度!$B$2:$B$50)</f>
        <v>10556.339094000001</v>
      </c>
      <c r="Q28" s="92" ph="1">
        <f>Q27*18.322*LOOKUP(Q29,密度!$A$2:$A$50,密度!$B$2:$B$50)</f>
        <v>41819.657190400001</v>
      </c>
      <c r="R28" s="91" ph="1">
        <f>R27*35.891*LOOKUP(R29,密度!$A$2:$A$50,密度!$C$2:$C$50)</f>
        <v>61168.62214259999</v>
      </c>
      <c r="S28" s="91" ph="1">
        <f>S27*35.891*LOOKUP(S29,密度!$A$2:$A$50,密度!$B$2:$B$50)</f>
        <v>88418.770575999995</v>
      </c>
      <c r="T28" s="91" ph="1">
        <f>T27*35.891*LOOKUP(T29,密度!$A$2:$A$50,密度!$Q$2:$Q$50)</f>
        <v>5010.8444404399997</v>
      </c>
      <c r="U28" s="91" ph="1">
        <f>U27*35.891</f>
        <v>263762.95899999997</v>
      </c>
      <c r="V28" s="91" ph="1">
        <f>V27*47.051*LOOKUP(V29,密度!$A$2:$A$50,密度!$B$2:$B$50)</f>
        <v>37121.131115199998</v>
      </c>
      <c r="W28" s="91" ph="1">
        <f>W27*47.051*LOOKUP(W29,密度!$A$2:$A$50,密度!$B$2:$B$50)</f>
        <v>142578.88996519998</v>
      </c>
      <c r="X28" s="91" ph="1">
        <f>X27*47.051*LOOKUP(X29,密度!$A$2:$A$61,密度!$I$2:$I$61)</f>
        <v>123339.35024699999</v>
      </c>
      <c r="Y28" s="91" ph="1">
        <f>Y27*47.051*LOOKUP(Y29,密度!$A$2:$A$50,密度!$L$2:$L$50)</f>
        <v>213478.80912900003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2" t="s" ph="1">
        <v>179</v>
      </c>
      <c r="D29" s="74">
        <v>25</v>
      </c>
      <c r="E29" s="74">
        <v>25</v>
      </c>
      <c r="F29" s="74">
        <v>30</v>
      </c>
      <c r="G29" s="74">
        <v>31</v>
      </c>
      <c r="H29" s="74">
        <v>29</v>
      </c>
      <c r="I29" s="74">
        <v>27</v>
      </c>
      <c r="J29" s="74">
        <v>27</v>
      </c>
      <c r="K29" s="74">
        <v>28</v>
      </c>
      <c r="L29" s="74">
        <v>28</v>
      </c>
      <c r="M29" s="74">
        <v>28</v>
      </c>
      <c r="N29" s="74">
        <v>25</v>
      </c>
      <c r="O29" s="74">
        <v>25</v>
      </c>
      <c r="P29" s="74">
        <v>28</v>
      </c>
      <c r="Q29" s="93">
        <v>30</v>
      </c>
      <c r="R29" s="74">
        <v>27</v>
      </c>
      <c r="S29" s="74">
        <v>25</v>
      </c>
      <c r="T29" s="74">
        <v>30</v>
      </c>
      <c r="U29" s="74">
        <v>28</v>
      </c>
      <c r="V29" s="74">
        <v>25</v>
      </c>
      <c r="W29" s="74">
        <v>25</v>
      </c>
      <c r="X29" s="74">
        <v>28</v>
      </c>
      <c r="Y29" s="74">
        <v>29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2" t="s" ph="1">
        <v>5</v>
      </c>
      <c r="F32" s="161" t="s" ph="1">
        <v>43</v>
      </c>
      <c r="G32" s="97" t="s" ph="1">
        <v>4</v>
      </c>
      <c r="H32" s="162" t="s" ph="1">
        <v>5</v>
      </c>
      <c r="I32" s="161" t="s" ph="1">
        <v>43</v>
      </c>
      <c r="J32" s="97" t="s" ph="1">
        <v>4</v>
      </c>
      <c r="K32" s="162" t="s" ph="1">
        <v>5</v>
      </c>
      <c r="L32" s="161" t="s" ph="1">
        <v>43</v>
      </c>
      <c r="M32" s="97" t="s" ph="1">
        <v>4</v>
      </c>
      <c r="N32" s="162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1" t="s" ph="1">
        <v>43</v>
      </c>
      <c r="AB32" s="97" t="s" ph="1">
        <v>85</v>
      </c>
      <c r="AC32" s="162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103985.87454272</v>
      </c>
      <c r="E33" s="190" ph="1">
        <f>M10+I10</f>
        <v>230907.37068979995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16" ph="1">
        <f>N19</f>
        <v>30752.782173220003</v>
      </c>
      <c r="H33" s="190" ph="1">
        <f>M19</f>
        <v>27921.058687979999</v>
      </c>
      <c r="I33" s="194" ph="1">
        <v>0</v>
      </c>
      <c r="J33" s="198" ph="1">
        <f>F10+O28</f>
        <v>231682.20770700002</v>
      </c>
      <c r="K33" s="190" ph="1">
        <f>O10+K10+E28+R28</f>
        <v>75544.886067919986</v>
      </c>
      <c r="L33" s="200" ph="1">
        <f>K19</f>
        <v>22854.58790834</v>
      </c>
      <c r="M33" s="198" ph="1">
        <f>G10+H10+W28+S28+V28+E10+R19+P28+Q28</f>
        <v>1045161.5077328</v>
      </c>
      <c r="N33" s="190" ph="1">
        <f>L10+P10++G28+H28+AD19+AE19</f>
        <v>174458.40887079999</v>
      </c>
      <c r="O33" s="194" ph="1">
        <f>G19</f>
        <v>11034.758973</v>
      </c>
      <c r="P33" s="198" ph="1">
        <f>L19</f>
        <v>38831.41850688</v>
      </c>
      <c r="Q33" s="190" ph="1">
        <f>J10+N10</f>
        <v>43569.228446649999</v>
      </c>
      <c r="R33" s="194" ph="1">
        <f>BE23</f>
        <v>890</v>
      </c>
      <c r="S33" s="198" ph="1">
        <f>X28</f>
        <v>123339.35024699999</v>
      </c>
      <c r="T33" s="190" ph="1">
        <f>X19</f>
        <v>2809.74937292</v>
      </c>
      <c r="U33" s="179" ph="1">
        <f>BE21</f>
        <v>730</v>
      </c>
      <c r="V33" s="192" ph="1">
        <f ca="1">P19+Q19+S19+M28+N28+J28+D10+AC10+D19+E19+H19+J19+O19+V19+W19+K28+L28</f>
        <v>651223.91714373406</v>
      </c>
      <c r="W33" s="192" ph="1">
        <f>D28+F28+T28+I28</f>
        <v>7582.1433221360003</v>
      </c>
      <c r="X33" s="194" ph="1">
        <f>BE29+BE31</f>
        <v>10200</v>
      </c>
      <c r="Y33" s="196" ph="1">
        <f>+Q10+R10+S10+T10+U10+V10+W10+X10+Y10</f>
        <v>139923.02182319999</v>
      </c>
      <c r="Z33" s="177" ph="1">
        <f>T19+U19+Y28+Z10</f>
        <v>298298.95760900003</v>
      </c>
      <c r="AA33" s="179" ph="1">
        <f>BE19</f>
        <v>1440</v>
      </c>
      <c r="AB33" s="181" ph="1">
        <f>I19</f>
        <v>47646.308899639997</v>
      </c>
      <c r="AC33" s="183" ph="1">
        <f>AD10+AB19</f>
        <v>131917.684068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0" t="s" ph="1">
        <v>185</v>
      </c>
      <c r="AA36" s="160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6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0" t="s" ph="1">
        <v>342</v>
      </c>
      <c r="AI37" s="160" t="s" ph="1">
        <v>209</v>
      </c>
      <c r="AJ37" s="160" t="s" ph="1">
        <v>210</v>
      </c>
      <c r="AK37" s="160" t="s" ph="1">
        <v>211</v>
      </c>
      <c r="AM37" s="160" t="s" ph="1">
        <v>210</v>
      </c>
      <c r="AN37" s="160" t="s" ph="1">
        <v>211</v>
      </c>
      <c r="AO37" s="160" t="s" ph="1">
        <v>212</v>
      </c>
      <c r="AP37" s="160" t="s" ph="1">
        <v>210</v>
      </c>
      <c r="AQ37" s="160" t="s" ph="1">
        <v>211</v>
      </c>
      <c r="AR37" s="160" t="s" ph="1">
        <v>212</v>
      </c>
      <c r="AS37" s="160" t="s" ph="1">
        <v>210</v>
      </c>
      <c r="AT37" s="160" t="s" ph="1">
        <v>211</v>
      </c>
      <c r="AU37" s="160" t="s" ph="1">
        <v>212</v>
      </c>
      <c r="AV37" s="160" t="s" ph="1">
        <v>210</v>
      </c>
      <c r="AW37" s="160" t="s" ph="1">
        <v>211</v>
      </c>
      <c r="AX37" s="160" t="s" ph="1">
        <v>212</v>
      </c>
      <c r="AY37" s="160" t="s" ph="1">
        <v>211</v>
      </c>
      <c r="AZ37" s="160" t="s" ph="1">
        <v>213</v>
      </c>
      <c r="BD37" s="160" t="s" ph="1">
        <v>305</v>
      </c>
      <c r="BE37" s="16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039" priority="100">
      <formula>ABS(D$7-D$10)&gt;=1000</formula>
    </cfRule>
  </conditionalFormatting>
  <conditionalFormatting sqref="E4 E6:E11">
    <cfRule type="expression" dxfId="1038" priority="99">
      <formula>ABS(E$7-E$10)&gt;=1000</formula>
    </cfRule>
  </conditionalFormatting>
  <conditionalFormatting sqref="F4:F11">
    <cfRule type="expression" dxfId="1037" priority="98">
      <formula>ABS(F$7-F$10)&gt;=1000</formula>
    </cfRule>
  </conditionalFormatting>
  <conditionalFormatting sqref="G4:G11">
    <cfRule type="expression" dxfId="1036" priority="97">
      <formula>ABS(G$7-G$10)&gt;=1000</formula>
    </cfRule>
  </conditionalFormatting>
  <conditionalFormatting sqref="H4:H11">
    <cfRule type="expression" dxfId="1035" priority="96">
      <formula>ABS(H$7-H$10)&gt;=1000</formula>
    </cfRule>
  </conditionalFormatting>
  <conditionalFormatting sqref="I4:I11">
    <cfRule type="expression" dxfId="1034" priority="95">
      <formula>ABS(I$7-I$10)&gt;=1000</formula>
    </cfRule>
  </conditionalFormatting>
  <conditionalFormatting sqref="J4:J11">
    <cfRule type="expression" dxfId="1033" priority="94">
      <formula>ABS(J$7-J$10)&gt;=1000</formula>
    </cfRule>
  </conditionalFormatting>
  <conditionalFormatting sqref="K4:K11">
    <cfRule type="expression" dxfId="1032" priority="93">
      <formula>ABS(K$7-K$10)&gt;=1000</formula>
    </cfRule>
  </conditionalFormatting>
  <conditionalFormatting sqref="L4:L11">
    <cfRule type="expression" dxfId="1031" priority="92">
      <formula>ABS(L$7-L$10)&gt;=1000</formula>
    </cfRule>
  </conditionalFormatting>
  <conditionalFormatting sqref="M4 M6:M11">
    <cfRule type="expression" dxfId="1030" priority="91">
      <formula>ABS(M$7-M$10)&gt;=1000</formula>
    </cfRule>
  </conditionalFormatting>
  <conditionalFormatting sqref="N4 N6:N11">
    <cfRule type="expression" dxfId="1029" priority="90">
      <formula>ABS(N$7-N$10)&gt;=1000</formula>
    </cfRule>
  </conditionalFormatting>
  <conditionalFormatting sqref="O4 O6:O11">
    <cfRule type="expression" dxfId="1028" priority="89">
      <formula>ABS(O$7-O$10)&gt;=1000</formula>
    </cfRule>
  </conditionalFormatting>
  <conditionalFormatting sqref="P4 P6:P11">
    <cfRule type="expression" dxfId="1027" priority="88">
      <formula>ABS(P$7-P$10)&gt;=1000</formula>
    </cfRule>
  </conditionalFormatting>
  <conditionalFormatting sqref="Q4:Q11">
    <cfRule type="expression" dxfId="1026" priority="87">
      <formula>ABS(Q$7-Q$10)&gt;=1000</formula>
    </cfRule>
  </conditionalFormatting>
  <conditionalFormatting sqref="R4:R11">
    <cfRule type="expression" dxfId="1025" priority="86">
      <formula>ABS(R$7-R$10)&gt;=1000</formula>
    </cfRule>
  </conditionalFormatting>
  <conditionalFormatting sqref="S4:S11">
    <cfRule type="expression" dxfId="1024" priority="85">
      <formula>ABS(S$7-S$10)&gt;=1000</formula>
    </cfRule>
  </conditionalFormatting>
  <conditionalFormatting sqref="T4:T9 T11">
    <cfRule type="expression" dxfId="1023" priority="84">
      <formula>ABS(T$7-T$10)&gt;=1000</formula>
    </cfRule>
  </conditionalFormatting>
  <conditionalFormatting sqref="U4:U9 U11">
    <cfRule type="expression" dxfId="1022" priority="83">
      <formula>ABS(U$7-U$10)&gt;=1000</formula>
    </cfRule>
  </conditionalFormatting>
  <conditionalFormatting sqref="V4:V9 V11">
    <cfRule type="expression" dxfId="1021" priority="82">
      <formula>ABS(V$7-V$10)&gt;=1000</formula>
    </cfRule>
  </conditionalFormatting>
  <conditionalFormatting sqref="W4:W9 W11">
    <cfRule type="expression" dxfId="1020" priority="81">
      <formula>ABS(W$7-W$10)&gt;=1000</formula>
    </cfRule>
  </conditionalFormatting>
  <conditionalFormatting sqref="X4:X9 X11">
    <cfRule type="expression" dxfId="1019" priority="80">
      <formula>ABS(X$7-X$10)&gt;=1000</formula>
    </cfRule>
  </conditionalFormatting>
  <conditionalFormatting sqref="Y4:Y9 Y11">
    <cfRule type="expression" dxfId="1018" priority="79">
      <formula>ABS(Y$7-Y$10)&gt;=1000</formula>
    </cfRule>
  </conditionalFormatting>
  <conditionalFormatting sqref="Z4:Z11">
    <cfRule type="expression" dxfId="1017" priority="78">
      <formula>ABS(Z$7-Z$10)&gt;=1000</formula>
    </cfRule>
  </conditionalFormatting>
  <conditionalFormatting sqref="AA4:AA11">
    <cfRule type="expression" dxfId="1016" priority="77">
      <formula>ABS(AA$7-AA$10)&gt;=1000</formula>
    </cfRule>
  </conditionalFormatting>
  <conditionalFormatting sqref="AB4:AB11">
    <cfRule type="expression" dxfId="1015" priority="76">
      <formula>ABS(AB$7-AB$10)&gt;=1000</formula>
    </cfRule>
  </conditionalFormatting>
  <conditionalFormatting sqref="AC4 AC6:AC11">
    <cfRule type="expression" dxfId="1014" priority="75">
      <formula>ABS(AC$7-AC$10)&gt;=1000</formula>
    </cfRule>
  </conditionalFormatting>
  <conditionalFormatting sqref="AD4 AD6:AD11">
    <cfRule type="expression" dxfId="1013" priority="74">
      <formula>ABS(AD$7-AD$10)&gt;=1000</formula>
    </cfRule>
  </conditionalFormatting>
  <conditionalFormatting sqref="AE4 AE6:AE11">
    <cfRule type="expression" dxfId="1012" priority="73">
      <formula>ABS(AE$7-AE$10)&gt;=1000</formula>
    </cfRule>
  </conditionalFormatting>
  <conditionalFormatting sqref="D13:D20">
    <cfRule type="expression" dxfId="1011" priority="72">
      <formula>ABS(D$16-D$19)&gt;=1000</formula>
    </cfRule>
  </conditionalFormatting>
  <conditionalFormatting sqref="E13:E20">
    <cfRule type="expression" dxfId="1010" priority="71">
      <formula>ABS(E$16-E$19)&gt;=1000</formula>
    </cfRule>
  </conditionalFormatting>
  <conditionalFormatting sqref="F13 F15:F20">
    <cfRule type="expression" dxfId="1009" priority="70">
      <formula>ABS(F$16-F$19)&gt;=1000</formula>
    </cfRule>
  </conditionalFormatting>
  <conditionalFormatting sqref="G13:G20">
    <cfRule type="expression" dxfId="1008" priority="69">
      <formula>ABS(G$16-G$19)&gt;=1000</formula>
    </cfRule>
  </conditionalFormatting>
  <conditionalFormatting sqref="H13 H15:H20">
    <cfRule type="expression" dxfId="1007" priority="68">
      <formula>ABS(H$16-H$19)&gt;=1000</formula>
    </cfRule>
  </conditionalFormatting>
  <conditionalFormatting sqref="I13:I20">
    <cfRule type="expression" dxfId="1006" priority="67">
      <formula>ABS(I$16-I$19)&gt;=1000</formula>
    </cfRule>
  </conditionalFormatting>
  <conditionalFormatting sqref="J13:J20">
    <cfRule type="expression" dxfId="1005" priority="66">
      <formula>ABS(J$16-J$19)&gt;=1000</formula>
    </cfRule>
  </conditionalFormatting>
  <conditionalFormatting sqref="L13:L20">
    <cfRule type="expression" dxfId="1004" priority="65">
      <formula>ABS(L$16-L$19)&gt;=1000</formula>
    </cfRule>
  </conditionalFormatting>
  <conditionalFormatting sqref="M13 M15 M17:M18 M20">
    <cfRule type="expression" dxfId="1003" priority="64">
      <formula>ABS(M$16-M$19)&gt;=1000</formula>
    </cfRule>
  </conditionalFormatting>
  <conditionalFormatting sqref="N13:N20">
    <cfRule type="expression" dxfId="1002" priority="63">
      <formula>ABS(N$16-N$19)&gt;=1000</formula>
    </cfRule>
  </conditionalFormatting>
  <conditionalFormatting sqref="O13:O20">
    <cfRule type="expression" dxfId="1001" priority="62">
      <formula>ABS(O$16-O$19)&gt;=1000</formula>
    </cfRule>
  </conditionalFormatting>
  <conditionalFormatting sqref="P13:P20">
    <cfRule type="expression" dxfId="1000" priority="61">
      <formula>ABS(P$16-P$19)&gt;=1000</formula>
    </cfRule>
  </conditionalFormatting>
  <conditionalFormatting sqref="Q13 Q15:Q20">
    <cfRule type="expression" dxfId="999" priority="60">
      <formula>ABS(Q$16-Q$19)&gt;=1000</formula>
    </cfRule>
  </conditionalFormatting>
  <conditionalFormatting sqref="R13:R20">
    <cfRule type="expression" dxfId="998" priority="59">
      <formula>ABS(R$16-R$19)&gt;=1000</formula>
    </cfRule>
  </conditionalFormatting>
  <conditionalFormatting sqref="S13:S20">
    <cfRule type="expression" dxfId="997" priority="58">
      <formula>ABS(S$16-S$19)&gt;=1000</formula>
    </cfRule>
  </conditionalFormatting>
  <conditionalFormatting sqref="T13:T20">
    <cfRule type="expression" dxfId="996" priority="57">
      <formula>ABS(T$16-T$19)&gt;=1000</formula>
    </cfRule>
  </conditionalFormatting>
  <conditionalFormatting sqref="U13:U20">
    <cfRule type="expression" dxfId="995" priority="56">
      <formula>ABS(U$16-U$19)&gt;=1000</formula>
    </cfRule>
  </conditionalFormatting>
  <conditionalFormatting sqref="V13:V20">
    <cfRule type="expression" dxfId="994" priority="55">
      <formula>ABS(V$16-V$19)&gt;=1000</formula>
    </cfRule>
  </conditionalFormatting>
  <conditionalFormatting sqref="W13 W20 W15:W18">
    <cfRule type="expression" dxfId="993" priority="54">
      <formula>ABS(W$16-W$19)&gt;=1000</formula>
    </cfRule>
  </conditionalFormatting>
  <conditionalFormatting sqref="X13 X15:X20 Y19">
    <cfRule type="expression" dxfId="992" priority="53">
      <formula>ABS(X$16-X$19)&gt;=1000</formula>
    </cfRule>
  </conditionalFormatting>
  <conditionalFormatting sqref="Y13 Y15:Y18 Y20">
    <cfRule type="expression" dxfId="991" priority="52">
      <formula>ABS(Y$16-Y$19)&gt;=1000</formula>
    </cfRule>
  </conditionalFormatting>
  <conditionalFormatting sqref="Z13:Z20">
    <cfRule type="expression" dxfId="990" priority="51">
      <formula>ABS(Z$16-Z$19)&gt;=1000</formula>
    </cfRule>
  </conditionalFormatting>
  <conditionalFormatting sqref="AA13:AA20">
    <cfRule type="expression" dxfId="989" priority="50">
      <formula>ABS(AA$16-AA$19)&gt;=1000</formula>
    </cfRule>
  </conditionalFormatting>
  <conditionalFormatting sqref="AB13 AB15:AB20">
    <cfRule type="expression" dxfId="988" priority="49">
      <formula>ABS(AB$16-AB$19)&gt;=1000</formula>
    </cfRule>
  </conditionalFormatting>
  <conditionalFormatting sqref="AC13 AC15:AC20">
    <cfRule type="expression" dxfId="987" priority="48">
      <formula>ABS(AC$16-AC$19)&gt;=1000</formula>
    </cfRule>
  </conditionalFormatting>
  <conditionalFormatting sqref="AD13:AD20">
    <cfRule type="expression" dxfId="986" priority="47">
      <formula>ABS(AD$16-AD$19)&gt;=1000</formula>
    </cfRule>
  </conditionalFormatting>
  <conditionalFormatting sqref="AE13:AE20">
    <cfRule type="expression" dxfId="985" priority="46">
      <formula>ABS(AE$16-AE$19)&gt;=1000</formula>
    </cfRule>
  </conditionalFormatting>
  <conditionalFormatting sqref="D22:D29">
    <cfRule type="expression" dxfId="984" priority="45">
      <formula>ABS(D$25-D$28)&gt;=1000</formula>
    </cfRule>
  </conditionalFormatting>
  <conditionalFormatting sqref="E22:E29">
    <cfRule type="expression" dxfId="983" priority="44">
      <formula>ABS(E$25-E$28)&gt;=1000</formula>
    </cfRule>
  </conditionalFormatting>
  <conditionalFormatting sqref="F22:F29">
    <cfRule type="expression" dxfId="982" priority="43">
      <formula>ABS(F$25-F$28)&gt;=1000</formula>
    </cfRule>
  </conditionalFormatting>
  <conditionalFormatting sqref="G22:G29">
    <cfRule type="expression" dxfId="981" priority="42">
      <formula>ABS(G$25-G$28)&gt;=1000</formula>
    </cfRule>
  </conditionalFormatting>
  <conditionalFormatting sqref="H22:H29">
    <cfRule type="expression" dxfId="980" priority="41">
      <formula>ABS(H$25-H$28)&gt;=1000</formula>
    </cfRule>
  </conditionalFormatting>
  <conditionalFormatting sqref="I22 I24:I29">
    <cfRule type="expression" dxfId="979" priority="40">
      <formula>ABS(I$25-I$28)&gt;=1000</formula>
    </cfRule>
  </conditionalFormatting>
  <conditionalFormatting sqref="J22:J29 K22">
    <cfRule type="expression" dxfId="978" priority="39">
      <formula>ABS(J$25-J$28)&gt;=1000</formula>
    </cfRule>
  </conditionalFormatting>
  <conditionalFormatting sqref="K23:K29 L25 L28">
    <cfRule type="expression" dxfId="977" priority="38">
      <formula>ABS(K$25-K$28)&gt;=1000</formula>
    </cfRule>
  </conditionalFormatting>
  <conditionalFormatting sqref="L22 L26:L27 L29 L24">
    <cfRule type="expression" dxfId="976" priority="37">
      <formula>ABS(L$25-L$28)&gt;=1000</formula>
    </cfRule>
  </conditionalFormatting>
  <conditionalFormatting sqref="M22:M29">
    <cfRule type="expression" dxfId="975" priority="36">
      <formula>ABS(M$25-M$28)&gt;=1000</formula>
    </cfRule>
  </conditionalFormatting>
  <conditionalFormatting sqref="N22:N29">
    <cfRule type="expression" dxfId="974" priority="35">
      <formula>ABS(N$25-N$28)&gt;=1000</formula>
    </cfRule>
  </conditionalFormatting>
  <conditionalFormatting sqref="O22:O29">
    <cfRule type="expression" dxfId="973" priority="34">
      <formula>ABS(O$25-O$28)&gt;=1000</formula>
    </cfRule>
  </conditionalFormatting>
  <conditionalFormatting sqref="P22:P29">
    <cfRule type="expression" dxfId="972" priority="33">
      <formula>ABS(P$25-P$28)&gt;=1000</formula>
    </cfRule>
  </conditionalFormatting>
  <conditionalFormatting sqref="Q22:Q29">
    <cfRule type="expression" dxfId="971" priority="32">
      <formula>ABS(Q$25-Q$28)&gt;=1000</formula>
    </cfRule>
  </conditionalFormatting>
  <conditionalFormatting sqref="R22:R29">
    <cfRule type="expression" dxfId="970" priority="31">
      <formula>ABS(R$25-R$28)&gt;=1000</formula>
    </cfRule>
  </conditionalFormatting>
  <conditionalFormatting sqref="S22:S29">
    <cfRule type="expression" dxfId="969" priority="30">
      <formula>ABS(S$25-S$28)&gt;=1000</formula>
    </cfRule>
  </conditionalFormatting>
  <conditionalFormatting sqref="T22:T29">
    <cfRule type="expression" dxfId="968" priority="29">
      <formula>ABS(T$25-T$28)&gt;=1000</formula>
    </cfRule>
  </conditionalFormatting>
  <conditionalFormatting sqref="U22:U29">
    <cfRule type="expression" dxfId="967" priority="28">
      <formula>ABS(U$25-U$28)&gt;=1000</formula>
    </cfRule>
  </conditionalFormatting>
  <conditionalFormatting sqref="V22:V29">
    <cfRule type="expression" dxfId="966" priority="27">
      <formula>ABS(V$25-V$28)&gt;=1000</formula>
    </cfRule>
  </conditionalFormatting>
  <conditionalFormatting sqref="W22:W29">
    <cfRule type="expression" dxfId="965" priority="26">
      <formula>ABS(W$25-W$28)&gt;=1000</formula>
    </cfRule>
  </conditionalFormatting>
  <conditionalFormatting sqref="X22:X29">
    <cfRule type="expression" dxfId="964" priority="25">
      <formula>ABS(X$25-X$28)&gt;=1000</formula>
    </cfRule>
  </conditionalFormatting>
  <conditionalFormatting sqref="Y22:Y29">
    <cfRule type="expression" dxfId="963" priority="24">
      <formula>ABS(Y$25-Y$28)&gt;=1000</formula>
    </cfRule>
  </conditionalFormatting>
  <conditionalFormatting sqref="I23">
    <cfRule type="expression" dxfId="962" priority="23">
      <formula>ABS(I$25-I$28)&gt;=1000</formula>
    </cfRule>
  </conditionalFormatting>
  <conditionalFormatting sqref="Q14">
    <cfRule type="expression" dxfId="961" priority="22">
      <formula>ABS(Q$16-Q$19)&gt;=1000</formula>
    </cfRule>
  </conditionalFormatting>
  <conditionalFormatting sqref="W14">
    <cfRule type="expression" dxfId="960" priority="21">
      <formula>ABS(W$16-W$19)&gt;=1000</formula>
    </cfRule>
  </conditionalFormatting>
  <conditionalFormatting sqref="X14">
    <cfRule type="expression" dxfId="959" priority="20">
      <formula>ABS(X$16-X$19)&gt;=1000</formula>
    </cfRule>
  </conditionalFormatting>
  <conditionalFormatting sqref="T10:Y10">
    <cfRule type="expression" dxfId="958" priority="19">
      <formula>ABS(T$7-T$10)&gt;=1000</formula>
    </cfRule>
  </conditionalFormatting>
  <conditionalFormatting sqref="W19">
    <cfRule type="expression" dxfId="957" priority="18">
      <formula>ABS(W$16-W$19)&gt;=1000</formula>
    </cfRule>
  </conditionalFormatting>
  <conditionalFormatting sqref="AC5">
    <cfRule type="expression" dxfId="956" priority="17">
      <formula>ABS(AC$7-AC$10)&gt;=1000</formula>
    </cfRule>
  </conditionalFormatting>
  <conditionalFormatting sqref="M14">
    <cfRule type="expression" dxfId="955" priority="16">
      <formula>ABS(M$16-M$19)&gt;=1000</formula>
    </cfRule>
  </conditionalFormatting>
  <conditionalFormatting sqref="M16">
    <cfRule type="expression" dxfId="954" priority="15">
      <formula>ABS(M$16-M$19)&gt;=1000</formula>
    </cfRule>
  </conditionalFormatting>
  <conditionalFormatting sqref="M19">
    <cfRule type="expression" dxfId="953" priority="14">
      <formula>ABS(M$16-M$19)&gt;=1000</formula>
    </cfRule>
  </conditionalFormatting>
  <conditionalFormatting sqref="K13:K20">
    <cfRule type="expression" dxfId="952" priority="13">
      <formula>ABS(K$16-K$19)&gt;=1000</formula>
    </cfRule>
  </conditionalFormatting>
  <conditionalFormatting sqref="E5">
    <cfRule type="expression" dxfId="951" priority="12">
      <formula>ABS(E$7-E$10)&gt;=1000</formula>
    </cfRule>
  </conditionalFormatting>
  <conditionalFormatting sqref="AB14:AC14">
    <cfRule type="expression" dxfId="950" priority="11">
      <formula>ABS(AB$16-AB$19)&gt;=1000</formula>
    </cfRule>
  </conditionalFormatting>
  <conditionalFormatting sqref="M5">
    <cfRule type="expression" dxfId="949" priority="10">
      <formula>ABS(M$7-M$10)&gt;=1000</formula>
    </cfRule>
  </conditionalFormatting>
  <conditionalFormatting sqref="N5">
    <cfRule type="expression" dxfId="948" priority="9">
      <formula>ABS(N$7-N$10)&gt;=1000</formula>
    </cfRule>
  </conditionalFormatting>
  <conditionalFormatting sqref="O5">
    <cfRule type="expression" dxfId="947" priority="8">
      <formula>ABS(O$7-O$10)&gt;=1000</formula>
    </cfRule>
  </conditionalFormatting>
  <conditionalFormatting sqref="P5">
    <cfRule type="expression" dxfId="946" priority="7">
      <formula>ABS(P$7-P$10)&gt;=1000</formula>
    </cfRule>
  </conditionalFormatting>
  <conditionalFormatting sqref="L23">
    <cfRule type="expression" dxfId="945" priority="6">
      <formula>ABS(L$25-L$28)&gt;=1000</formula>
    </cfRule>
  </conditionalFormatting>
  <conditionalFormatting sqref="Y14">
    <cfRule type="expression" dxfId="944" priority="5">
      <formula>ABS(Y$16-Y$19)&gt;=1000</formula>
    </cfRule>
  </conditionalFormatting>
  <conditionalFormatting sqref="F14">
    <cfRule type="expression" dxfId="943" priority="4">
      <formula>ABS(F$16-F$19)&gt;=1000</formula>
    </cfRule>
  </conditionalFormatting>
  <conditionalFormatting sqref="H14">
    <cfRule type="expression" dxfId="942" priority="3">
      <formula>ABS(H$16-H$19)&gt;=1000</formula>
    </cfRule>
  </conditionalFormatting>
  <conditionalFormatting sqref="AD5">
    <cfRule type="expression" dxfId="941" priority="2">
      <formula>ABS(AD$7-AD$10)&gt;=1000</formula>
    </cfRule>
  </conditionalFormatting>
  <conditionalFormatting sqref="AE5">
    <cfRule type="expression" dxfId="94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79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93">
    <pageSetUpPr fitToPage="1"/>
  </sheetPr>
  <dimension ref="A1:CU223"/>
  <sheetViews>
    <sheetView view="pageBreakPreview" topLeftCell="D4" zoomScale="70" zoomScaleNormal="100" zoomScaleSheetLayoutView="70" workbookViewId="0">
      <selection activeCell="AD17" sqref="AD1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46163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2" t="s" ph="1">
        <v>177</v>
      </c>
      <c r="D6" s="71">
        <v>0</v>
      </c>
      <c r="E6" s="71">
        <v>8160</v>
      </c>
      <c r="F6" s="71">
        <v>5837</v>
      </c>
      <c r="G6" s="71">
        <v>1650</v>
      </c>
      <c r="H6" s="71">
        <v>7715</v>
      </c>
      <c r="I6" s="71">
        <v>52.39</v>
      </c>
      <c r="J6" s="71">
        <v>6.22</v>
      </c>
      <c r="K6" s="71">
        <v>7.47</v>
      </c>
      <c r="L6" s="71">
        <v>0</v>
      </c>
      <c r="M6" s="71">
        <v>6389</v>
      </c>
      <c r="N6" s="71">
        <v>1631</v>
      </c>
      <c r="O6" s="71">
        <v>383</v>
      </c>
      <c r="P6" s="71">
        <v>1753</v>
      </c>
      <c r="Q6" s="71">
        <v>5278</v>
      </c>
      <c r="R6" s="71">
        <v>6274</v>
      </c>
      <c r="S6" s="71">
        <v>1988</v>
      </c>
      <c r="T6" s="71">
        <v>367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1695</v>
      </c>
      <c r="AA6" s="71">
        <v>0</v>
      </c>
      <c r="AB6" s="71">
        <v>4091</v>
      </c>
      <c r="AC6" s="71">
        <v>5276</v>
      </c>
      <c r="AD6" s="71">
        <v>3546</v>
      </c>
      <c r="AE6" s="71">
        <v>5350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0</v>
      </c>
      <c r="E7" s="73" ph="1">
        <f>E6*51.53*LOOKUP(E8,密度!$A$2:$A$50,密度!$B$2:$B$50)</f>
        <v>327431.51375999994</v>
      </c>
      <c r="F7" s="73" ph="1">
        <f>F6*33.183*LOOKUP(F8,密度!$A$2:$A$50,密度!$C$2:$C$50)</f>
        <v>214491.3879654</v>
      </c>
      <c r="G7" s="73" ph="1">
        <f xml:space="preserve"> (G6+2)*51.53*LOOKUP(G8,密度!$A$2:$A$50,密度!$B$2:$B$50)</f>
        <v>67157.132083999997</v>
      </c>
      <c r="H7" s="73" ph="1">
        <f>(H6)*51.53*LOOKUP(H8,密度!$A$2:$A$50,密度!$B$2:$B$50)</f>
        <v>313630.311155</v>
      </c>
      <c r="I7" s="73" ph="1">
        <f>I6*290.8*1.0267</f>
        <v>15641.786820400001</v>
      </c>
      <c r="J7" s="73" ph="1">
        <f>J6*290.8*0.7892</f>
        <v>1427.4860192000001</v>
      </c>
      <c r="K7" s="73" ph="1">
        <f>K6*290.8*1.1126</f>
        <v>2416.8742775999999</v>
      </c>
      <c r="L7" s="73" ph="1">
        <f>L6*290.8*0.777</f>
        <v>0</v>
      </c>
      <c r="M7" s="73" ph="1">
        <f>M6*33.183*LOOKUP(M8,密度!$A$2:$A$50,密度!$D$2:$D$50)</f>
        <v>216670.323114</v>
      </c>
      <c r="N7" s="73" ph="1">
        <f>N6*33.183*LOOKUP(N8,密度!$A$2:$A$50,密度!$E$2:$E$50)</f>
        <v>42144.391025099998</v>
      </c>
      <c r="O7" s="73" ph="1">
        <f>O6*20.428*LOOKUP(O8,密度!$A$2:$A$50,密度!$C$2:$C$50)</f>
        <v>8652.4775516000009</v>
      </c>
      <c r="P7" s="73" ph="1">
        <f>P6*51.53*LOOKUP(P8,密度!$A$2:$A$50,密度!$B$2:$B$50)</f>
        <v>70269.332811</v>
      </c>
      <c r="Q7" s="73" ph="1">
        <f>Q6*1.5*1.5*3.1416*LOOKUP(W8,密度!$A$2:$A$50,密度!$L$2:$L$50)</f>
        <v>34883.046198000004</v>
      </c>
      <c r="R7" s="73" ph="1">
        <f>R6*1.5*1.5*3.1416*LOOKUP(R8,密度!$A$2:$A$50,密度!$L$2:$L$50)</f>
        <v>41244.008651999997</v>
      </c>
      <c r="S7" s="73" ph="1">
        <f>S6*1.5*1.5*3.1416*LOOKUP(S8,密度!$A$2:$A$50,密度!$L$2:$L$50)</f>
        <v>13167.077061600001</v>
      </c>
      <c r="T7" s="73" ph="1">
        <f>T6*1.5*1.5*3.1416*LOOKUP(T8,密度!$A$2:$A$50,密度!$L$2:$L$50)</f>
        <v>2435.9314517999996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52420.512419999999</v>
      </c>
      <c r="AA7" s="73" ph="1">
        <f>AA6*33.183*LOOKUP(AA8,密度!$A$2:$A$50,密度!$D$2:$D$50)</f>
        <v>0</v>
      </c>
      <c r="AB7" s="73" ph="1">
        <f>AB6*20.428*LOOKUP(AB8,密度!$A$2:$A$50,密度!$D$2:$D$50)</f>
        <v>86119.861914000008</v>
      </c>
      <c r="AC7" s="73" ph="1">
        <f>AC6*51.53*LOOKUP(AC8,密度!$A$2:$A$50,密度!$Q$2:$Q$50)</f>
        <v>258381.97746640001</v>
      </c>
      <c r="AD7" s="73" ph="1">
        <f>AD6*20.428*LOOKUP(AD8,密度!$A$2:$A$50,密度!$V$2:$V$50)</f>
        <v>69366.330028800003</v>
      </c>
      <c r="AE7" s="73" ph="1">
        <f>AE6*20.428</f>
        <v>109289.8</v>
      </c>
    </row>
    <row r="8" spans="1:99" ph="1">
      <c r="B8" s="241" ph="1"/>
      <c r="C8" s="68" t="s" ph="1">
        <v>179</v>
      </c>
      <c r="D8" s="74">
        <v>26</v>
      </c>
      <c r="E8" s="74">
        <v>26</v>
      </c>
      <c r="F8" s="74">
        <v>27</v>
      </c>
      <c r="G8" s="74">
        <v>14</v>
      </c>
      <c r="H8" s="74">
        <v>14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29</v>
      </c>
      <c r="O8" s="74">
        <v>29</v>
      </c>
      <c r="P8" s="74">
        <v>27</v>
      </c>
      <c r="Q8" s="74">
        <v>29</v>
      </c>
      <c r="R8" s="74">
        <v>32</v>
      </c>
      <c r="S8" s="74">
        <v>25</v>
      </c>
      <c r="T8" s="74">
        <v>23</v>
      </c>
      <c r="U8" s="74">
        <v>26</v>
      </c>
      <c r="V8" s="74">
        <v>28</v>
      </c>
      <c r="W8" s="74">
        <v>27</v>
      </c>
      <c r="X8" s="74">
        <v>17</v>
      </c>
      <c r="Y8" s="74">
        <v>27</v>
      </c>
      <c r="Z8" s="74">
        <v>30</v>
      </c>
      <c r="AA8" s="74">
        <v>23</v>
      </c>
      <c r="AB8" s="74">
        <v>21</v>
      </c>
      <c r="AC8" s="74">
        <v>20</v>
      </c>
      <c r="AD8" s="74">
        <v>27</v>
      </c>
      <c r="AE8" s="74">
        <v>29</v>
      </c>
    </row>
    <row r="9" spans="1:99" ht="26.4" ph="1">
      <c r="B9" s="241" ph="1">
        <v>0.66666666666666663</v>
      </c>
      <c r="C9" s="162" t="s" ph="1">
        <v>180</v>
      </c>
      <c r="D9" s="71">
        <v>0</v>
      </c>
      <c r="E9" s="71">
        <v>8162</v>
      </c>
      <c r="F9" s="71">
        <v>5841</v>
      </c>
      <c r="G9" s="71">
        <v>1651</v>
      </c>
      <c r="H9" s="71">
        <v>7430</v>
      </c>
      <c r="I9" s="71">
        <v>52.42</v>
      </c>
      <c r="J9" s="71">
        <v>6.26</v>
      </c>
      <c r="K9" s="71">
        <v>14.75</v>
      </c>
      <c r="L9" s="71">
        <v>0</v>
      </c>
      <c r="M9" s="71">
        <v>6391</v>
      </c>
      <c r="N9" s="71">
        <v>1572</v>
      </c>
      <c r="O9" s="71">
        <v>382</v>
      </c>
      <c r="P9" s="71">
        <v>1476</v>
      </c>
      <c r="Q9" s="71">
        <v>500</v>
      </c>
      <c r="R9" s="71">
        <v>6283</v>
      </c>
      <c r="S9" s="71">
        <v>5412</v>
      </c>
      <c r="T9" s="71">
        <v>3281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2750</v>
      </c>
      <c r="AA9" s="71">
        <v>0</v>
      </c>
      <c r="AB9" s="71">
        <v>4095</v>
      </c>
      <c r="AC9" s="71">
        <v>5474</v>
      </c>
      <c r="AD9" s="71">
        <v>3547</v>
      </c>
      <c r="AE9" s="71">
        <v>5453</v>
      </c>
    </row>
    <row r="10" spans="1:99" s="72" customFormat="1" ht="22.2" ph="1">
      <c r="B10" s="241" ph="1"/>
      <c r="C10" s="162" t="s" ph="1">
        <v>178</v>
      </c>
      <c r="D10" s="73" ph="1">
        <f>D9*33.183*LOOKUP(D11,密度!$A$2:$A$50,密度!$Q$2:$Q$50)</f>
        <v>0</v>
      </c>
      <c r="E10" s="73" ph="1">
        <f>E9*51.53*LOOKUP(E11,密度!$A$2:$A$50,密度!$B$2:$B$50)</f>
        <v>326796.76721999998</v>
      </c>
      <c r="F10" s="73" ph="1">
        <f>F9*33.183*LOOKUP(F11,密度!$A$2:$A$50,密度!$C$2:$C$50)</f>
        <v>214638.37538219997</v>
      </c>
      <c r="G10" s="73" ph="1">
        <f xml:space="preserve"> (G9+2)*51.53*LOOKUP(G11,密度!$A$2:$A$50,密度!$B$2:$B$50)</f>
        <v>66184.152929999997</v>
      </c>
      <c r="H10" s="73" ph="1">
        <f>(H9)*51.53*LOOKUP(H11,密度!$A$2:$A$50,密度!$B$2:$B$50)</f>
        <v>297488.35830000002</v>
      </c>
      <c r="I10" s="73" ph="1">
        <f>I9*290.8*1.0267</f>
        <v>15650.7437512</v>
      </c>
      <c r="J10" s="73" ph="1">
        <f>J9*290.8*0.7892</f>
        <v>1436.6659935999999</v>
      </c>
      <c r="K10" s="73" ph="1">
        <f>K9*290.8*1.1126</f>
        <v>4772.2751800000005</v>
      </c>
      <c r="L10" s="73" ph="1">
        <f>L9*290.8*0.777</f>
        <v>0</v>
      </c>
      <c r="M10" s="73" ph="1">
        <f>M9*33.183*LOOKUP(M11,密度!$A$2:$A$50,密度!$D$2:$D$50)</f>
        <v>216186.76052820001</v>
      </c>
      <c r="N10" s="73" ph="1">
        <f>N9*33.183*LOOKUP(N11,密度!$A$2:$A$50,密度!$E$2:$E$50)</f>
        <v>40562.474457599994</v>
      </c>
      <c r="O10" s="73" ph="1">
        <f>O9*20.428*LOOKUP(O11,密度!$A$2:$A$50,密度!$C$2:$C$50)</f>
        <v>8590.8687463999995</v>
      </c>
      <c r="P10" s="73" ph="1">
        <f>P9*51.53*LOOKUP(P11,密度!$A$2:$A$50,密度!$B$2:$B$50)</f>
        <v>58831.079579999998</v>
      </c>
      <c r="Q10" s="73" ph="1">
        <f>Q9*1.5*1.5*3.1416*LOOKUP(W11,密度!$A$2:$A$50,密度!$L$2:$L$50)</f>
        <v>3283.3647000000001</v>
      </c>
      <c r="R10" s="73" ph="1">
        <f>R9*1.5*1.5*3.1416*LOOKUP(R11,密度!$A$2:$A$50,密度!$L$2:$L$50)</f>
        <v>41569.644916800004</v>
      </c>
      <c r="S10" s="73" ph="1">
        <f>S9*1.5*1.5*3.1416*LOOKUP(S11,密度!$A$2:$A$50,密度!$L$2:$L$50)</f>
        <v>35806.926355200005</v>
      </c>
      <c r="T10" s="73" ph="1">
        <f>T9*1.5*1.5*3.1416*LOOKUP(T11,密度!$A$2:$A$50,密度!$L$2:$L$50)</f>
        <v>21800.552003999997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84774.269249999998</v>
      </c>
      <c r="AA10" s="73" ph="1">
        <f>AA9*33.183*LOOKUP(AA11,密度!$A$2:$A$50,密度!$D$2:$D$50)</f>
        <v>0</v>
      </c>
      <c r="AB10" s="73" ph="1">
        <f>AB9*20.428*LOOKUP(AB11,密度!$A$2:$A$50,密度!$D$2:$D$50)</f>
        <v>86045.126076</v>
      </c>
      <c r="AC10" s="73" ph="1">
        <f>AC9*51.53*LOOKUP(AC11,密度!$A$2:$A$50,密度!$Q$2:$Q$50)</f>
        <v>265317.13117980002</v>
      </c>
      <c r="AD10" s="73" ph="1">
        <f>AD9*20.428*LOOKUP(AD11,密度!$A$2:$A$50,密度!$V$2:$V$50)</f>
        <v>69385.891881600008</v>
      </c>
      <c r="AE10" s="73" ph="1">
        <f>AE9*20.428</f>
        <v>111393.88400000001</v>
      </c>
    </row>
    <row r="11" spans="1:99" ph="1">
      <c r="A11" s="64" t="s" ph="1">
        <v>162</v>
      </c>
      <c r="B11" s="241" ph="1"/>
      <c r="C11" s="162" t="s" ph="1">
        <v>179</v>
      </c>
      <c r="D11" s="74">
        <v>28</v>
      </c>
      <c r="E11" s="74">
        <v>28</v>
      </c>
      <c r="F11" s="74">
        <v>27</v>
      </c>
      <c r="G11" s="74">
        <v>28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30</v>
      </c>
      <c r="O11" s="74">
        <v>34</v>
      </c>
      <c r="P11" s="74">
        <v>32</v>
      </c>
      <c r="Q11" s="74">
        <v>34</v>
      </c>
      <c r="R11" s="74">
        <v>26</v>
      </c>
      <c r="S11" s="74">
        <v>26</v>
      </c>
      <c r="T11" s="74">
        <v>22</v>
      </c>
      <c r="U11" s="74">
        <v>30</v>
      </c>
      <c r="V11" s="74">
        <v>28</v>
      </c>
      <c r="W11" s="74">
        <v>33</v>
      </c>
      <c r="X11" s="74">
        <v>21</v>
      </c>
      <c r="Y11" s="74">
        <v>32</v>
      </c>
      <c r="Z11" s="74">
        <v>33</v>
      </c>
      <c r="AA11" s="74">
        <v>40</v>
      </c>
      <c r="AB11" s="74">
        <v>23</v>
      </c>
      <c r="AC11" s="74">
        <v>34</v>
      </c>
      <c r="AD11" s="74">
        <v>30</v>
      </c>
      <c r="AE11" s="74">
        <v>29</v>
      </c>
    </row>
    <row r="12" spans="1:99" ht="9.9" customHeight="1" ph="1"/>
    <row r="13" spans="1:99" s="72" customFormat="1" ht="29.25" customHeight="1" ph="1">
      <c r="B13" s="218" t="s" ph="1">
        <v>37</v>
      </c>
      <c r="C13" s="16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2" t="s" ph="1">
        <v>177</v>
      </c>
      <c r="D15" s="78">
        <v>403</v>
      </c>
      <c r="E15" s="78">
        <v>2306</v>
      </c>
      <c r="F15" s="78">
        <v>1955</v>
      </c>
      <c r="G15" s="78">
        <v>1707</v>
      </c>
      <c r="H15" s="78">
        <v>0</v>
      </c>
      <c r="I15" s="78">
        <v>5174</v>
      </c>
      <c r="J15" s="78">
        <v>5238</v>
      </c>
      <c r="K15" s="78">
        <v>2278</v>
      </c>
      <c r="L15" s="78">
        <v>5493</v>
      </c>
      <c r="M15" s="78">
        <v>3529</v>
      </c>
      <c r="N15" s="78">
        <v>3875</v>
      </c>
      <c r="O15" s="78">
        <v>1962</v>
      </c>
      <c r="P15" s="78">
        <v>5320</v>
      </c>
      <c r="Q15" s="78">
        <v>3244</v>
      </c>
      <c r="R15" s="78">
        <v>0</v>
      </c>
      <c r="S15" s="78">
        <v>4963</v>
      </c>
      <c r="T15" s="78">
        <v>6662</v>
      </c>
      <c r="U15" s="78">
        <v>1263</v>
      </c>
      <c r="V15" s="78">
        <v>3556</v>
      </c>
      <c r="W15" s="71">
        <v>-737</v>
      </c>
      <c r="X15" s="78">
        <v>-321</v>
      </c>
      <c r="Y15" s="106">
        <v>-2367</v>
      </c>
      <c r="Z15" s="78">
        <v>1953</v>
      </c>
      <c r="AA15" s="78">
        <v>257</v>
      </c>
      <c r="AB15" s="78" ph="1">
        <v>5037</v>
      </c>
      <c r="AC15" s="78" ph="1">
        <v>390</v>
      </c>
      <c r="AD15" s="78">
        <v>0</v>
      </c>
      <c r="AE15" s="78">
        <v>57.42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2" t="s" ph="1">
        <v>178</v>
      </c>
      <c r="D16" s="73" ph="1">
        <f>D15*7.0686*LOOKUP(D17,密度!$A$2:$A$50,密度!$L$2:$L$50)</f>
        <v>2657.7865314000001</v>
      </c>
      <c r="E16" s="73" ph="1">
        <f>E15*7.0686*LOOKUP(E17,密度!$A$2:$A$50,密度!$L$2:$L$50)</f>
        <v>15208.078762800002</v>
      </c>
      <c r="F16" s="73" ph="1">
        <f>F15*9.0746*LOOKUP(F17,密度!$A$2:$A$50,密度!$L$2:$L$50)</f>
        <v>16463.502304000001</v>
      </c>
      <c r="G16" s="73" ph="1">
        <f>G15*9.0746*LOOKUP(G17,密度!$A$2:$A$50,密度!$B$2:$B$50)</f>
        <v>12049.937197380001</v>
      </c>
      <c r="H16" s="73" ph="1">
        <f>H15*9.0746*LOOKUP(H17,密度!$A$2:$A$50,密度!$L$2:$L$50)</f>
        <v>0</v>
      </c>
      <c r="I16" s="73" ph="1">
        <f>I15*9.0746*LOOKUP(I17,密度!$A$2:$A$50,密度!$U$2:$U$50)</f>
        <v>47891.020008</v>
      </c>
      <c r="J16" s="73" ph="1">
        <f>J15*9.0746*LOOKUP(J17,密度!$A$2:$A$50,密度!$L$2:$L$50)</f>
        <v>44395.592983200004</v>
      </c>
      <c r="K16" s="73" ph="1">
        <f>K15*9.0746*LOOKUP(K17,密度!$A$2:$A$50,密度!$C$2:$C$50)</f>
        <v>22892.10502712</v>
      </c>
      <c r="L16" s="73" ph="1">
        <f>L15*9.0746*LOOKUP(L17,密度!$A$2:$A$50,密度!$E$2:$E$50)</f>
        <v>38760.854417280003</v>
      </c>
      <c r="M16" s="73" ph="1">
        <f>M15*9.0746*LOOKUP(M17,密度!$A$2:$A$50,密度!$M$2:$M$50)</f>
        <v>27857.906731660001</v>
      </c>
      <c r="N16" s="73" ph="1">
        <f>N15*9.0746*LOOKUP(N17,密度!$A$2:$A$50,密度!$M$2:$M$50)</f>
        <v>30736.917957500002</v>
      </c>
      <c r="O16" s="73" ph="1">
        <f>O15*9.0746*LOOKUP(O17,密度!$A$2:$A$50,密度!$G$2:$G$50)</f>
        <v>16997.827456440002</v>
      </c>
      <c r="P16" s="73" ph="1">
        <f ca="1">P15*9.0746*LOOKUP(P17,密度!$A$2:$A$51,密度!$Q$2:$Q$50)</f>
        <v>45603.298828640007</v>
      </c>
      <c r="Q16" s="73" ph="1">
        <f>Q15*9.0746*LOOKUP(Q17,密度!$A$2:$A$50,密度!$Q$2:$Q$50)</f>
        <v>27787.413605432004</v>
      </c>
      <c r="R16" s="73" ph="1">
        <f>MAX(R15*9.0746*LOOKUP(R17,密度!$A$2:$A$50,密度!$B$2:$B$50),0)</f>
        <v>0</v>
      </c>
      <c r="S16" s="73" ph="1">
        <f>S15*9.0746*LOOKUP(S17,密度!$A$2:$A$50,密度!$Q$2:$Q$50)</f>
        <v>42512.001764414003</v>
      </c>
      <c r="T16" s="73" ph="1">
        <f>T15*9.0746*LOOKUP(T17,密度!$A$2:$A$50,密度!$O$2:$O$50)</f>
        <v>55981.316295200006</v>
      </c>
      <c r="U16" s="73" ph="1">
        <f>U15*9.0746*LOOKUP(U17,密度!$A$2:$A$50,密度!$H$2:$H$50)</f>
        <v>10441.171237800001</v>
      </c>
      <c r="V16" s="73" ph="1">
        <f>MAX(5600*LOOKUP(V17,密度!$A$2:$A$50,密度!$Q$2:$Q$50)+V15*9.0476*LOOKUP(V17,密度!$A$2:$A$50,密度!$Q$2:$Q$50),0)</f>
        <v>35578.638868640002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2806.7840804799998</v>
      </c>
      <c r="Y16" s="107" ph="1">
        <v>0</v>
      </c>
      <c r="Z16" s="73" ph="1">
        <f>Z15*9.0746*LOOKUP(Z17,密度!$A$2:$A$50,密度!$D$2:$D$50)</f>
        <v>18128.543488020001</v>
      </c>
      <c r="AA16" s="73" ph="1">
        <f>AA15*9.0746*LOOKUP(AA17,密度!$A$2:$A$50,密度!$B$2:$B$50)</f>
        <v>1818.1614471199998</v>
      </c>
      <c r="AB16" s="73" ph="1">
        <f>AB15*9.0746*LOOKUP(AB17,密度!$A$2:$A$50,密度!$L$2:$L$50)</f>
        <v>42646.273266600008</v>
      </c>
      <c r="AC16" s="73" ph="1">
        <f>AC15*9.0746*LOOKUP(AC17,密度!$A$2:$A$50,密度!$L$2:$L$50)</f>
        <v>3312.5919840000001</v>
      </c>
      <c r="AD16" s="73" ph="1">
        <f>AD15*268.68*LOOKUP(AD17,密度!$A$2:$A$50,密度!B2:B50)+IF(AD15&lt;=0,0,1566*LOOKUP(AD17,密度!$A$2:$A$50,密度!B2:B50))</f>
        <v>0</v>
      </c>
      <c r="AE16" s="73" ph="1">
        <f>AE15*268.68*LOOKUP(AE17,密度!$A$2:$A$50,密度!B2:B50)+IF(AE15&lt;=0,0,1566*LOOKUP(AE17,密度!$A$2:$A$50,密度!B2:B50))</f>
        <v>13248.214925759999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29</v>
      </c>
      <c r="E17" s="74">
        <v>29</v>
      </c>
      <c r="F17" s="74">
        <v>34</v>
      </c>
      <c r="G17" s="74">
        <v>27</v>
      </c>
      <c r="H17" s="74">
        <v>25</v>
      </c>
      <c r="I17" s="74">
        <v>30</v>
      </c>
      <c r="J17" s="74">
        <v>28</v>
      </c>
      <c r="K17" s="74">
        <v>27</v>
      </c>
      <c r="L17" s="74">
        <v>30</v>
      </c>
      <c r="M17" s="74">
        <v>30</v>
      </c>
      <c r="N17" s="74">
        <v>26</v>
      </c>
      <c r="O17" s="74">
        <v>30</v>
      </c>
      <c r="P17" s="74">
        <v>28</v>
      </c>
      <c r="Q17" s="74">
        <v>29</v>
      </c>
      <c r="R17" s="74">
        <v>27</v>
      </c>
      <c r="S17" s="74">
        <v>29</v>
      </c>
      <c r="T17" s="74">
        <v>26</v>
      </c>
      <c r="U17" s="74">
        <v>29</v>
      </c>
      <c r="V17" s="74">
        <v>32</v>
      </c>
      <c r="W17" s="74">
        <v>32</v>
      </c>
      <c r="X17" s="74">
        <v>26</v>
      </c>
      <c r="Y17" s="108">
        <v>26</v>
      </c>
      <c r="Z17" s="74">
        <v>29</v>
      </c>
      <c r="AA17" s="74">
        <v>25</v>
      </c>
      <c r="AB17" s="74">
        <v>29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0</v>
      </c>
      <c r="E18" s="71">
        <v>1896</v>
      </c>
      <c r="F18" s="71">
        <v>1956</v>
      </c>
      <c r="G18" s="71">
        <v>1793</v>
      </c>
      <c r="H18" s="71">
        <v>0</v>
      </c>
      <c r="I18" s="71">
        <v>5179</v>
      </c>
      <c r="J18" s="71">
        <v>5245</v>
      </c>
      <c r="K18" s="71">
        <v>2279</v>
      </c>
      <c r="L18" s="71">
        <v>5506</v>
      </c>
      <c r="M18" s="71">
        <v>583</v>
      </c>
      <c r="N18" s="71">
        <v>3882</v>
      </c>
      <c r="O18" s="71">
        <v>1964</v>
      </c>
      <c r="P18" s="71">
        <v>5326</v>
      </c>
      <c r="Q18" s="71">
        <v>1992</v>
      </c>
      <c r="R18" s="71">
        <v>0</v>
      </c>
      <c r="S18" s="71">
        <v>5077</v>
      </c>
      <c r="T18" s="71">
        <v>6310</v>
      </c>
      <c r="U18" s="71">
        <v>1264</v>
      </c>
      <c r="V18" s="71">
        <v>3545</v>
      </c>
      <c r="W18" s="71">
        <v>-730</v>
      </c>
      <c r="X18" s="71">
        <v>-322</v>
      </c>
      <c r="Y18" s="109">
        <v>-9908</v>
      </c>
      <c r="Z18" s="71">
        <v>1952</v>
      </c>
      <c r="AA18" s="71">
        <v>258</v>
      </c>
      <c r="AB18" s="71">
        <v>2752</v>
      </c>
      <c r="AC18" s="71">
        <v>390</v>
      </c>
      <c r="AD18" s="71">
        <v>17.510000000000002</v>
      </c>
      <c r="AE18" s="71">
        <v>84.46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2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12477.3230736</v>
      </c>
      <c r="F19" s="73" ph="1">
        <f>F18*9.0746*LOOKUP(F20,密度!$A$2:$A$50,密度!$L$2:$L$50)</f>
        <v>16454.173615200001</v>
      </c>
      <c r="G19" s="73" ph="1">
        <f>G18*9.0746*LOOKUP(G20,密度!$A$2:$A$50,密度!$B$2:$B$50)</f>
        <v>12642.378810600001</v>
      </c>
      <c r="H19" s="73" ph="1">
        <f>H18*9.0746*LOOKUP(H20,密度!$A$2:$A$50,密度!$L$2:$L$50)</f>
        <v>0</v>
      </c>
      <c r="I19" s="73" ph="1">
        <f>I18*9.0746*LOOKUP(I20,密度!$A$2:$A$50,密度!$U$2:$U$50)</f>
        <v>47664.715818279998</v>
      </c>
      <c r="J19" s="73" ph="1">
        <f>J18*9.0746*LOOKUP(J20,密度!$A$2:$A$50,密度!$L$2:$L$50)</f>
        <v>44169.345056000006</v>
      </c>
      <c r="K19" s="73" ph="1">
        <f>K18*9.0746*LOOKUP(K20,密度!$A$2:$A$50,密度!$C$2:$C$50)</f>
        <v>22854.58790834</v>
      </c>
      <c r="L19" s="73" ph="1">
        <f>L18*9.0746*LOOKUP(L20,密度!$A$2:$A$50,密度!$E$2:$E$50)</f>
        <v>38852.587733760003</v>
      </c>
      <c r="M19" s="73" ph="1">
        <f>M18*9.0746*LOOKUP(M20,密度!$A$2:$A$50,密度!$M$2:$M$50)</f>
        <v>4580.0845610960005</v>
      </c>
      <c r="N19" s="73" ph="1">
        <f>N18*9.0746*LOOKUP(N20,密度!$A$2:$A$50,密度!$M$2:$M$50)</f>
        <v>30718.464758400005</v>
      </c>
      <c r="O19" s="73" ph="1">
        <f>O18*9.0746*LOOKUP(O20,密度!$A$2:$A$50,密度!$G$2:$G$50)</f>
        <v>17015.15449768</v>
      </c>
      <c r="P19" s="73" ph="1">
        <f ca="1">P18*9.0746*LOOKUP(P20,密度!$A$2:$A$51,密度!$Q$2:$Q$50)</f>
        <v>45592.383718268</v>
      </c>
      <c r="Q19" s="73" ph="1">
        <f>Q18*9.0746*LOOKUP(Q20,密度!$A$2:$A$50,密度!$Q$2:$Q$50)</f>
        <v>17038.644644256001</v>
      </c>
      <c r="R19" s="73" ph="1">
        <f>MAX(R18*9.0746*LOOKUP(R20,密度!$A$2:$A$50,密度!$B$2:$B$50),0)</f>
        <v>0</v>
      </c>
      <c r="S19" s="73" ph="1">
        <f>S18*9.0746*LOOKUP(S20,密度!$A$2:$A$50,密度!$Q$2:$Q$50)</f>
        <v>43426.304648035999</v>
      </c>
      <c r="T19" s="73" ph="1">
        <f>T18*9.0746*LOOKUP(T20,密度!$A$2:$A$50,密度!$O$2:$O$50)</f>
        <v>52794.389372000005</v>
      </c>
      <c r="U19" s="73" ph="1">
        <f>U18*9.0746*LOOKUP(U20,密度!$A$2:$A$50,密度!$H$2:$H$50)</f>
        <v>10404.818753183999</v>
      </c>
      <c r="V19" s="73" ph="1">
        <f>MAX(5600*LOOKUP(V20,密度!$A$2:$A$50,密度!$Q$2:$Q$50)+V18*9.0476*LOOKUP(V20,密度!$A$2:$A$50,密度!$Q$2:$Q$50),0)</f>
        <v>35484.897589799992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2794.4083792800006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18087.376565119997</v>
      </c>
      <c r="AA19" s="73" ph="1">
        <f>AA18*9.0746*LOOKUP(AA20,密度!$A$2:$A$50,密度!$B$2:$B$50)</f>
        <v>1810.9543997999999</v>
      </c>
      <c r="AB19" s="73" ph="1">
        <f>AB18*9.0746*LOOKUP(AB20,密度!$A$2:$A$50,密度!$L$2:$L$50)</f>
        <v>23275.114854400003</v>
      </c>
      <c r="AC19" s="73" ph="1">
        <f>AC18*9.0746*LOOKUP(AC20,密度!$A$2:$A$50,密度!$L$2:$L$50)</f>
        <v>3287.8183260000001</v>
      </c>
      <c r="AD19" s="73" ph="1">
        <f>AD18*268.68*LOOKUP(AD20,密度!$A$2:$A$50,密度!B5:B53)+IF(AD18&lt;=0,0,1566*LOOKUP(AD20,密度!$A$2:$A$50,密度!B5:B53))</f>
        <v>4872.2459436000008</v>
      </c>
      <c r="AE19" s="73" ph="1">
        <f>AE18*268.68*LOOKUP(AE20,密度!$A$2:$A$50,密度!B5:B53)+IF(AE18&lt;=0,0,1566*LOOKUP(AE20,密度!$A$2:$A$50,密度!B5:B53))</f>
        <v>18849.019845599996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31</v>
      </c>
      <c r="E20" s="81">
        <v>31</v>
      </c>
      <c r="F20" s="81">
        <v>35</v>
      </c>
      <c r="G20" s="81">
        <v>28</v>
      </c>
      <c r="H20" s="81">
        <v>28</v>
      </c>
      <c r="I20" s="81">
        <v>36</v>
      </c>
      <c r="J20" s="81">
        <v>34</v>
      </c>
      <c r="K20" s="81">
        <v>30</v>
      </c>
      <c r="L20" s="81">
        <v>30</v>
      </c>
      <c r="M20" s="81">
        <v>34</v>
      </c>
      <c r="N20" s="81">
        <v>28</v>
      </c>
      <c r="O20" s="81">
        <v>30</v>
      </c>
      <c r="P20" s="81">
        <v>30</v>
      </c>
      <c r="Q20" s="81">
        <v>31</v>
      </c>
      <c r="R20" s="81">
        <v>34</v>
      </c>
      <c r="S20" s="81">
        <v>31</v>
      </c>
      <c r="T20" s="81">
        <v>30</v>
      </c>
      <c r="U20" s="81">
        <v>33</v>
      </c>
      <c r="V20" s="81">
        <v>32</v>
      </c>
      <c r="W20" s="81">
        <v>32</v>
      </c>
      <c r="X20" s="81">
        <v>27</v>
      </c>
      <c r="Y20" s="110">
        <v>27</v>
      </c>
      <c r="Z20" s="81">
        <v>31</v>
      </c>
      <c r="AA20" s="81">
        <v>32</v>
      </c>
      <c r="AB20" s="81">
        <v>30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2" t="s" ph="1">
        <v>177</v>
      </c>
      <c r="D24" s="71">
        <v>4.28</v>
      </c>
      <c r="E24" s="71">
        <v>65.81</v>
      </c>
      <c r="F24" s="71">
        <v>0</v>
      </c>
      <c r="G24" s="71">
        <v>3377</v>
      </c>
      <c r="H24" s="71">
        <v>2049</v>
      </c>
      <c r="I24" s="71">
        <v>0</v>
      </c>
      <c r="J24" s="71">
        <v>218</v>
      </c>
      <c r="K24" s="71">
        <v>248</v>
      </c>
      <c r="L24" s="71">
        <v>470</v>
      </c>
      <c r="M24" s="71">
        <v>4867</v>
      </c>
      <c r="N24" s="71">
        <v>2468</v>
      </c>
      <c r="O24" s="71">
        <v>859</v>
      </c>
      <c r="P24" s="71">
        <v>3236</v>
      </c>
      <c r="Q24" s="90">
        <v>3126</v>
      </c>
      <c r="R24" s="71">
        <v>1540</v>
      </c>
      <c r="S24" s="71">
        <v>3162</v>
      </c>
      <c r="T24" s="71">
        <v>149</v>
      </c>
      <c r="U24" s="71">
        <v>6893</v>
      </c>
      <c r="V24" s="71">
        <v>1016</v>
      </c>
      <c r="W24" s="71">
        <v>3888</v>
      </c>
      <c r="X24" s="71">
        <v>2525</v>
      </c>
      <c r="Y24" s="71">
        <v>5112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2571.2988816960001</v>
      </c>
      <c r="E25" s="91" ph="1">
        <f>E24*268.68*LOOKUP(E26,密度!$A$2:$A$50,密度!$C$2:$C$50)+IF(E24&lt;=0,0,1566*LOOKUP(E26,密度!$A$2:$A$50,密度!$C$2:$C$50))</f>
        <v>21343.919574120002</v>
      </c>
      <c r="F25" s="91" ph="1">
        <f>F24*11.702*LOOKUP(F26,密度!$A$2:$A$50,密度!$Q$2:$Q$50)</f>
        <v>0</v>
      </c>
      <c r="G25" s="91" ph="1">
        <f>G24*18.322*LOOKUP(G26,密度!$A$2:$A$50,密度!$B$2:$B$50)</f>
        <v>48292.184017</v>
      </c>
      <c r="H25" s="91" ph="1">
        <f>H24*18.322*LOOKUP(H26,密度!$A$2:$A$50,密度!$B$2:$B$50)</f>
        <v>29335.145329199997</v>
      </c>
      <c r="I25" s="91" ph="1">
        <f>I24*18.322*LOOKUP(I26,密度!$A$2:$A$50,密度!$Q$2:$Q$50)</f>
        <v>0</v>
      </c>
      <c r="J25" s="91" ph="1">
        <f>J24*18.322*LOOKUP(J26,密度!$A$2:$A$50,密度!$Q$2:$Q$50)</f>
        <v>3787.2966472000003</v>
      </c>
      <c r="K25" s="91" ph="1">
        <f>K24*18.322*LOOKUP(K26,密度!$A$2:$A$50,密度!$Q$2:$Q$50)</f>
        <v>4312.5282910400001</v>
      </c>
      <c r="L25" s="91" ph="1">
        <f>L24*18.322*LOOKUP(L26,密度!$A$2:$A$50,密度!$Q$2:$Q$50)</f>
        <v>8165.2725880000007</v>
      </c>
      <c r="M25" s="91" ph="1">
        <f>M24*18.322*LOOKUP(M26,密度!$A$2:$A$50,密度!$Q$2:$Q$50)</f>
        <v>84554.003586799998</v>
      </c>
      <c r="N25" s="91" ph="1">
        <f>N24*18.322*LOOKUP(N26,密度!$A$2:$A$50,密度!$Q$2:$Q$50)</f>
        <v>42876.367547199996</v>
      </c>
      <c r="O25" s="91" ph="1">
        <f>O24*18.322*LOOKUP(O26,密度!$A$2:$A$50,密度!$C$2:$C$50)</f>
        <v>17476.139219200002</v>
      </c>
      <c r="P25" s="91" ph="1">
        <f>P24*11.702*LOOKUP(P26,密度!$A$2:$A$50,密度!$B$2:$B$50)</f>
        <v>29589.798900799997</v>
      </c>
      <c r="Q25" s="92" ph="1">
        <f>Q24*18.322*LOOKUP(Q26,密度!$A$2:$A$50,密度!$B$2:$B$50)</f>
        <v>44805.897675599997</v>
      </c>
      <c r="R25" s="91" ph="1">
        <f>R24*35.891*LOOKUP(R26,密度!$A$2:$A$50,密度!$C$2:$C$50)</f>
        <v>61374.184256</v>
      </c>
      <c r="S25" s="91" ph="1">
        <f>S24*35.891*LOOKUP(S26,密度!$A$2:$A$50,密度!$B$2:$B$50)</f>
        <v>88679.009038799995</v>
      </c>
      <c r="T25" s="91" ph="1">
        <f>T24*35.891*LOOKUP(T26,密度!$A$2:$A$50,密度!$Q$2:$Q$50)</f>
        <v>5075.5045893099996</v>
      </c>
      <c r="U25" s="91" ph="1">
        <f>U24*35.891</f>
        <v>247396.663</v>
      </c>
      <c r="V25" s="91" ph="1">
        <f>V24*47.051*LOOKUP(V26,密度!$A$2:$A$50,密度!$B$2:$B$50)</f>
        <v>37310.878387999997</v>
      </c>
      <c r="W25" s="91" ph="1">
        <f>W24*47.051*LOOKUP(W26,密度!$A$2:$A$50,密度!$B$2:$B$50)</f>
        <v>142780.21178399998</v>
      </c>
      <c r="X25" s="91" ph="1">
        <f>X24*47.051*LOOKUP(X26,密度!$A$2:$A$61,密度!$I$2:$I$61)</f>
        <v>123829.17468250002</v>
      </c>
      <c r="Y25" s="91" ph="1">
        <f>Y24*47.051*LOOKUP(Y26,密度!$A$2:$A$50,密度!$L$2:$L$50)</f>
        <v>225131.13043200001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23</v>
      </c>
      <c r="G26" s="74">
        <v>24</v>
      </c>
      <c r="H26" s="74">
        <v>23</v>
      </c>
      <c r="I26" s="74">
        <v>23</v>
      </c>
      <c r="J26" s="74">
        <v>23</v>
      </c>
      <c r="K26" s="74">
        <v>22</v>
      </c>
      <c r="L26" s="74">
        <v>23</v>
      </c>
      <c r="M26" s="74">
        <v>23</v>
      </c>
      <c r="N26" s="74">
        <v>23</v>
      </c>
      <c r="O26" s="74">
        <v>23</v>
      </c>
      <c r="P26" s="74">
        <v>23</v>
      </c>
      <c r="Q26" s="93">
        <v>22</v>
      </c>
      <c r="R26" s="74">
        <v>23</v>
      </c>
      <c r="S26" s="74">
        <v>23</v>
      </c>
      <c r="T26" s="74">
        <v>22</v>
      </c>
      <c r="U26" s="74">
        <v>22</v>
      </c>
      <c r="V26" s="74">
        <v>24</v>
      </c>
      <c r="W26" s="74">
        <v>24</v>
      </c>
      <c r="X26" s="74">
        <v>25</v>
      </c>
      <c r="Y26" s="74">
        <v>26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2" t="s" ph="1">
        <v>180</v>
      </c>
      <c r="D27" s="71">
        <v>4.28</v>
      </c>
      <c r="E27" s="71">
        <v>65.61</v>
      </c>
      <c r="F27" s="71">
        <v>0</v>
      </c>
      <c r="G27" s="71">
        <v>2900</v>
      </c>
      <c r="H27" s="71">
        <v>1891</v>
      </c>
      <c r="I27" s="71">
        <v>0</v>
      </c>
      <c r="J27" s="71">
        <v>214</v>
      </c>
      <c r="K27" s="71">
        <v>245</v>
      </c>
      <c r="L27" s="71">
        <v>466</v>
      </c>
      <c r="M27" s="71">
        <v>4868</v>
      </c>
      <c r="N27" s="71">
        <v>2467</v>
      </c>
      <c r="O27" s="71">
        <v>1</v>
      </c>
      <c r="P27" s="71">
        <v>3236</v>
      </c>
      <c r="Q27" s="90">
        <v>3443</v>
      </c>
      <c r="R27" s="71">
        <v>1475</v>
      </c>
      <c r="S27" s="71">
        <v>3161</v>
      </c>
      <c r="T27" s="71">
        <v>148</v>
      </c>
      <c r="U27" s="71">
        <v>6237</v>
      </c>
      <c r="V27" s="71">
        <v>1012</v>
      </c>
      <c r="W27" s="71">
        <v>3886</v>
      </c>
      <c r="X27" s="71">
        <v>3014</v>
      </c>
      <c r="Y27" s="71">
        <v>3504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2" t="s" ph="1">
        <v>178</v>
      </c>
      <c r="D28" s="91" ph="1">
        <f>D27*268.68*LOOKUP(D29,密度!$A$2:$A$50,密度!$Q$2:$Q$50)+IF(D27&lt;=0,0,1566*LOOKUP(D29,密度!$A$2:$A$50,密度!$Q$2:$Q$50))</f>
        <v>2571.2988816960001</v>
      </c>
      <c r="E28" s="91" ph="1">
        <f>E27*268.68*LOOKUP(E29,密度!$A$2:$A$50,密度!$C$2:$C$50)+IF(E27&lt;=0,0,1566*LOOKUP(E29,密度!$A$2:$A$50,密度!$C$2:$C$50))</f>
        <v>21284.331723719999</v>
      </c>
      <c r="F28" s="91" ph="1">
        <f>F27*11.702*LOOKUP(F29,密度!$A$2:$A$50,密度!$Q$2:$Q$50)</f>
        <v>0</v>
      </c>
      <c r="G28" s="91" ph="1">
        <f>G27*18.322*LOOKUP(G29,密度!$A$2:$A$50,密度!$B$2:$B$50)</f>
        <v>41194.635139999999</v>
      </c>
      <c r="H28" s="91" ph="1">
        <f>H27*18.322*LOOKUP(H29,密度!$A$2:$A$50,密度!$B$2:$B$50)</f>
        <v>26740.478963600002</v>
      </c>
      <c r="I28" s="91" ph="1">
        <f>I27*18.322*LOOKUP(I29,密度!$A$2:$A$50,密度!$Q$2:$Q$50)</f>
        <v>0</v>
      </c>
      <c r="J28" s="91" ph="1">
        <f>J27*18.322*LOOKUP(J29,密度!$A$2:$A$50,密度!$Q$2:$Q$50)</f>
        <v>3685.4182655199997</v>
      </c>
      <c r="K28" s="91" ph="1">
        <f>K27*18.322*LOOKUP(K29,密度!$A$2:$A$50,密度!$Q$2:$Q$50)</f>
        <v>4237.1979376999998</v>
      </c>
      <c r="L28" s="91" ph="1">
        <f>L27*18.322*LOOKUP(L29,密度!$A$2:$A$50,密度!$Q$2:$Q$50)</f>
        <v>8071.19131664</v>
      </c>
      <c r="M28" s="91" ph="1">
        <f>M27*18.322*LOOKUP(M29,密度!$A$2:$A$50,密度!$Q$2:$Q$50)</f>
        <v>84252.07095152</v>
      </c>
      <c r="N28" s="91" ph="1">
        <f>N27*18.322*LOOKUP(N29,密度!$A$2:$A$50,密度!$Q$2:$Q$50)</f>
        <v>42793.002080759994</v>
      </c>
      <c r="O28" s="91" ph="1">
        <f>O27*18.322*LOOKUP(O29,密度!$A$2:$A$50,密度!$C$2:$C$50)</f>
        <v>20.247642199999998</v>
      </c>
      <c r="P28" s="91" ph="1">
        <f>P27*11.702*LOOKUP(P29,密度!$A$2:$A$50,密度!$B$2:$B$50)</f>
        <v>29358.806101599999</v>
      </c>
      <c r="Q28" s="92" ph="1">
        <f>Q27*18.322*LOOKUP(Q29,密度!$A$2:$A$50,密度!$B$2:$B$50)</f>
        <v>48964.7498252</v>
      </c>
      <c r="R28" s="91" ph="1">
        <f>R27*35.891*LOOKUP(R29,密度!$A$2:$A$50,密度!$C$2:$C$50)</f>
        <v>58624.897764999994</v>
      </c>
      <c r="S28" s="91" ph="1">
        <f>S27*35.891*LOOKUP(S29,密度!$A$2:$A$50,密度!$B$2:$B$50)</f>
        <v>88253.883732900009</v>
      </c>
      <c r="T28" s="91" ph="1">
        <f>T27*35.891*LOOKUP(T29,密度!$A$2:$A$50,密度!$Q$2:$Q$50)</f>
        <v>5017.6967501599993</v>
      </c>
      <c r="U28" s="91" ph="1">
        <f>U27*35.891</f>
        <v>223852.16699999999</v>
      </c>
      <c r="V28" s="91" ph="1">
        <f>V27*47.051*LOOKUP(V29,密度!$A$2:$A$50,密度!$B$2:$B$50)</f>
        <v>37121.131115199998</v>
      </c>
      <c r="W28" s="91" ph="1">
        <f>W27*47.051*LOOKUP(W29,密度!$A$2:$A$50,密度!$B$2:$B$50)</f>
        <v>142706.76517300002</v>
      </c>
      <c r="X28" s="91" ph="1">
        <f>X27*47.051*LOOKUP(X29,密度!$A$2:$A$61,密度!$I$2:$I$61)</f>
        <v>147654.35661679998</v>
      </c>
      <c r="Y28" s="91" ph="1">
        <f>Y27*47.051*LOOKUP(Y29,密度!$A$2:$A$50,密度!$L$2:$L$50)</f>
        <v>153161.16801600001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2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34</v>
      </c>
      <c r="I29" s="74">
        <v>31</v>
      </c>
      <c r="J29" s="74">
        <v>35</v>
      </c>
      <c r="K29" s="74">
        <v>29</v>
      </c>
      <c r="L29" s="74">
        <v>27</v>
      </c>
      <c r="M29" s="74">
        <v>28</v>
      </c>
      <c r="N29" s="74">
        <v>25</v>
      </c>
      <c r="O29" s="74">
        <v>30</v>
      </c>
      <c r="P29" s="74">
        <v>30</v>
      </c>
      <c r="Q29" s="93">
        <v>29</v>
      </c>
      <c r="R29" s="74">
        <v>27</v>
      </c>
      <c r="S29" s="74">
        <v>27</v>
      </c>
      <c r="T29" s="74">
        <v>28</v>
      </c>
      <c r="U29" s="74">
        <v>28</v>
      </c>
      <c r="V29" s="74">
        <v>25</v>
      </c>
      <c r="W29" s="74">
        <v>24</v>
      </c>
      <c r="X29" s="74">
        <v>26</v>
      </c>
      <c r="Y29" s="74">
        <v>33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2" t="s" ph="1">
        <v>5</v>
      </c>
      <c r="F32" s="161" t="s" ph="1">
        <v>43</v>
      </c>
      <c r="G32" s="97" t="s" ph="1">
        <v>4</v>
      </c>
      <c r="H32" s="162" t="s" ph="1">
        <v>5</v>
      </c>
      <c r="I32" s="161" t="s" ph="1">
        <v>43</v>
      </c>
      <c r="J32" s="97" t="s" ph="1">
        <v>4</v>
      </c>
      <c r="K32" s="162" t="s" ph="1">
        <v>5</v>
      </c>
      <c r="L32" s="161" t="s" ph="1">
        <v>43</v>
      </c>
      <c r="M32" s="97" t="s" ph="1">
        <v>4</v>
      </c>
      <c r="N32" s="162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1" t="s" ph="1">
        <v>43</v>
      </c>
      <c r="AB32" s="97" t="s" ph="1">
        <v>85</v>
      </c>
      <c r="AC32" s="162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104132.50264111999</v>
      </c>
      <c r="E33" s="190" ph="1">
        <f>M10+I10</f>
        <v>231837.50427940002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16" ph="1">
        <f>N19</f>
        <v>30718.464758400005</v>
      </c>
      <c r="H33" s="190" ph="1">
        <f>M19</f>
        <v>4580.0845610960005</v>
      </c>
      <c r="I33" s="194" ph="1">
        <v>0</v>
      </c>
      <c r="J33" s="198" ph="1">
        <f>F10+O28</f>
        <v>214658.62302439997</v>
      </c>
      <c r="K33" s="190" ph="1">
        <f>O10+K10+E28+R28</f>
        <v>93272.373415120004</v>
      </c>
      <c r="L33" s="200" ph="1">
        <f>K19</f>
        <v>22854.58790834</v>
      </c>
      <c r="M33" s="198" ph="1">
        <f>G10+H10+W28+S28+V28+E10+R19+P28+Q28</f>
        <v>1036874.6143978998</v>
      </c>
      <c r="N33" s="190" ph="1">
        <f>L10+P10++G28+H28+AD19+AE19</f>
        <v>150487.45947279999</v>
      </c>
      <c r="O33" s="194" ph="1">
        <f>G19</f>
        <v>12642.378810600001</v>
      </c>
      <c r="P33" s="198" ph="1">
        <f>L19</f>
        <v>38852.587733760003</v>
      </c>
      <c r="Q33" s="190" ph="1">
        <f>J10+N10</f>
        <v>41999.140451199994</v>
      </c>
      <c r="R33" s="194" ph="1">
        <f>BE23</f>
        <v>890</v>
      </c>
      <c r="S33" s="198" ph="1">
        <f>X28</f>
        <v>147654.35661679998</v>
      </c>
      <c r="T33" s="190" ph="1">
        <f>X19</f>
        <v>2794.4083792800006</v>
      </c>
      <c r="U33" s="179" ph="1">
        <f>BE21</f>
        <v>730</v>
      </c>
      <c r="V33" s="192" ph="1">
        <f ca="1">P19+Q19+S19+M28+N28+J28+D10+AC10+D19+E19+H19+J19+O19+V19+W19+K28+L28</f>
        <v>623560.06495957996</v>
      </c>
      <c r="W33" s="192" ph="1">
        <f>D28+F28+T28+I28</f>
        <v>7588.9956318559998</v>
      </c>
      <c r="X33" s="194" ph="1">
        <f>BE29+BE31</f>
        <v>10200</v>
      </c>
      <c r="Y33" s="196" ph="1">
        <f>+Q10+R10+S10+T10+U10+V10+W10+X10+Y10</f>
        <v>102460.487976</v>
      </c>
      <c r="Z33" s="177" ph="1">
        <f>T19+U19+Y28+Z10</f>
        <v>301134.64539118402</v>
      </c>
      <c r="AA33" s="179" ph="1">
        <f>BE19</f>
        <v>1440</v>
      </c>
      <c r="AB33" s="181" ph="1">
        <f>I19</f>
        <v>47664.715818279998</v>
      </c>
      <c r="AC33" s="183" ph="1">
        <f>AD10+AB19</f>
        <v>92661.00673600001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0" t="s" ph="1">
        <v>185</v>
      </c>
      <c r="AA36" s="160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6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0" t="s" ph="1">
        <v>342</v>
      </c>
      <c r="AI37" s="160" t="s" ph="1">
        <v>209</v>
      </c>
      <c r="AJ37" s="160" t="s" ph="1">
        <v>210</v>
      </c>
      <c r="AK37" s="160" t="s" ph="1">
        <v>211</v>
      </c>
      <c r="AM37" s="160" t="s" ph="1">
        <v>210</v>
      </c>
      <c r="AN37" s="160" t="s" ph="1">
        <v>211</v>
      </c>
      <c r="AO37" s="160" t="s" ph="1">
        <v>212</v>
      </c>
      <c r="AP37" s="160" t="s" ph="1">
        <v>210</v>
      </c>
      <c r="AQ37" s="160" t="s" ph="1">
        <v>211</v>
      </c>
      <c r="AR37" s="160" t="s" ph="1">
        <v>212</v>
      </c>
      <c r="AS37" s="160" t="s" ph="1">
        <v>210</v>
      </c>
      <c r="AT37" s="160" t="s" ph="1">
        <v>211</v>
      </c>
      <c r="AU37" s="160" t="s" ph="1">
        <v>212</v>
      </c>
      <c r="AV37" s="160" t="s" ph="1">
        <v>210</v>
      </c>
      <c r="AW37" s="160" t="s" ph="1">
        <v>211</v>
      </c>
      <c r="AX37" s="160" t="s" ph="1">
        <v>212</v>
      </c>
      <c r="AY37" s="160" t="s" ph="1">
        <v>211</v>
      </c>
      <c r="AZ37" s="160" t="s" ph="1">
        <v>213</v>
      </c>
      <c r="BD37" s="160" t="s" ph="1">
        <v>305</v>
      </c>
      <c r="BE37" s="16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909" priority="100">
      <formula>ABS(D$7-D$10)&gt;=1000</formula>
    </cfRule>
  </conditionalFormatting>
  <conditionalFormatting sqref="E4 E6:E11">
    <cfRule type="expression" dxfId="908" priority="99">
      <formula>ABS(E$7-E$10)&gt;=1000</formula>
    </cfRule>
  </conditionalFormatting>
  <conditionalFormatting sqref="F4:F11">
    <cfRule type="expression" dxfId="907" priority="98">
      <formula>ABS(F$7-F$10)&gt;=1000</formula>
    </cfRule>
  </conditionalFormatting>
  <conditionalFormatting sqref="G4:G11">
    <cfRule type="expression" dxfId="906" priority="97">
      <formula>ABS(G$7-G$10)&gt;=1000</formula>
    </cfRule>
  </conditionalFormatting>
  <conditionalFormatting sqref="H4:H11">
    <cfRule type="expression" dxfId="905" priority="96">
      <formula>ABS(H$7-H$10)&gt;=1000</formula>
    </cfRule>
  </conditionalFormatting>
  <conditionalFormatting sqref="I4:I11">
    <cfRule type="expression" dxfId="904" priority="95">
      <formula>ABS(I$7-I$10)&gt;=1000</formula>
    </cfRule>
  </conditionalFormatting>
  <conditionalFormatting sqref="J4:J11">
    <cfRule type="expression" dxfId="903" priority="94">
      <formula>ABS(J$7-J$10)&gt;=1000</formula>
    </cfRule>
  </conditionalFormatting>
  <conditionalFormatting sqref="K4:K11">
    <cfRule type="expression" dxfId="902" priority="93">
      <formula>ABS(K$7-K$10)&gt;=1000</formula>
    </cfRule>
  </conditionalFormatting>
  <conditionalFormatting sqref="L4:L11">
    <cfRule type="expression" dxfId="901" priority="92">
      <formula>ABS(L$7-L$10)&gt;=1000</formula>
    </cfRule>
  </conditionalFormatting>
  <conditionalFormatting sqref="M4 M6:M11">
    <cfRule type="expression" dxfId="900" priority="91">
      <formula>ABS(M$7-M$10)&gt;=1000</formula>
    </cfRule>
  </conditionalFormatting>
  <conditionalFormatting sqref="N4 N6:N11">
    <cfRule type="expression" dxfId="899" priority="90">
      <formula>ABS(N$7-N$10)&gt;=1000</formula>
    </cfRule>
  </conditionalFormatting>
  <conditionalFormatting sqref="O4 O6:O11">
    <cfRule type="expression" dxfId="898" priority="89">
      <formula>ABS(O$7-O$10)&gt;=1000</formula>
    </cfRule>
  </conditionalFormatting>
  <conditionalFormatting sqref="P4 P6:P11">
    <cfRule type="expression" dxfId="897" priority="88">
      <formula>ABS(P$7-P$10)&gt;=1000</formula>
    </cfRule>
  </conditionalFormatting>
  <conditionalFormatting sqref="Q4:Q11">
    <cfRule type="expression" dxfId="896" priority="87">
      <formula>ABS(Q$7-Q$10)&gt;=1000</formula>
    </cfRule>
  </conditionalFormatting>
  <conditionalFormatting sqref="R4:R11">
    <cfRule type="expression" dxfId="895" priority="86">
      <formula>ABS(R$7-R$10)&gt;=1000</formula>
    </cfRule>
  </conditionalFormatting>
  <conditionalFormatting sqref="S4:S11">
    <cfRule type="expression" dxfId="894" priority="85">
      <formula>ABS(S$7-S$10)&gt;=1000</formula>
    </cfRule>
  </conditionalFormatting>
  <conditionalFormatting sqref="T4:T9 T11">
    <cfRule type="expression" dxfId="893" priority="84">
      <formula>ABS(T$7-T$10)&gt;=1000</formula>
    </cfRule>
  </conditionalFormatting>
  <conditionalFormatting sqref="U4:U9 U11">
    <cfRule type="expression" dxfId="892" priority="83">
      <formula>ABS(U$7-U$10)&gt;=1000</formula>
    </cfRule>
  </conditionalFormatting>
  <conditionalFormatting sqref="V4:V9 V11">
    <cfRule type="expression" dxfId="891" priority="82">
      <formula>ABS(V$7-V$10)&gt;=1000</formula>
    </cfRule>
  </conditionalFormatting>
  <conditionalFormatting sqref="W4:W9 W11">
    <cfRule type="expression" dxfId="890" priority="81">
      <formula>ABS(W$7-W$10)&gt;=1000</formula>
    </cfRule>
  </conditionalFormatting>
  <conditionalFormatting sqref="X4:X9 X11">
    <cfRule type="expression" dxfId="889" priority="80">
      <formula>ABS(X$7-X$10)&gt;=1000</formula>
    </cfRule>
  </conditionalFormatting>
  <conditionalFormatting sqref="Y4:Y9 Y11">
    <cfRule type="expression" dxfId="888" priority="79">
      <formula>ABS(Y$7-Y$10)&gt;=1000</formula>
    </cfRule>
  </conditionalFormatting>
  <conditionalFormatting sqref="Z4:Z11">
    <cfRule type="expression" dxfId="887" priority="78">
      <formula>ABS(Z$7-Z$10)&gt;=1000</formula>
    </cfRule>
  </conditionalFormatting>
  <conditionalFormatting sqref="AA4:AA11">
    <cfRule type="expression" dxfId="886" priority="77">
      <formula>ABS(AA$7-AA$10)&gt;=1000</formula>
    </cfRule>
  </conditionalFormatting>
  <conditionalFormatting sqref="AB4:AB11">
    <cfRule type="expression" dxfId="885" priority="76">
      <formula>ABS(AB$7-AB$10)&gt;=1000</formula>
    </cfRule>
  </conditionalFormatting>
  <conditionalFormatting sqref="AC4 AC6:AC11">
    <cfRule type="expression" dxfId="884" priority="75">
      <formula>ABS(AC$7-AC$10)&gt;=1000</formula>
    </cfRule>
  </conditionalFormatting>
  <conditionalFormatting sqref="AD4 AD6:AD11">
    <cfRule type="expression" dxfId="883" priority="74">
      <formula>ABS(AD$7-AD$10)&gt;=1000</formula>
    </cfRule>
  </conditionalFormatting>
  <conditionalFormatting sqref="AE4 AE6:AE11">
    <cfRule type="expression" dxfId="882" priority="73">
      <formula>ABS(AE$7-AE$10)&gt;=1000</formula>
    </cfRule>
  </conditionalFormatting>
  <conditionalFormatting sqref="D13:D20">
    <cfRule type="expression" dxfId="881" priority="72">
      <formula>ABS(D$16-D$19)&gt;=1000</formula>
    </cfRule>
  </conditionalFormatting>
  <conditionalFormatting sqref="E13:E20">
    <cfRule type="expression" dxfId="880" priority="71">
      <formula>ABS(E$16-E$19)&gt;=1000</formula>
    </cfRule>
  </conditionalFormatting>
  <conditionalFormatting sqref="F13 F15:F20">
    <cfRule type="expression" dxfId="879" priority="70">
      <formula>ABS(F$16-F$19)&gt;=1000</formula>
    </cfRule>
  </conditionalFormatting>
  <conditionalFormatting sqref="G13:G20">
    <cfRule type="expression" dxfId="878" priority="69">
      <formula>ABS(G$16-G$19)&gt;=1000</formula>
    </cfRule>
  </conditionalFormatting>
  <conditionalFormatting sqref="H13 H15:H20">
    <cfRule type="expression" dxfId="877" priority="68">
      <formula>ABS(H$16-H$19)&gt;=1000</formula>
    </cfRule>
  </conditionalFormatting>
  <conditionalFormatting sqref="I13:I20">
    <cfRule type="expression" dxfId="876" priority="67">
      <formula>ABS(I$16-I$19)&gt;=1000</formula>
    </cfRule>
  </conditionalFormatting>
  <conditionalFormatting sqref="J13:J20">
    <cfRule type="expression" dxfId="875" priority="66">
      <formula>ABS(J$16-J$19)&gt;=1000</formula>
    </cfRule>
  </conditionalFormatting>
  <conditionalFormatting sqref="L13:L20">
    <cfRule type="expression" dxfId="874" priority="65">
      <formula>ABS(L$16-L$19)&gt;=1000</formula>
    </cfRule>
  </conditionalFormatting>
  <conditionalFormatting sqref="M13 M15 M17:M18 M20">
    <cfRule type="expression" dxfId="873" priority="64">
      <formula>ABS(M$16-M$19)&gt;=1000</formula>
    </cfRule>
  </conditionalFormatting>
  <conditionalFormatting sqref="N13:N20">
    <cfRule type="expression" dxfId="872" priority="63">
      <formula>ABS(N$16-N$19)&gt;=1000</formula>
    </cfRule>
  </conditionalFormatting>
  <conditionalFormatting sqref="O13:O20">
    <cfRule type="expression" dxfId="871" priority="62">
      <formula>ABS(O$16-O$19)&gt;=1000</formula>
    </cfRule>
  </conditionalFormatting>
  <conditionalFormatting sqref="P13:P20">
    <cfRule type="expression" dxfId="870" priority="61">
      <formula>ABS(P$16-P$19)&gt;=1000</formula>
    </cfRule>
  </conditionalFormatting>
  <conditionalFormatting sqref="Q13 Q15:Q20">
    <cfRule type="expression" dxfId="869" priority="60">
      <formula>ABS(Q$16-Q$19)&gt;=1000</formula>
    </cfRule>
  </conditionalFormatting>
  <conditionalFormatting sqref="R13:R20">
    <cfRule type="expression" dxfId="868" priority="59">
      <formula>ABS(R$16-R$19)&gt;=1000</formula>
    </cfRule>
  </conditionalFormatting>
  <conditionalFormatting sqref="S13:S20">
    <cfRule type="expression" dxfId="867" priority="58">
      <formula>ABS(S$16-S$19)&gt;=1000</formula>
    </cfRule>
  </conditionalFormatting>
  <conditionalFormatting sqref="T13:T20">
    <cfRule type="expression" dxfId="866" priority="57">
      <formula>ABS(T$16-T$19)&gt;=1000</formula>
    </cfRule>
  </conditionalFormatting>
  <conditionalFormatting sqref="U13:U20">
    <cfRule type="expression" dxfId="865" priority="56">
      <formula>ABS(U$16-U$19)&gt;=1000</formula>
    </cfRule>
  </conditionalFormatting>
  <conditionalFormatting sqref="V13:V20">
    <cfRule type="expression" dxfId="864" priority="55">
      <formula>ABS(V$16-V$19)&gt;=1000</formula>
    </cfRule>
  </conditionalFormatting>
  <conditionalFormatting sqref="W13 W20 W15:W18">
    <cfRule type="expression" dxfId="863" priority="54">
      <formula>ABS(W$16-W$19)&gt;=1000</formula>
    </cfRule>
  </conditionalFormatting>
  <conditionalFormatting sqref="X13 X15:X20 Y19">
    <cfRule type="expression" dxfId="862" priority="53">
      <formula>ABS(X$16-X$19)&gt;=1000</formula>
    </cfRule>
  </conditionalFormatting>
  <conditionalFormatting sqref="Y13 Y15:Y18 Y20">
    <cfRule type="expression" dxfId="861" priority="52">
      <formula>ABS(Y$16-Y$19)&gt;=1000</formula>
    </cfRule>
  </conditionalFormatting>
  <conditionalFormatting sqref="Z13:Z20">
    <cfRule type="expression" dxfId="860" priority="51">
      <formula>ABS(Z$16-Z$19)&gt;=1000</formula>
    </cfRule>
  </conditionalFormatting>
  <conditionalFormatting sqref="AA13:AA20">
    <cfRule type="expression" dxfId="859" priority="50">
      <formula>ABS(AA$16-AA$19)&gt;=1000</formula>
    </cfRule>
  </conditionalFormatting>
  <conditionalFormatting sqref="AB13 AB15:AB20">
    <cfRule type="expression" dxfId="858" priority="49">
      <formula>ABS(AB$16-AB$19)&gt;=1000</formula>
    </cfRule>
  </conditionalFormatting>
  <conditionalFormatting sqref="AC13 AC15:AC20">
    <cfRule type="expression" dxfId="857" priority="48">
      <formula>ABS(AC$16-AC$19)&gt;=1000</formula>
    </cfRule>
  </conditionalFormatting>
  <conditionalFormatting sqref="AD13:AD20">
    <cfRule type="expression" dxfId="856" priority="47">
      <formula>ABS(AD$16-AD$19)&gt;=1000</formula>
    </cfRule>
  </conditionalFormatting>
  <conditionalFormatting sqref="AE13:AE20">
    <cfRule type="expression" dxfId="855" priority="46">
      <formula>ABS(AE$16-AE$19)&gt;=1000</formula>
    </cfRule>
  </conditionalFormatting>
  <conditionalFormatting sqref="D22:D29">
    <cfRule type="expression" dxfId="854" priority="45">
      <formula>ABS(D$25-D$28)&gt;=1000</formula>
    </cfRule>
  </conditionalFormatting>
  <conditionalFormatting sqref="E22:E29">
    <cfRule type="expression" dxfId="853" priority="44">
      <formula>ABS(E$25-E$28)&gt;=1000</formula>
    </cfRule>
  </conditionalFormatting>
  <conditionalFormatting sqref="F22:F29">
    <cfRule type="expression" dxfId="852" priority="43">
      <formula>ABS(F$25-F$28)&gt;=1000</formula>
    </cfRule>
  </conditionalFormatting>
  <conditionalFormatting sqref="G22:G29">
    <cfRule type="expression" dxfId="851" priority="42">
      <formula>ABS(G$25-G$28)&gt;=1000</formula>
    </cfRule>
  </conditionalFormatting>
  <conditionalFormatting sqref="H22:H29">
    <cfRule type="expression" dxfId="850" priority="41">
      <formula>ABS(H$25-H$28)&gt;=1000</formula>
    </cfRule>
  </conditionalFormatting>
  <conditionalFormatting sqref="I22 I24:I29">
    <cfRule type="expression" dxfId="849" priority="40">
      <formula>ABS(I$25-I$28)&gt;=1000</formula>
    </cfRule>
  </conditionalFormatting>
  <conditionalFormatting sqref="J22:J29 K22">
    <cfRule type="expression" dxfId="848" priority="39">
      <formula>ABS(J$25-J$28)&gt;=1000</formula>
    </cfRule>
  </conditionalFormatting>
  <conditionalFormatting sqref="K23:K29 L25 L28">
    <cfRule type="expression" dxfId="847" priority="38">
      <formula>ABS(K$25-K$28)&gt;=1000</formula>
    </cfRule>
  </conditionalFormatting>
  <conditionalFormatting sqref="L22 L26:L27 L29 L24">
    <cfRule type="expression" dxfId="846" priority="37">
      <formula>ABS(L$25-L$28)&gt;=1000</formula>
    </cfRule>
  </conditionalFormatting>
  <conditionalFormatting sqref="M22:M29">
    <cfRule type="expression" dxfId="845" priority="36">
      <formula>ABS(M$25-M$28)&gt;=1000</formula>
    </cfRule>
  </conditionalFormatting>
  <conditionalFormatting sqref="N22:N29">
    <cfRule type="expression" dxfId="844" priority="35">
      <formula>ABS(N$25-N$28)&gt;=1000</formula>
    </cfRule>
  </conditionalFormatting>
  <conditionalFormatting sqref="O22:O29">
    <cfRule type="expression" dxfId="843" priority="34">
      <formula>ABS(O$25-O$28)&gt;=1000</formula>
    </cfRule>
  </conditionalFormatting>
  <conditionalFormatting sqref="P22:P29">
    <cfRule type="expression" dxfId="842" priority="33">
      <formula>ABS(P$25-P$28)&gt;=1000</formula>
    </cfRule>
  </conditionalFormatting>
  <conditionalFormatting sqref="Q22:Q29">
    <cfRule type="expression" dxfId="841" priority="32">
      <formula>ABS(Q$25-Q$28)&gt;=1000</formula>
    </cfRule>
  </conditionalFormatting>
  <conditionalFormatting sqref="R22:R29">
    <cfRule type="expression" dxfId="840" priority="31">
      <formula>ABS(R$25-R$28)&gt;=1000</formula>
    </cfRule>
  </conditionalFormatting>
  <conditionalFormatting sqref="S22:S29">
    <cfRule type="expression" dxfId="839" priority="30">
      <formula>ABS(S$25-S$28)&gt;=1000</formula>
    </cfRule>
  </conditionalFormatting>
  <conditionalFormatting sqref="T22:T29">
    <cfRule type="expression" dxfId="838" priority="29">
      <formula>ABS(T$25-T$28)&gt;=1000</formula>
    </cfRule>
  </conditionalFormatting>
  <conditionalFormatting sqref="U22:U29">
    <cfRule type="expression" dxfId="837" priority="28">
      <formula>ABS(U$25-U$28)&gt;=1000</formula>
    </cfRule>
  </conditionalFormatting>
  <conditionalFormatting sqref="V22:V29">
    <cfRule type="expression" dxfId="836" priority="27">
      <formula>ABS(V$25-V$28)&gt;=1000</formula>
    </cfRule>
  </conditionalFormatting>
  <conditionalFormatting sqref="W22:W29">
    <cfRule type="expression" dxfId="835" priority="26">
      <formula>ABS(W$25-W$28)&gt;=1000</formula>
    </cfRule>
  </conditionalFormatting>
  <conditionalFormatting sqref="X22:X29">
    <cfRule type="expression" dxfId="834" priority="25">
      <formula>ABS(X$25-X$28)&gt;=1000</formula>
    </cfRule>
  </conditionalFormatting>
  <conditionalFormatting sqref="Y22:Y29">
    <cfRule type="expression" dxfId="833" priority="24">
      <formula>ABS(Y$25-Y$28)&gt;=1000</formula>
    </cfRule>
  </conditionalFormatting>
  <conditionalFormatting sqref="I23">
    <cfRule type="expression" dxfId="832" priority="23">
      <formula>ABS(I$25-I$28)&gt;=1000</formula>
    </cfRule>
  </conditionalFormatting>
  <conditionalFormatting sqref="Q14">
    <cfRule type="expression" dxfId="831" priority="22">
      <formula>ABS(Q$16-Q$19)&gt;=1000</formula>
    </cfRule>
  </conditionalFormatting>
  <conditionalFormatting sqref="W14">
    <cfRule type="expression" dxfId="830" priority="21">
      <formula>ABS(W$16-W$19)&gt;=1000</formula>
    </cfRule>
  </conditionalFormatting>
  <conditionalFormatting sqref="X14">
    <cfRule type="expression" dxfId="829" priority="20">
      <formula>ABS(X$16-X$19)&gt;=1000</formula>
    </cfRule>
  </conditionalFormatting>
  <conditionalFormatting sqref="T10:Y10">
    <cfRule type="expression" dxfId="828" priority="19">
      <formula>ABS(T$7-T$10)&gt;=1000</formula>
    </cfRule>
  </conditionalFormatting>
  <conditionalFormatting sqref="W19">
    <cfRule type="expression" dxfId="827" priority="18">
      <formula>ABS(W$16-W$19)&gt;=1000</formula>
    </cfRule>
  </conditionalFormatting>
  <conditionalFormatting sqref="AC5">
    <cfRule type="expression" dxfId="826" priority="17">
      <formula>ABS(AC$7-AC$10)&gt;=1000</formula>
    </cfRule>
  </conditionalFormatting>
  <conditionalFormatting sqref="M14">
    <cfRule type="expression" dxfId="825" priority="16">
      <formula>ABS(M$16-M$19)&gt;=1000</formula>
    </cfRule>
  </conditionalFormatting>
  <conditionalFormatting sqref="M16">
    <cfRule type="expression" dxfId="824" priority="15">
      <formula>ABS(M$16-M$19)&gt;=1000</formula>
    </cfRule>
  </conditionalFormatting>
  <conditionalFormatting sqref="M19">
    <cfRule type="expression" dxfId="823" priority="14">
      <formula>ABS(M$16-M$19)&gt;=1000</formula>
    </cfRule>
  </conditionalFormatting>
  <conditionalFormatting sqref="K13:K20">
    <cfRule type="expression" dxfId="822" priority="13">
      <formula>ABS(K$16-K$19)&gt;=1000</formula>
    </cfRule>
  </conditionalFormatting>
  <conditionalFormatting sqref="E5">
    <cfRule type="expression" dxfId="821" priority="12">
      <formula>ABS(E$7-E$10)&gt;=1000</formula>
    </cfRule>
  </conditionalFormatting>
  <conditionalFormatting sqref="AB14:AC14">
    <cfRule type="expression" dxfId="820" priority="11">
      <formula>ABS(AB$16-AB$19)&gt;=1000</formula>
    </cfRule>
  </conditionalFormatting>
  <conditionalFormatting sqref="M5">
    <cfRule type="expression" dxfId="819" priority="10">
      <formula>ABS(M$7-M$10)&gt;=1000</formula>
    </cfRule>
  </conditionalFormatting>
  <conditionalFormatting sqref="N5">
    <cfRule type="expression" dxfId="818" priority="9">
      <formula>ABS(N$7-N$10)&gt;=1000</formula>
    </cfRule>
  </conditionalFormatting>
  <conditionalFormatting sqref="O5">
    <cfRule type="expression" dxfId="817" priority="8">
      <formula>ABS(O$7-O$10)&gt;=1000</formula>
    </cfRule>
  </conditionalFormatting>
  <conditionalFormatting sqref="P5">
    <cfRule type="expression" dxfId="816" priority="7">
      <formula>ABS(P$7-P$10)&gt;=1000</formula>
    </cfRule>
  </conditionalFormatting>
  <conditionalFormatting sqref="L23">
    <cfRule type="expression" dxfId="815" priority="6">
      <formula>ABS(L$25-L$28)&gt;=1000</formula>
    </cfRule>
  </conditionalFormatting>
  <conditionalFormatting sqref="Y14">
    <cfRule type="expression" dxfId="814" priority="5">
      <formula>ABS(Y$16-Y$19)&gt;=1000</formula>
    </cfRule>
  </conditionalFormatting>
  <conditionalFormatting sqref="F14">
    <cfRule type="expression" dxfId="813" priority="4">
      <formula>ABS(F$16-F$19)&gt;=1000</formula>
    </cfRule>
  </conditionalFormatting>
  <conditionalFormatting sqref="H14">
    <cfRule type="expression" dxfId="812" priority="3">
      <formula>ABS(H$16-H$19)&gt;=1000</formula>
    </cfRule>
  </conditionalFormatting>
  <conditionalFormatting sqref="AD5">
    <cfRule type="expression" dxfId="811" priority="2">
      <formula>ABS(AD$7-AD$10)&gt;=1000</formula>
    </cfRule>
  </conditionalFormatting>
  <conditionalFormatting sqref="AE5">
    <cfRule type="expression" dxfId="81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90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94">
    <pageSetUpPr fitToPage="1"/>
  </sheetPr>
  <dimension ref="A1:CU223"/>
  <sheetViews>
    <sheetView view="pageBreakPreview" topLeftCell="D4" zoomScale="70" zoomScaleNormal="100" zoomScaleSheetLayoutView="70" workbookViewId="0">
      <selection activeCell="AD17" sqref="AD1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46164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2" t="s" ph="1">
        <v>177</v>
      </c>
      <c r="D6" s="71">
        <v>0</v>
      </c>
      <c r="E6" s="71">
        <v>8162</v>
      </c>
      <c r="F6" s="71">
        <v>5838</v>
      </c>
      <c r="G6" s="71">
        <v>1655</v>
      </c>
      <c r="H6" s="71">
        <v>6858</v>
      </c>
      <c r="I6" s="71">
        <v>52.36</v>
      </c>
      <c r="J6" s="71">
        <v>6.2</v>
      </c>
      <c r="K6" s="71">
        <v>7.4</v>
      </c>
      <c r="L6" s="71">
        <v>6.92</v>
      </c>
      <c r="M6" s="71">
        <v>6389</v>
      </c>
      <c r="N6" s="71">
        <v>1569</v>
      </c>
      <c r="O6" s="71">
        <v>1178</v>
      </c>
      <c r="P6" s="71">
        <v>1882</v>
      </c>
      <c r="Q6" s="71">
        <v>0</v>
      </c>
      <c r="R6" s="71">
        <v>0</v>
      </c>
      <c r="S6" s="71">
        <v>2688</v>
      </c>
      <c r="T6" s="71">
        <v>6359</v>
      </c>
      <c r="U6" s="71">
        <v>3183</v>
      </c>
      <c r="V6" s="71">
        <v>0</v>
      </c>
      <c r="W6" s="71">
        <v>0</v>
      </c>
      <c r="X6" s="71">
        <v>0</v>
      </c>
      <c r="Y6" s="71">
        <v>0</v>
      </c>
      <c r="Z6" s="71">
        <v>4780</v>
      </c>
      <c r="AA6" s="71">
        <v>0</v>
      </c>
      <c r="AB6" s="71">
        <v>4093</v>
      </c>
      <c r="AC6" s="71">
        <v>5664</v>
      </c>
      <c r="AD6" s="71">
        <v>3544</v>
      </c>
      <c r="AE6" s="71">
        <v>5776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0</v>
      </c>
      <c r="E7" s="73" ph="1">
        <f>E6*51.53*LOOKUP(E8,密度!$A$2:$A$50,密度!$B$2:$B$50)</f>
        <v>327890.29565599997</v>
      </c>
      <c r="F7" s="73" ph="1">
        <f>F6*33.183*LOOKUP(F8,密度!$A$2:$A$50,密度!$C$2:$C$50)</f>
        <v>214528.13481959997</v>
      </c>
      <c r="G7" s="73" ph="1">
        <f xml:space="preserve"> (G6+2)*51.53*LOOKUP(G8,密度!$A$2:$A$50,密度!$B$2:$B$50)</f>
        <v>66643.156405000002</v>
      </c>
      <c r="H7" s="73" ph="1">
        <f>(H6)*51.53*LOOKUP(H8,密度!$A$2:$A$50,密度!$B$2:$B$50)</f>
        <v>275823.03356999997</v>
      </c>
      <c r="I7" s="73" ph="1">
        <f>I6*290.8*1.0267</f>
        <v>15632.8298896</v>
      </c>
      <c r="J7" s="73" ph="1">
        <f>J6*290.8*0.7892</f>
        <v>1422.8960320000001</v>
      </c>
      <c r="K7" s="73" ph="1">
        <f>K6*290.8*1.1126</f>
        <v>2394.2261920000001</v>
      </c>
      <c r="L7" s="73" ph="1">
        <f>L6*290.8*0.777</f>
        <v>1563.5850720000001</v>
      </c>
      <c r="M7" s="73" ph="1">
        <f>M6*33.183*LOOKUP(M8,密度!$A$2:$A$50,密度!$D$2:$D$50)</f>
        <v>216670.323114</v>
      </c>
      <c r="N7" s="73" ph="1">
        <f>N6*33.183*LOOKUP(N8,密度!$A$2:$A$50,密度!$E$2:$E$50)</f>
        <v>40542.335694900001</v>
      </c>
      <c r="O7" s="73" ph="1">
        <f>O6*20.428*LOOKUP(O8,密度!$A$2:$A$50,密度!$C$2:$C$50)</f>
        <v>26593.3297384</v>
      </c>
      <c r="P7" s="73" ph="1">
        <f>P6*51.53*LOOKUP(P8,密度!$A$2:$A$50,密度!$B$2:$B$50)</f>
        <v>75440.321934000007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17822.372198399997</v>
      </c>
      <c r="T7" s="73" ph="1">
        <f>T6*1.5*1.5*3.1416*LOOKUP(T8,密度!$A$2:$A$50,密度!$L$2:$L$50)</f>
        <v>42207.324528599995</v>
      </c>
      <c r="U7" s="73" ph="1">
        <f>U6*1.5*1.5*3.1416*LOOKUP(U8,密度!$A$2:$A$50,密度!$L$2:$L$50)</f>
        <v>21081.894510600003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147828.93768</v>
      </c>
      <c r="AA7" s="73" ph="1">
        <f>AA6*33.183*LOOKUP(AA8,密度!$A$2:$A$50,密度!$D$2:$D$50)</f>
        <v>0</v>
      </c>
      <c r="AB7" s="73" ph="1">
        <f>AB6*20.428*LOOKUP(AB8,密度!$A$2:$A$50,密度!$D$2:$D$50)</f>
        <v>86161.964022</v>
      </c>
      <c r="AC7" s="73" ph="1">
        <f>AC6*51.53*LOOKUP(AC8,密度!$A$2:$A$50,密度!$Q$2:$Q$50)</f>
        <v>277383.53304959997</v>
      </c>
      <c r="AD7" s="73" ph="1">
        <f>AD6*20.428*LOOKUP(AD8,密度!$A$2:$A$50,密度!$V$2:$V$50)</f>
        <v>69327.206323200007</v>
      </c>
      <c r="AE7" s="73" ph="1">
        <f>AE6*20.428</f>
        <v>117992.12800000001</v>
      </c>
    </row>
    <row r="8" spans="1:99" ph="1">
      <c r="B8" s="241" ph="1"/>
      <c r="C8" s="68" t="s" ph="1">
        <v>179</v>
      </c>
      <c r="D8" s="74">
        <v>25</v>
      </c>
      <c r="E8" s="74">
        <v>25</v>
      </c>
      <c r="F8" s="74">
        <v>27</v>
      </c>
      <c r="G8" s="74">
        <v>24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29</v>
      </c>
      <c r="O8" s="74">
        <v>30</v>
      </c>
      <c r="P8" s="74">
        <v>27</v>
      </c>
      <c r="Q8" s="74">
        <v>29</v>
      </c>
      <c r="R8" s="74">
        <v>33</v>
      </c>
      <c r="S8" s="74">
        <v>24</v>
      </c>
      <c r="T8" s="74">
        <v>23</v>
      </c>
      <c r="U8" s="74">
        <v>25</v>
      </c>
      <c r="V8" s="74">
        <v>27</v>
      </c>
      <c r="W8" s="74">
        <v>27</v>
      </c>
      <c r="X8" s="74">
        <v>17</v>
      </c>
      <c r="Y8" s="74">
        <v>27</v>
      </c>
      <c r="Z8" s="74">
        <v>30</v>
      </c>
      <c r="AA8" s="74">
        <v>23</v>
      </c>
      <c r="AB8" s="74">
        <v>21</v>
      </c>
      <c r="AC8" s="74">
        <v>20</v>
      </c>
      <c r="AD8" s="74">
        <v>27</v>
      </c>
      <c r="AE8" s="74">
        <v>31</v>
      </c>
    </row>
    <row r="9" spans="1:99" ht="26.4" ph="1">
      <c r="B9" s="241" ph="1">
        <v>0.66666666666666663</v>
      </c>
      <c r="C9" s="162" t="s" ph="1">
        <v>180</v>
      </c>
      <c r="D9" s="71">
        <v>0</v>
      </c>
      <c r="E9" s="71">
        <v>8166</v>
      </c>
      <c r="F9" s="71">
        <v>5842</v>
      </c>
      <c r="G9" s="71">
        <v>1657</v>
      </c>
      <c r="H9" s="71">
        <v>6587</v>
      </c>
      <c r="I9" s="71">
        <v>52.42</v>
      </c>
      <c r="J9" s="71">
        <v>6.25</v>
      </c>
      <c r="K9" s="71">
        <v>7.35</v>
      </c>
      <c r="L9" s="71">
        <v>41.88</v>
      </c>
      <c r="M9" s="71">
        <v>6392</v>
      </c>
      <c r="N9" s="71">
        <v>1570</v>
      </c>
      <c r="O9" s="71">
        <v>1178</v>
      </c>
      <c r="P9" s="71">
        <v>1639</v>
      </c>
      <c r="Q9" s="71">
        <v>0</v>
      </c>
      <c r="R9" s="71">
        <v>0</v>
      </c>
      <c r="S9" s="71">
        <v>0</v>
      </c>
      <c r="T9" s="71">
        <v>7302</v>
      </c>
      <c r="U9" s="71">
        <v>7165</v>
      </c>
      <c r="V9" s="71">
        <v>552</v>
      </c>
      <c r="W9" s="71">
        <v>0</v>
      </c>
      <c r="X9" s="71">
        <v>0</v>
      </c>
      <c r="Y9" s="71">
        <v>0</v>
      </c>
      <c r="Z9" s="71">
        <v>5417</v>
      </c>
      <c r="AA9" s="71">
        <v>0</v>
      </c>
      <c r="AB9" s="71">
        <v>4096</v>
      </c>
      <c r="AC9" s="71">
        <v>5927</v>
      </c>
      <c r="AD9" s="71">
        <v>3545</v>
      </c>
      <c r="AE9" s="71">
        <v>5887</v>
      </c>
    </row>
    <row r="10" spans="1:99" s="72" customFormat="1" ht="22.2" ph="1">
      <c r="B10" s="241" ph="1"/>
      <c r="C10" s="162" t="s" ph="1">
        <v>178</v>
      </c>
      <c r="D10" s="73" ph="1">
        <f>D9*33.183*LOOKUP(D11,密度!$A$2:$A$50,密度!$Q$2:$Q$50)</f>
        <v>0</v>
      </c>
      <c r="E10" s="73" ph="1">
        <f>E9*51.53*LOOKUP(E11,密度!$A$2:$A$50,密度!$B$2:$B$50)</f>
        <v>326956.92245999997</v>
      </c>
      <c r="F10" s="73" ph="1">
        <f>F9*33.183*LOOKUP(F11,密度!$A$2:$A$50,密度!$C$2:$C$50)</f>
        <v>214520.03816760003</v>
      </c>
      <c r="G10" s="73" ph="1">
        <f xml:space="preserve"> (G9+2)*51.53*LOOKUP(G11,密度!$A$2:$A$50,密度!$B$2:$B$50)</f>
        <v>66355.995173999996</v>
      </c>
      <c r="H10" s="73" ph="1">
        <f>(H9)*51.53*LOOKUP(H11,密度!$A$2:$A$50,密度!$B$2:$B$50)</f>
        <v>263464.09898199997</v>
      </c>
      <c r="I10" s="73" ph="1">
        <f>I9*290.8*1.0267</f>
        <v>15650.7437512</v>
      </c>
      <c r="J10" s="73" ph="1">
        <f>J9*290.8*0.7892</f>
        <v>1434.3710000000001</v>
      </c>
      <c r="K10" s="73" ph="1">
        <f>K9*290.8*1.1126</f>
        <v>2378.048988</v>
      </c>
      <c r="L10" s="73" ph="1">
        <f>L9*290.8*0.777</f>
        <v>9462.8530080000019</v>
      </c>
      <c r="M10" s="73" ph="1">
        <f>M9*33.183*LOOKUP(M11,密度!$A$2:$A$50,密度!$D$2:$D$50)</f>
        <v>216029.69211599999</v>
      </c>
      <c r="N10" s="73" ph="1">
        <f>N9*33.183*LOOKUP(N11,密度!$A$2:$A$50,密度!$E$2:$E$50)</f>
        <v>40450.956349499997</v>
      </c>
      <c r="O10" s="73" ph="1">
        <f>O9*20.428*LOOKUP(O11,密度!$A$2:$A$50,密度!$C$2:$C$50)</f>
        <v>26542.794952</v>
      </c>
      <c r="P10" s="73" ph="1">
        <f>P9*51.53*LOOKUP(P11,密度!$A$2:$A$50,密度!$B$2:$B$50)</f>
        <v>65184.429706000003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48414.792333599995</v>
      </c>
      <c r="U10" s="73" ph="1">
        <f>U9*1.5*1.5*3.1416*LOOKUP(U11,密度!$A$2:$A$50,密度!$L$2:$L$50)</f>
        <v>47303.848746000003</v>
      </c>
      <c r="V10" s="73" ph="1">
        <f>V9*1.5*1.5*3.1416*LOOKUP(V11,密度!$A$2:$A$50,密度!$L$2:$L$50)</f>
        <v>3644.3439648000003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166989.89691899999</v>
      </c>
      <c r="AA10" s="73" ph="1">
        <f>AA9*33.183*LOOKUP(AA11,密度!$A$2:$A$50,密度!$D$2:$D$50)</f>
        <v>0</v>
      </c>
      <c r="AB10" s="73" ph="1">
        <f>AB9*20.428*LOOKUP(AB11,密度!$A$2:$A$50,密度!$D$2:$D$50)</f>
        <v>85982.465228800007</v>
      </c>
      <c r="AC10" s="73" ph="1">
        <f>AC9*51.53*LOOKUP(AC11,密度!$A$2:$A$50,密度!$Q$2:$Q$50)</f>
        <v>287673.50618899998</v>
      </c>
      <c r="AD10" s="73" ph="1">
        <f>AD9*20.428*LOOKUP(AD11,密度!$A$2:$A$50,密度!$V$2:$V$50)</f>
        <v>69346.768176000012</v>
      </c>
      <c r="AE10" s="73" ph="1">
        <f>AE9*20.428</f>
        <v>120259.636</v>
      </c>
    </row>
    <row r="11" spans="1:99" ph="1">
      <c r="A11" s="64" t="s" ph="1">
        <v>162</v>
      </c>
      <c r="B11" s="241" ph="1"/>
      <c r="C11" s="162" t="s" ph="1">
        <v>179</v>
      </c>
      <c r="D11" s="74">
        <v>32</v>
      </c>
      <c r="E11" s="74">
        <v>28</v>
      </c>
      <c r="F11" s="74">
        <v>28</v>
      </c>
      <c r="G11" s="74">
        <v>29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34</v>
      </c>
      <c r="N11" s="74">
        <v>31</v>
      </c>
      <c r="O11" s="74">
        <v>32</v>
      </c>
      <c r="P11" s="74">
        <v>34</v>
      </c>
      <c r="Q11" s="74">
        <v>35</v>
      </c>
      <c r="R11" s="74">
        <v>38</v>
      </c>
      <c r="S11" s="74">
        <v>29</v>
      </c>
      <c r="T11" s="74">
        <v>24</v>
      </c>
      <c r="U11" s="74">
        <v>28</v>
      </c>
      <c r="V11" s="74">
        <v>28</v>
      </c>
      <c r="W11" s="74">
        <v>35</v>
      </c>
      <c r="X11" s="74">
        <v>27</v>
      </c>
      <c r="Y11" s="74">
        <v>34</v>
      </c>
      <c r="Z11" s="74">
        <v>33</v>
      </c>
      <c r="AA11" s="74">
        <v>39</v>
      </c>
      <c r="AB11" s="74">
        <v>24</v>
      </c>
      <c r="AC11" s="74">
        <v>32</v>
      </c>
      <c r="AD11" s="74">
        <v>32</v>
      </c>
      <c r="AE11" s="74">
        <v>35</v>
      </c>
    </row>
    <row r="12" spans="1:99" ht="9.9" customHeight="1" ph="1"/>
    <row r="13" spans="1:99" s="72" customFormat="1" ht="29.25" customHeight="1" ph="1">
      <c r="B13" s="218" t="s" ph="1">
        <v>37</v>
      </c>
      <c r="C13" s="16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2" t="s" ph="1">
        <v>177</v>
      </c>
      <c r="D15" s="78">
        <v>0</v>
      </c>
      <c r="E15" s="78">
        <v>241</v>
      </c>
      <c r="F15" s="78">
        <v>1954</v>
      </c>
      <c r="G15" s="78">
        <v>1936</v>
      </c>
      <c r="H15" s="78">
        <v>0</v>
      </c>
      <c r="I15" s="78">
        <v>5177</v>
      </c>
      <c r="J15" s="78">
        <v>5259</v>
      </c>
      <c r="K15" s="78">
        <v>2279</v>
      </c>
      <c r="L15" s="78">
        <v>5498</v>
      </c>
      <c r="M15" s="78">
        <v>4759</v>
      </c>
      <c r="N15" s="78">
        <v>873</v>
      </c>
      <c r="O15" s="78">
        <v>1963</v>
      </c>
      <c r="P15" s="78">
        <v>5322</v>
      </c>
      <c r="Q15" s="78">
        <v>783</v>
      </c>
      <c r="R15" s="78">
        <v>0</v>
      </c>
      <c r="S15" s="78">
        <v>5256</v>
      </c>
      <c r="T15" s="78">
        <v>6306</v>
      </c>
      <c r="U15" s="78">
        <v>1263</v>
      </c>
      <c r="V15" s="78">
        <v>2216</v>
      </c>
      <c r="W15" s="71">
        <v>-730</v>
      </c>
      <c r="X15" s="78">
        <v>-321</v>
      </c>
      <c r="Y15" s="106">
        <v>-2367</v>
      </c>
      <c r="Z15" s="78">
        <v>1953</v>
      </c>
      <c r="AA15" s="78">
        <v>257</v>
      </c>
      <c r="AB15" s="78" ph="1">
        <v>2751</v>
      </c>
      <c r="AC15" s="78" ph="1">
        <v>390</v>
      </c>
      <c r="AD15" s="78">
        <v>5.23</v>
      </c>
      <c r="AE15" s="78">
        <v>45.17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2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1592.802981</v>
      </c>
      <c r="F16" s="73" ph="1">
        <f>F15*9.0746*LOOKUP(F17,密度!$A$2:$A$50,密度!$L$2:$L$50)</f>
        <v>16472.812843600001</v>
      </c>
      <c r="G16" s="73" ph="1">
        <f>G15*9.0746*LOOKUP(G17,密度!$A$2:$A$50,密度!$B$2:$B$50)</f>
        <v>13666.47827424</v>
      </c>
      <c r="H16" s="73" ph="1">
        <f>H15*9.0746*LOOKUP(H17,密度!$A$2:$A$50,密度!$L$2:$L$50)</f>
        <v>0</v>
      </c>
      <c r="I16" s="73" ph="1">
        <f>I15*9.0746*LOOKUP(I17,密度!$A$2:$A$50,密度!$U$2:$U$50)</f>
        <v>48012.746692400004</v>
      </c>
      <c r="J16" s="73" ph="1">
        <f>J15*9.0746*LOOKUP(J17,密度!$A$2:$A$50,密度!$L$2:$L$50)</f>
        <v>44525.858866200004</v>
      </c>
      <c r="K16" s="73" ph="1">
        <f>K15*9.0746*LOOKUP(K17,密度!$A$2:$A$50,密度!$C$2:$C$50)</f>
        <v>22902.154239159998</v>
      </c>
      <c r="L16" s="73" ph="1">
        <f>L15*9.0746*LOOKUP(L17,密度!$A$2:$A$50,密度!$E$2:$E$50)</f>
        <v>38796.136462080001</v>
      </c>
      <c r="M16" s="73" ph="1">
        <f>M15*9.0746*LOOKUP(M17,密度!$A$2:$A$50,密度!$M$2:$M$50)</f>
        <v>37567.520015859998</v>
      </c>
      <c r="N16" s="73" ph="1">
        <f>N15*9.0746*LOOKUP(N17,密度!$A$2:$A$50,密度!$M$2:$M$50)</f>
        <v>6916.8080359799997</v>
      </c>
      <c r="O16" s="73" ph="1">
        <f>O15*9.0746*LOOKUP(O17,密度!$A$2:$A$50,密度!$G$2:$G$50)</f>
        <v>17006.490977059999</v>
      </c>
      <c r="P16" s="73" ph="1">
        <f ca="1">P15*9.0746*LOOKUP(P17,密度!$A$2:$A$51,密度!$Q$2:$Q$50)</f>
        <v>45620.442925944</v>
      </c>
      <c r="Q16" s="73" ph="1">
        <f>Q15*9.0746*LOOKUP(Q17,密度!$A$2:$A$50,密度!$Q$2:$Q$50)</f>
        <v>6716.887882776</v>
      </c>
      <c r="R16" s="73" ph="1">
        <f>MAX(R15*9.0746*LOOKUP(R17,密度!$A$2:$A$50,密度!$B$2:$B$50),0)</f>
        <v>0</v>
      </c>
      <c r="S16" s="73" ph="1">
        <f>S15*9.0746*LOOKUP(S17,密度!$A$2:$A$50,密度!$Q$2:$Q$50)</f>
        <v>45021.777407568006</v>
      </c>
      <c r="T16" s="73" ph="1">
        <f>T15*9.0746*LOOKUP(T17,密度!$A$2:$A$50,密度!$O$2:$O$50)</f>
        <v>52989.819957600004</v>
      </c>
      <c r="U16" s="73" ph="1">
        <f>U15*9.0746*LOOKUP(U17,密度!$A$2:$A$50,密度!$H$2:$H$50)</f>
        <v>10441.171237800001</v>
      </c>
      <c r="V16" s="73" ph="1">
        <f>MAX(5600*LOOKUP(V17,密度!$A$2:$A$50,密度!$Q$2:$Q$50)+V15*9.0476*LOOKUP(V17,密度!$A$2:$A$50,密度!$Q$2:$Q$50),0)</f>
        <v>24159.246719039998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2806.7840804799998</v>
      </c>
      <c r="Y16" s="107" ph="1">
        <v>0</v>
      </c>
      <c r="Z16" s="73" ph="1">
        <f>Z15*9.0746*LOOKUP(Z17,密度!$A$2:$A$50,密度!$D$2:$D$50)</f>
        <v>18128.543488020001</v>
      </c>
      <c r="AA16" s="73" ph="1">
        <f>AA15*9.0746*LOOKUP(AA17,密度!$A$2:$A$50,密度!$B$2:$B$50)</f>
        <v>1816.0624921399999</v>
      </c>
      <c r="AB16" s="73" ph="1">
        <f>AB15*9.0746*LOOKUP(AB17,密度!$A$2:$A$50,密度!$L$2:$L$50)</f>
        <v>23291.621551800003</v>
      </c>
      <c r="AC16" s="73" ph="1">
        <f>AC15*9.0746*LOOKUP(AC17,密度!$A$2:$A$50,密度!$L$2:$L$50)</f>
        <v>3312.5919840000001</v>
      </c>
      <c r="AD16" s="73" ph="1">
        <f>AD15*268.68*LOOKUP(AD17,密度!$A$2:$A$50,密度!B2:B50)+IF(AD15&lt;=0,0,1566*LOOKUP(AD17,密度!$A$2:$A$50,密度!B2:B50))</f>
        <v>2316.3447134399999</v>
      </c>
      <c r="AE16" s="73" ph="1">
        <f>AE15*268.68*LOOKUP(AE17,密度!$A$2:$A$50,密度!B2:B50)+IF(AE15&lt;=0,0,1566*LOOKUP(AE17,密度!$A$2:$A$50,密度!B2:B50))</f>
        <v>10682.29405776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27</v>
      </c>
      <c r="E17" s="74">
        <v>27</v>
      </c>
      <c r="F17" s="74">
        <v>33</v>
      </c>
      <c r="G17" s="74">
        <v>27</v>
      </c>
      <c r="H17" s="74">
        <v>25</v>
      </c>
      <c r="I17" s="74">
        <v>28</v>
      </c>
      <c r="J17" s="74">
        <v>29</v>
      </c>
      <c r="K17" s="74">
        <v>27</v>
      </c>
      <c r="L17" s="74">
        <v>30</v>
      </c>
      <c r="M17" s="74">
        <v>30</v>
      </c>
      <c r="N17" s="74">
        <v>27</v>
      </c>
      <c r="O17" s="74">
        <v>30</v>
      </c>
      <c r="P17" s="74">
        <v>28</v>
      </c>
      <c r="Q17" s="74">
        <v>27</v>
      </c>
      <c r="R17" s="74">
        <v>28</v>
      </c>
      <c r="S17" s="74">
        <v>29</v>
      </c>
      <c r="T17" s="74">
        <v>27</v>
      </c>
      <c r="U17" s="74">
        <v>29</v>
      </c>
      <c r="V17" s="74">
        <v>32</v>
      </c>
      <c r="W17" s="74">
        <v>32</v>
      </c>
      <c r="X17" s="74">
        <v>26</v>
      </c>
      <c r="Y17" s="108">
        <v>26</v>
      </c>
      <c r="Z17" s="74">
        <v>29</v>
      </c>
      <c r="AA17" s="74">
        <v>26</v>
      </c>
      <c r="AB17" s="74">
        <v>29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0</v>
      </c>
      <c r="E18" s="71">
        <v>71</v>
      </c>
      <c r="F18" s="71">
        <v>1954</v>
      </c>
      <c r="G18" s="71">
        <v>2006</v>
      </c>
      <c r="H18" s="71">
        <v>0</v>
      </c>
      <c r="I18" s="71">
        <v>4995</v>
      </c>
      <c r="J18" s="71">
        <v>5267</v>
      </c>
      <c r="K18" s="71">
        <v>2280</v>
      </c>
      <c r="L18" s="71">
        <v>3617</v>
      </c>
      <c r="M18" s="71">
        <v>1816</v>
      </c>
      <c r="N18" s="71">
        <v>2531</v>
      </c>
      <c r="O18" s="71">
        <v>1965</v>
      </c>
      <c r="P18" s="71">
        <v>5329</v>
      </c>
      <c r="Q18" s="71">
        <v>783</v>
      </c>
      <c r="R18" s="71">
        <v>0</v>
      </c>
      <c r="S18" s="71">
        <v>5338</v>
      </c>
      <c r="T18" s="71">
        <v>5404</v>
      </c>
      <c r="U18" s="71">
        <v>1264</v>
      </c>
      <c r="V18" s="71">
        <v>955</v>
      </c>
      <c r="W18" s="71">
        <v>-730</v>
      </c>
      <c r="X18" s="71">
        <v>-323</v>
      </c>
      <c r="Y18" s="109">
        <v>-9909</v>
      </c>
      <c r="Z18" s="71">
        <v>1952</v>
      </c>
      <c r="AA18" s="71">
        <v>257</v>
      </c>
      <c r="AB18" s="71">
        <v>2754</v>
      </c>
      <c r="AC18" s="71">
        <v>392</v>
      </c>
      <c r="AD18" s="71">
        <v>15.8</v>
      </c>
      <c r="AE18" s="71">
        <v>84.61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2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465.23404620000002</v>
      </c>
      <c r="F19" s="73" ph="1">
        <f>F18*9.0746*LOOKUP(F20,密度!$A$2:$A$50,密度!$L$2:$L$50)</f>
        <v>16437.349306800003</v>
      </c>
      <c r="G19" s="73" ph="1">
        <f>G18*9.0746*LOOKUP(G20,密度!$A$2:$A$50,密度!$B$2:$B$50)</f>
        <v>14129.67126712</v>
      </c>
      <c r="H19" s="73" ph="1">
        <f>H18*9.0746*LOOKUP(H20,密度!$A$2:$A$50,密度!$L$2:$L$50)</f>
        <v>0</v>
      </c>
      <c r="I19" s="73" ph="1">
        <f>I18*9.0746*LOOKUP(I20,密度!$A$2:$A$50,密度!$U$2:$U$50)</f>
        <v>45935.017201800001</v>
      </c>
      <c r="J19" s="73" ph="1">
        <f>J18*9.0746*LOOKUP(J20,密度!$A$2:$A$50,密度!$L$2:$L$50)</f>
        <v>44259.020253200004</v>
      </c>
      <c r="K19" s="73" ph="1">
        <f>K18*9.0746*LOOKUP(K20,密度!$A$2:$A$50,密度!$C$2:$C$50)</f>
        <v>22864.616248800001</v>
      </c>
      <c r="L19" s="73" ph="1">
        <f>L18*9.0746*LOOKUP(L20,密度!$A$2:$A$50,密度!$E$2:$E$50)</f>
        <v>25485.284955890002</v>
      </c>
      <c r="M19" s="73" ph="1">
        <f>M18*9.0746*LOOKUP(M20,密度!$A$2:$A$50,密度!$M$2:$M$50)</f>
        <v>14301.216779552002</v>
      </c>
      <c r="N19" s="73" ph="1">
        <f>N18*9.0746*LOOKUP(N20,密度!$A$2:$A$50,密度!$M$2:$M$50)</f>
        <v>20053.197181060001</v>
      </c>
      <c r="O19" s="73" ph="1">
        <f>O18*9.0746*LOOKUP(O20,密度!$A$2:$A$50,密度!$G$2:$G$50)</f>
        <v>17006.164745189999</v>
      </c>
      <c r="P19" s="73" ph="1">
        <f ca="1">P18*9.0746*LOOKUP(P20,密度!$A$2:$A$51,密度!$Q$2:$Q$50)</f>
        <v>45618.064745522002</v>
      </c>
      <c r="Q19" s="73" ph="1">
        <f>Q18*9.0746*LOOKUP(Q20,密度!$A$2:$A$50,密度!$Q$2:$Q$50)</f>
        <v>6678.6607672919999</v>
      </c>
      <c r="R19" s="73" ph="1">
        <f>MAX(R18*9.0746*LOOKUP(R20,密度!$A$2:$A$50,密度!$B$2:$B$50),0)</f>
        <v>0</v>
      </c>
      <c r="S19" s="73" ph="1">
        <f>S18*9.0746*LOOKUP(S20,密度!$A$2:$A$50,密度!$Q$2:$Q$50)</f>
        <v>45658.777666184003</v>
      </c>
      <c r="T19" s="73" ph="1">
        <f>T18*9.0746*LOOKUP(T20,密度!$A$2:$A$50,密度!$O$2:$O$50)</f>
        <v>45253.316915520001</v>
      </c>
      <c r="U19" s="73" ph="1">
        <f>U18*9.0746*LOOKUP(U20,密度!$A$2:$A$50,密度!$H$2:$H$50)</f>
        <v>10404.818753183999</v>
      </c>
      <c r="V19" s="73" ph="1">
        <f>MAX(5600*LOOKUP(V20,密度!$A$2:$A$50,密度!$Q$2:$Q$50)+V18*9.0476*LOOKUP(V20,密度!$A$2:$A$50,密度!$Q$2:$Q$50),0)</f>
        <v>13413.087390199998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2775.8940448399999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18087.376565119997</v>
      </c>
      <c r="AA19" s="73" ph="1">
        <f>AA18*9.0746*LOOKUP(AA20,密度!$A$2:$A$50,密度!$B$2:$B$50)</f>
        <v>1799.9705039600001</v>
      </c>
      <c r="AB19" s="73" ph="1">
        <f>AB18*9.0746*LOOKUP(AB20,密度!$A$2:$A$50,密度!$L$2:$L$50)</f>
        <v>23267.038460400003</v>
      </c>
      <c r="AC19" s="73" ph="1">
        <f>AC18*9.0746*LOOKUP(AC20,密度!$A$2:$A$50,密度!$L$2:$L$50)</f>
        <v>3297.5644464000002</v>
      </c>
      <c r="AD19" s="73" ph="1">
        <f>AD18*268.68*LOOKUP(AD20,密度!$A$2:$A$50,密度!B5:B53)+IF(AD18&lt;=0,0,1566*LOOKUP(AD20,密度!$A$2:$A$50,密度!B5:B53))</f>
        <v>4515.2588880000003</v>
      </c>
      <c r="AE19" s="73" ph="1">
        <f>AE18*268.68*LOOKUP(AE20,密度!$A$2:$A$50,密度!B5:B53)+IF(AE18&lt;=0,0,1566*LOOKUP(AE20,密度!$A$2:$A$50,密度!B5:B53))</f>
        <v>18880.334499600001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35</v>
      </c>
      <c r="E20" s="81">
        <v>35</v>
      </c>
      <c r="F20" s="81">
        <v>35</v>
      </c>
      <c r="G20" s="81">
        <v>29</v>
      </c>
      <c r="H20" s="81">
        <v>28</v>
      </c>
      <c r="I20" s="81">
        <v>37</v>
      </c>
      <c r="J20" s="81">
        <v>36</v>
      </c>
      <c r="K20" s="81">
        <v>30</v>
      </c>
      <c r="L20" s="81">
        <v>31</v>
      </c>
      <c r="M20" s="81">
        <v>32</v>
      </c>
      <c r="N20" s="81">
        <v>27</v>
      </c>
      <c r="O20" s="81">
        <v>31</v>
      </c>
      <c r="P20" s="81">
        <v>30</v>
      </c>
      <c r="Q20" s="81">
        <v>35</v>
      </c>
      <c r="R20" s="81">
        <v>36</v>
      </c>
      <c r="S20" s="81">
        <v>31</v>
      </c>
      <c r="T20" s="81">
        <v>31</v>
      </c>
      <c r="U20" s="81">
        <v>33</v>
      </c>
      <c r="V20" s="81">
        <v>32</v>
      </c>
      <c r="W20" s="81">
        <v>32</v>
      </c>
      <c r="X20" s="81">
        <v>30</v>
      </c>
      <c r="Y20" s="110">
        <v>30</v>
      </c>
      <c r="Z20" s="81">
        <v>31</v>
      </c>
      <c r="AA20" s="81">
        <v>34</v>
      </c>
      <c r="AB20" s="81">
        <v>31</v>
      </c>
      <c r="AC20" s="81">
        <v>35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2" t="s" ph="1">
        <v>177</v>
      </c>
      <c r="D24" s="71">
        <v>4.28</v>
      </c>
      <c r="E24" s="71">
        <v>53.48</v>
      </c>
      <c r="F24" s="71">
        <v>0</v>
      </c>
      <c r="G24" s="71">
        <v>3697</v>
      </c>
      <c r="H24" s="71">
        <v>2735</v>
      </c>
      <c r="I24" s="71">
        <v>0</v>
      </c>
      <c r="J24" s="71">
        <v>218</v>
      </c>
      <c r="K24" s="71">
        <v>248</v>
      </c>
      <c r="L24" s="71">
        <v>469</v>
      </c>
      <c r="M24" s="71">
        <v>4867</v>
      </c>
      <c r="N24" s="71">
        <v>2469</v>
      </c>
      <c r="O24" s="71">
        <v>2</v>
      </c>
      <c r="P24" s="71">
        <v>3236</v>
      </c>
      <c r="Q24" s="90">
        <v>3704</v>
      </c>
      <c r="R24" s="71">
        <v>1919</v>
      </c>
      <c r="S24" s="71">
        <v>3163</v>
      </c>
      <c r="T24" s="71">
        <v>149</v>
      </c>
      <c r="U24" s="71">
        <v>6369</v>
      </c>
      <c r="V24" s="71">
        <v>1015</v>
      </c>
      <c r="W24" s="71">
        <v>3889</v>
      </c>
      <c r="X24" s="71">
        <v>3015</v>
      </c>
      <c r="Y24" s="71">
        <v>3486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2571.2988816960001</v>
      </c>
      <c r="E25" s="91" ph="1">
        <f>E24*268.68*LOOKUP(E26,密度!$A$2:$A$50,密度!$C$2:$C$50)+IF(E24&lt;=0,0,1566*LOOKUP(E26,密度!$A$2:$A$50,密度!$C$2:$C$50))</f>
        <v>17670.32859696</v>
      </c>
      <c r="F25" s="91" ph="1">
        <f>F24*11.702*LOOKUP(F26,密度!$A$2:$A$50,密度!$Q$2:$Q$50)</f>
        <v>0</v>
      </c>
      <c r="G25" s="91" ph="1">
        <f>G24*18.322*LOOKUP(G26,密度!$A$2:$A$50,密度!$B$2:$B$50)</f>
        <v>52868.286736999995</v>
      </c>
      <c r="H25" s="91" ph="1">
        <f>H24*18.322*LOOKUP(H26,密度!$A$2:$A$50,密度!$B$2:$B$50)</f>
        <v>39156.477537999999</v>
      </c>
      <c r="I25" s="91" ph="1">
        <f>I24*18.322*LOOKUP(I26,密度!$A$2:$A$50,密度!$Q$2:$Q$50)</f>
        <v>0</v>
      </c>
      <c r="J25" s="91" ph="1">
        <f>J24*18.322*LOOKUP(J26,密度!$A$2:$A$50,密度!$Q$2:$Q$50)</f>
        <v>3787.2966472000003</v>
      </c>
      <c r="K25" s="91" ph="1">
        <f>K24*18.322*LOOKUP(K26,密度!$A$2:$A$50,密度!$Q$2:$Q$50)</f>
        <v>4312.5282910400001</v>
      </c>
      <c r="L25" s="91" ph="1">
        <f>L24*18.322*LOOKUP(L26,密度!$A$2:$A$50,密度!$Q$2:$Q$50)</f>
        <v>8155.5474536199999</v>
      </c>
      <c r="M25" s="91" ph="1">
        <f>M24*18.322*LOOKUP(M26,密度!$A$2:$A$50,密度!$Q$2:$Q$50)</f>
        <v>84554.003586799998</v>
      </c>
      <c r="N25" s="91" ph="1">
        <f>N24*18.322*LOOKUP(N26,密度!$A$2:$A$50,密度!$Q$2:$Q$50)</f>
        <v>42893.740467600001</v>
      </c>
      <c r="O25" s="91" ph="1">
        <f>O24*18.322*LOOKUP(O26,密度!$A$2:$A$50,密度!$C$2:$C$50)</f>
        <v>40.689497600000003</v>
      </c>
      <c r="P25" s="91" ph="1">
        <f>P24*11.702*LOOKUP(P26,密度!$A$2:$A$50,密度!$B$2:$B$50)</f>
        <v>29589.798900799997</v>
      </c>
      <c r="Q25" s="92" ph="1">
        <f>Q24*18.322*LOOKUP(Q26,密度!$A$2:$A$50,密度!$B$2:$B$50)</f>
        <v>53090.545422399999</v>
      </c>
      <c r="R25" s="91" ph="1">
        <f>R24*35.891*LOOKUP(R26,密度!$A$2:$A$50,密度!$C$2:$C$50)</f>
        <v>76478.610121599995</v>
      </c>
      <c r="S25" s="91" ph="1">
        <f>S24*35.891*LOOKUP(S26,密度!$A$2:$A$50,密度!$B$2:$B$50)</f>
        <v>88707.054266199993</v>
      </c>
      <c r="T25" s="91" ph="1">
        <f>T24*35.891*LOOKUP(T26,密度!$A$2:$A$50,密度!$Q$2:$Q$50)</f>
        <v>5075.5045893099996</v>
      </c>
      <c r="U25" s="91" ph="1">
        <f>U24*35.891</f>
        <v>228589.77899999998</v>
      </c>
      <c r="V25" s="91" ph="1">
        <f>V24*47.051*LOOKUP(V26,密度!$A$2:$A$50,密度!$B$2:$B$50)</f>
        <v>37274.155082500001</v>
      </c>
      <c r="W25" s="91" ph="1">
        <f>W24*47.051*LOOKUP(W26,密度!$A$2:$A$50,密度!$B$2:$B$50)</f>
        <v>142816.93508950001</v>
      </c>
      <c r="X25" s="91" ph="1">
        <f>X24*47.051*LOOKUP(X26,密度!$A$2:$A$61,密度!$I$2:$I$61)</f>
        <v>147859.39075950001</v>
      </c>
      <c r="Y25" s="91" ph="1">
        <f>Y24*47.051*LOOKUP(Y26,密度!$A$2:$A$50,密度!$L$2:$L$50)</f>
        <v>153522.519696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23</v>
      </c>
      <c r="G26" s="74">
        <v>24</v>
      </c>
      <c r="H26" s="74">
        <v>23</v>
      </c>
      <c r="I26" s="74">
        <v>23</v>
      </c>
      <c r="J26" s="74">
        <v>23</v>
      </c>
      <c r="K26" s="74">
        <v>22</v>
      </c>
      <c r="L26" s="74">
        <v>22</v>
      </c>
      <c r="M26" s="74">
        <v>23</v>
      </c>
      <c r="N26" s="74">
        <v>23</v>
      </c>
      <c r="O26" s="74">
        <v>23</v>
      </c>
      <c r="P26" s="74">
        <v>23</v>
      </c>
      <c r="Q26" s="93">
        <v>22</v>
      </c>
      <c r="R26" s="74">
        <v>23</v>
      </c>
      <c r="S26" s="74">
        <v>23</v>
      </c>
      <c r="T26" s="74">
        <v>22</v>
      </c>
      <c r="U26" s="74">
        <v>22</v>
      </c>
      <c r="V26" s="74">
        <v>24</v>
      </c>
      <c r="W26" s="74">
        <v>24</v>
      </c>
      <c r="X26" s="74">
        <v>25</v>
      </c>
      <c r="Y26" s="74">
        <v>26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2" t="s" ph="1">
        <v>180</v>
      </c>
      <c r="D27" s="71">
        <v>4.29</v>
      </c>
      <c r="E27" s="71">
        <v>63.7</v>
      </c>
      <c r="F27" s="71">
        <v>0</v>
      </c>
      <c r="G27" s="71">
        <v>3207</v>
      </c>
      <c r="H27" s="71">
        <v>2268</v>
      </c>
      <c r="I27" s="71">
        <v>0</v>
      </c>
      <c r="J27" s="71">
        <v>213</v>
      </c>
      <c r="K27" s="71">
        <v>244</v>
      </c>
      <c r="L27" s="71">
        <v>466</v>
      </c>
      <c r="M27" s="71">
        <v>4868</v>
      </c>
      <c r="N27" s="71">
        <v>2467</v>
      </c>
      <c r="O27" s="71">
        <v>0</v>
      </c>
      <c r="P27" s="71">
        <v>3238</v>
      </c>
      <c r="Q27" s="90">
        <v>4057</v>
      </c>
      <c r="R27" s="71">
        <v>2271</v>
      </c>
      <c r="S27" s="71">
        <v>3162</v>
      </c>
      <c r="T27" s="71">
        <v>148</v>
      </c>
      <c r="U27" s="71">
        <v>6443</v>
      </c>
      <c r="V27" s="71">
        <v>1013</v>
      </c>
      <c r="W27" s="71">
        <v>3890</v>
      </c>
      <c r="X27" s="71">
        <v>3506</v>
      </c>
      <c r="Y27" s="71">
        <v>1874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2" t="s" ph="1">
        <v>178</v>
      </c>
      <c r="D28" s="91" ph="1">
        <f>D27*268.68*LOOKUP(D29,密度!$A$2:$A$50,密度!$Q$2:$Q$50)+IF(D27&lt;=0,0,1566*LOOKUP(D29,密度!$A$2:$A$50,密度!$Q$2:$Q$50))</f>
        <v>2573.8425827279998</v>
      </c>
      <c r="E28" s="91" ph="1">
        <f>E27*268.68*LOOKUP(E29,密度!$A$2:$A$50,密度!$C$2:$C$50)+IF(E27&lt;=0,0,1566*LOOKUP(E29,密度!$A$2:$A$50,密度!$C$2:$C$50))</f>
        <v>20715.267752400003</v>
      </c>
      <c r="F28" s="91" ph="1">
        <f>F27*11.702*LOOKUP(F29,密度!$A$2:$A$50,密度!$Q$2:$Q$50)</f>
        <v>0</v>
      </c>
      <c r="G28" s="91" ph="1">
        <f>G27*18.322*LOOKUP(G29,密度!$A$2:$A$50,密度!$B$2:$B$50)</f>
        <v>45449.818868999995</v>
      </c>
      <c r="H28" s="91" ph="1">
        <f>H27*18.322*LOOKUP(H29,密度!$A$2:$A$50,密度!$B$2:$B$50)</f>
        <v>31926.165616799994</v>
      </c>
      <c r="I28" s="91" ph="1">
        <f>I27*18.322*LOOKUP(I29,密度!$A$2:$A$50,密度!$Q$2:$Q$50)</f>
        <v>0</v>
      </c>
      <c r="J28" s="91" ph="1">
        <f>J27*18.322*LOOKUP(J29,密度!$A$2:$A$50,密度!$Q$2:$Q$50)</f>
        <v>3673.3090724999997</v>
      </c>
      <c r="K28" s="91" ph="1">
        <f>K27*18.322*LOOKUP(K29,密度!$A$2:$A$50,密度!$Q$2:$Q$50)</f>
        <v>4222.9879441600006</v>
      </c>
      <c r="L28" s="91" ph="1">
        <f>L27*18.322*LOOKUP(L29,密度!$A$2:$A$50,密度!$Q$2:$Q$50)</f>
        <v>8065.2146802400002</v>
      </c>
      <c r="M28" s="91" ph="1">
        <f>M27*18.322*LOOKUP(M29,密度!$A$2:$A$50,密度!$Q$2:$Q$50)</f>
        <v>84137.013921680002</v>
      </c>
      <c r="N28" s="91" ph="1">
        <f>N27*18.322*LOOKUP(N29,密度!$A$2:$A$50,密度!$Q$2:$Q$50)</f>
        <v>42728.817549679996</v>
      </c>
      <c r="O28" s="91" ph="1">
        <f>O27*18.322*LOOKUP(O29,密度!$A$2:$A$50,密度!$C$2:$C$50)</f>
        <v>0</v>
      </c>
      <c r="P28" s="91" ph="1">
        <f>P27*11.702*LOOKUP(P29,密度!$A$2:$A$50,密度!$B$2:$B$50)</f>
        <v>29411.053191200001</v>
      </c>
      <c r="Q28" s="92" ph="1">
        <f>Q27*18.322*LOOKUP(Q29,密度!$A$2:$A$50,密度!$B$2:$B$50)</f>
        <v>57629.874056199995</v>
      </c>
      <c r="R28" s="91" ph="1">
        <f>R27*35.891*LOOKUP(R29,密度!$A$2:$A$50,密度!$C$2:$C$50)</f>
        <v>90075.000251099991</v>
      </c>
      <c r="S28" s="91" ph="1">
        <f>S27*35.891*LOOKUP(S29,密度!$A$2:$A$50,密度!$B$2:$B$50)</f>
        <v>88281.803341799998</v>
      </c>
      <c r="T28" s="91" ph="1">
        <f>T27*35.891*LOOKUP(T29,密度!$A$2:$A$50,密度!$Q$2:$Q$50)</f>
        <v>5010.8444404399997</v>
      </c>
      <c r="U28" s="91" ph="1">
        <f>U27*35.891</f>
        <v>231245.71299999999</v>
      </c>
      <c r="V28" s="91" ph="1">
        <f>V27*47.051*LOOKUP(V29,密度!$A$2:$A$50,密度!$B$2:$B$50)</f>
        <v>37157.8120748</v>
      </c>
      <c r="W28" s="91" ph="1">
        <f>W27*47.051*LOOKUP(W29,密度!$A$2:$A$50,密度!$B$2:$B$50)</f>
        <v>142853.65839500001</v>
      </c>
      <c r="X28" s="91" ph="1">
        <f>X27*47.051*LOOKUP(X29,密度!$A$2:$A$61,密度!$I$2:$I$61)</f>
        <v>171575.73432060002</v>
      </c>
      <c r="Y28" s="91" ph="1">
        <f>Y27*47.051*LOOKUP(Y29,密度!$A$2:$A$50,密度!$L$2:$L$50)</f>
        <v>82001.423820000011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2" t="s" ph="1">
        <v>179</v>
      </c>
      <c r="D29" s="74">
        <v>25</v>
      </c>
      <c r="E29" s="74">
        <v>25</v>
      </c>
      <c r="F29" s="74">
        <v>34</v>
      </c>
      <c r="G29" s="74">
        <v>32</v>
      </c>
      <c r="H29" s="74">
        <v>38</v>
      </c>
      <c r="I29" s="74">
        <v>31</v>
      </c>
      <c r="J29" s="74">
        <v>33</v>
      </c>
      <c r="K29" s="74">
        <v>28</v>
      </c>
      <c r="L29" s="74">
        <v>28</v>
      </c>
      <c r="M29" s="74">
        <v>30</v>
      </c>
      <c r="N29" s="74">
        <v>27</v>
      </c>
      <c r="O29" s="74">
        <v>30</v>
      </c>
      <c r="P29" s="74">
        <v>29</v>
      </c>
      <c r="Q29" s="93">
        <v>30</v>
      </c>
      <c r="R29" s="74">
        <v>30</v>
      </c>
      <c r="S29" s="74">
        <v>27</v>
      </c>
      <c r="T29" s="74">
        <v>30</v>
      </c>
      <c r="U29" s="74">
        <v>28</v>
      </c>
      <c r="V29" s="74">
        <v>25</v>
      </c>
      <c r="W29" s="74">
        <v>24</v>
      </c>
      <c r="X29" s="74">
        <v>27</v>
      </c>
      <c r="Y29" s="74">
        <v>32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2" t="s" ph="1">
        <v>5</v>
      </c>
      <c r="F32" s="161" t="s" ph="1">
        <v>43</v>
      </c>
      <c r="G32" s="97" t="s" ph="1">
        <v>4</v>
      </c>
      <c r="H32" s="162" t="s" ph="1">
        <v>5</v>
      </c>
      <c r="I32" s="161" t="s" ph="1">
        <v>43</v>
      </c>
      <c r="J32" s="97" t="s" ph="1">
        <v>4</v>
      </c>
      <c r="K32" s="162" t="s" ph="1">
        <v>5</v>
      </c>
      <c r="L32" s="161" t="s" ph="1">
        <v>43</v>
      </c>
      <c r="M32" s="97" t="s" ph="1">
        <v>4</v>
      </c>
      <c r="N32" s="162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1" t="s" ph="1">
        <v>43</v>
      </c>
      <c r="AB32" s="97" t="s" ph="1">
        <v>85</v>
      </c>
      <c r="AC32" s="162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104069.84179392</v>
      </c>
      <c r="E33" s="190" ph="1">
        <f>M10+I10</f>
        <v>231680.43586719999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16" ph="1">
        <f>N19</f>
        <v>20053.197181060001</v>
      </c>
      <c r="H33" s="190" ph="1">
        <f>M19</f>
        <v>14301.216779552002</v>
      </c>
      <c r="I33" s="194" ph="1">
        <v>0</v>
      </c>
      <c r="J33" s="198" ph="1">
        <f>F10+O28</f>
        <v>214520.03816760003</v>
      </c>
      <c r="K33" s="190" ph="1">
        <f>O10+K10+E28+R28</f>
        <v>139711.1119435</v>
      </c>
      <c r="L33" s="200" ph="1">
        <f>K19</f>
        <v>22864.616248800001</v>
      </c>
      <c r="M33" s="198" ph="1">
        <f>G10+H10+W28+S28+V28+E10+R19+P28+Q28</f>
        <v>1012111.2176750001</v>
      </c>
      <c r="N33" s="190" ph="1">
        <f>L10+P10++G28+H28+AD19+AE19</f>
        <v>175418.86058740001</v>
      </c>
      <c r="O33" s="194" ph="1">
        <f>G19</f>
        <v>14129.67126712</v>
      </c>
      <c r="P33" s="198" ph="1">
        <f>L19</f>
        <v>25485.284955890002</v>
      </c>
      <c r="Q33" s="190" ph="1">
        <f>J10+N10</f>
        <v>41885.327349499996</v>
      </c>
      <c r="R33" s="194" ph="1">
        <f>BE23</f>
        <v>890</v>
      </c>
      <c r="S33" s="198" ph="1">
        <f>X28</f>
        <v>171575.73432060002</v>
      </c>
      <c r="T33" s="190" ph="1">
        <f>X19</f>
        <v>2775.8940448399999</v>
      </c>
      <c r="U33" s="179" ph="1">
        <f>BE21</f>
        <v>730</v>
      </c>
      <c r="V33" s="192" ph="1">
        <f ca="1">P19+Q19+S19+M28+N28+J28+D10+AC10+D19+E19+H19+J19+O19+V19+W19+K28+L28</f>
        <v>603599.85897104803</v>
      </c>
      <c r="W33" s="192" ph="1">
        <f>D28+F28+T28+I28</f>
        <v>7584.6870231679995</v>
      </c>
      <c r="X33" s="194" ph="1">
        <f>BE29+BE31</f>
        <v>10200</v>
      </c>
      <c r="Y33" s="196" ph="1">
        <f>+Q10+R10+S10+T10+U10+V10+W10+X10+Y10</f>
        <v>99362.985044400004</v>
      </c>
      <c r="Z33" s="177" ph="1">
        <f>T19+U19+Y28+Z10</f>
        <v>304649.45640770404</v>
      </c>
      <c r="AA33" s="179" ph="1">
        <f>BE19</f>
        <v>1440</v>
      </c>
      <c r="AB33" s="181" ph="1">
        <f>I19</f>
        <v>45935.017201800001</v>
      </c>
      <c r="AC33" s="183" ph="1">
        <f>AD10+AB19</f>
        <v>92613.806636400011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0" t="s" ph="1">
        <v>185</v>
      </c>
      <c r="AA36" s="160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6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0" t="s" ph="1">
        <v>342</v>
      </c>
      <c r="AI37" s="160" t="s" ph="1">
        <v>209</v>
      </c>
      <c r="AJ37" s="160" t="s" ph="1">
        <v>210</v>
      </c>
      <c r="AK37" s="160" t="s" ph="1">
        <v>211</v>
      </c>
      <c r="AM37" s="160" t="s" ph="1">
        <v>210</v>
      </c>
      <c r="AN37" s="160" t="s" ph="1">
        <v>211</v>
      </c>
      <c r="AO37" s="160" t="s" ph="1">
        <v>212</v>
      </c>
      <c r="AP37" s="160" t="s" ph="1">
        <v>210</v>
      </c>
      <c r="AQ37" s="160" t="s" ph="1">
        <v>211</v>
      </c>
      <c r="AR37" s="160" t="s" ph="1">
        <v>212</v>
      </c>
      <c r="AS37" s="160" t="s" ph="1">
        <v>210</v>
      </c>
      <c r="AT37" s="160" t="s" ph="1">
        <v>211</v>
      </c>
      <c r="AU37" s="160" t="s" ph="1">
        <v>212</v>
      </c>
      <c r="AV37" s="160" t="s" ph="1">
        <v>210</v>
      </c>
      <c r="AW37" s="160" t="s" ph="1">
        <v>211</v>
      </c>
      <c r="AX37" s="160" t="s" ph="1">
        <v>212</v>
      </c>
      <c r="AY37" s="160" t="s" ph="1">
        <v>211</v>
      </c>
      <c r="AZ37" s="160" t="s" ph="1">
        <v>213</v>
      </c>
      <c r="BD37" s="160" t="s" ph="1">
        <v>305</v>
      </c>
      <c r="BE37" s="16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779" priority="100">
      <formula>ABS(D$7-D$10)&gt;=1000</formula>
    </cfRule>
  </conditionalFormatting>
  <conditionalFormatting sqref="E4 E6:E11">
    <cfRule type="expression" dxfId="778" priority="99">
      <formula>ABS(E$7-E$10)&gt;=1000</formula>
    </cfRule>
  </conditionalFormatting>
  <conditionalFormatting sqref="F4:F11">
    <cfRule type="expression" dxfId="777" priority="98">
      <formula>ABS(F$7-F$10)&gt;=1000</formula>
    </cfRule>
  </conditionalFormatting>
  <conditionalFormatting sqref="G4:G11">
    <cfRule type="expression" dxfId="776" priority="97">
      <formula>ABS(G$7-G$10)&gt;=1000</formula>
    </cfRule>
  </conditionalFormatting>
  <conditionalFormatting sqref="H4:H11">
    <cfRule type="expression" dxfId="775" priority="96">
      <formula>ABS(H$7-H$10)&gt;=1000</formula>
    </cfRule>
  </conditionalFormatting>
  <conditionalFormatting sqref="I4:I11">
    <cfRule type="expression" dxfId="774" priority="95">
      <formula>ABS(I$7-I$10)&gt;=1000</formula>
    </cfRule>
  </conditionalFormatting>
  <conditionalFormatting sqref="J4:J11">
    <cfRule type="expression" dxfId="773" priority="94">
      <formula>ABS(J$7-J$10)&gt;=1000</formula>
    </cfRule>
  </conditionalFormatting>
  <conditionalFormatting sqref="K4:K11">
    <cfRule type="expression" dxfId="772" priority="93">
      <formula>ABS(K$7-K$10)&gt;=1000</formula>
    </cfRule>
  </conditionalFormatting>
  <conditionalFormatting sqref="L4:L11">
    <cfRule type="expression" dxfId="771" priority="92">
      <formula>ABS(L$7-L$10)&gt;=1000</formula>
    </cfRule>
  </conditionalFormatting>
  <conditionalFormatting sqref="M4 M6:M11">
    <cfRule type="expression" dxfId="770" priority="91">
      <formula>ABS(M$7-M$10)&gt;=1000</formula>
    </cfRule>
  </conditionalFormatting>
  <conditionalFormatting sqref="N4 N6:N11">
    <cfRule type="expression" dxfId="769" priority="90">
      <formula>ABS(N$7-N$10)&gt;=1000</formula>
    </cfRule>
  </conditionalFormatting>
  <conditionalFormatting sqref="O4 O6:O11">
    <cfRule type="expression" dxfId="768" priority="89">
      <formula>ABS(O$7-O$10)&gt;=1000</formula>
    </cfRule>
  </conditionalFormatting>
  <conditionalFormatting sqref="P4 P6:P11">
    <cfRule type="expression" dxfId="767" priority="88">
      <formula>ABS(P$7-P$10)&gt;=1000</formula>
    </cfRule>
  </conditionalFormatting>
  <conditionalFormatting sqref="Q4:Q11">
    <cfRule type="expression" dxfId="766" priority="87">
      <formula>ABS(Q$7-Q$10)&gt;=1000</formula>
    </cfRule>
  </conditionalFormatting>
  <conditionalFormatting sqref="R4:R11">
    <cfRule type="expression" dxfId="765" priority="86">
      <formula>ABS(R$7-R$10)&gt;=1000</formula>
    </cfRule>
  </conditionalFormatting>
  <conditionalFormatting sqref="S4:S11">
    <cfRule type="expression" dxfId="764" priority="85">
      <formula>ABS(S$7-S$10)&gt;=1000</formula>
    </cfRule>
  </conditionalFormatting>
  <conditionalFormatting sqref="T4:T9 T11">
    <cfRule type="expression" dxfId="763" priority="84">
      <formula>ABS(T$7-T$10)&gt;=1000</formula>
    </cfRule>
  </conditionalFormatting>
  <conditionalFormatting sqref="U4:U9 U11">
    <cfRule type="expression" dxfId="762" priority="83">
      <formula>ABS(U$7-U$10)&gt;=1000</formula>
    </cfRule>
  </conditionalFormatting>
  <conditionalFormatting sqref="V4:V9 V11">
    <cfRule type="expression" dxfId="761" priority="82">
      <formula>ABS(V$7-V$10)&gt;=1000</formula>
    </cfRule>
  </conditionalFormatting>
  <conditionalFormatting sqref="W4:W9 W11">
    <cfRule type="expression" dxfId="760" priority="81">
      <formula>ABS(W$7-W$10)&gt;=1000</formula>
    </cfRule>
  </conditionalFormatting>
  <conditionalFormatting sqref="X4:X9 X11">
    <cfRule type="expression" dxfId="759" priority="80">
      <formula>ABS(X$7-X$10)&gt;=1000</formula>
    </cfRule>
  </conditionalFormatting>
  <conditionalFormatting sqref="Y4:Y9 Y11">
    <cfRule type="expression" dxfId="758" priority="79">
      <formula>ABS(Y$7-Y$10)&gt;=1000</formula>
    </cfRule>
  </conditionalFormatting>
  <conditionalFormatting sqref="Z4:Z11">
    <cfRule type="expression" dxfId="757" priority="78">
      <formula>ABS(Z$7-Z$10)&gt;=1000</formula>
    </cfRule>
  </conditionalFormatting>
  <conditionalFormatting sqref="AA4:AA11">
    <cfRule type="expression" dxfId="756" priority="77">
      <formula>ABS(AA$7-AA$10)&gt;=1000</formula>
    </cfRule>
  </conditionalFormatting>
  <conditionalFormatting sqref="AB4:AB11">
    <cfRule type="expression" dxfId="755" priority="76">
      <formula>ABS(AB$7-AB$10)&gt;=1000</formula>
    </cfRule>
  </conditionalFormatting>
  <conditionalFormatting sqref="AC4 AC6:AC11">
    <cfRule type="expression" dxfId="754" priority="75">
      <formula>ABS(AC$7-AC$10)&gt;=1000</formula>
    </cfRule>
  </conditionalFormatting>
  <conditionalFormatting sqref="AD4 AD6:AD11">
    <cfRule type="expression" dxfId="753" priority="74">
      <formula>ABS(AD$7-AD$10)&gt;=1000</formula>
    </cfRule>
  </conditionalFormatting>
  <conditionalFormatting sqref="AE4 AE6:AE11">
    <cfRule type="expression" dxfId="752" priority="73">
      <formula>ABS(AE$7-AE$10)&gt;=1000</formula>
    </cfRule>
  </conditionalFormatting>
  <conditionalFormatting sqref="D13:D20">
    <cfRule type="expression" dxfId="751" priority="72">
      <formula>ABS(D$16-D$19)&gt;=1000</formula>
    </cfRule>
  </conditionalFormatting>
  <conditionalFormatting sqref="E13:E20">
    <cfRule type="expression" dxfId="750" priority="71">
      <formula>ABS(E$16-E$19)&gt;=1000</formula>
    </cfRule>
  </conditionalFormatting>
  <conditionalFormatting sqref="F13 F15:F20">
    <cfRule type="expression" dxfId="749" priority="70">
      <formula>ABS(F$16-F$19)&gt;=1000</formula>
    </cfRule>
  </conditionalFormatting>
  <conditionalFormatting sqref="G13:G20">
    <cfRule type="expression" dxfId="748" priority="69">
      <formula>ABS(G$16-G$19)&gt;=1000</formula>
    </cfRule>
  </conditionalFormatting>
  <conditionalFormatting sqref="H13 H15:H20">
    <cfRule type="expression" dxfId="747" priority="68">
      <formula>ABS(H$16-H$19)&gt;=1000</formula>
    </cfRule>
  </conditionalFormatting>
  <conditionalFormatting sqref="I13:I20">
    <cfRule type="expression" dxfId="746" priority="67">
      <formula>ABS(I$16-I$19)&gt;=1000</formula>
    </cfRule>
  </conditionalFormatting>
  <conditionalFormatting sqref="J13:J20">
    <cfRule type="expression" dxfId="745" priority="66">
      <formula>ABS(J$16-J$19)&gt;=1000</formula>
    </cfRule>
  </conditionalFormatting>
  <conditionalFormatting sqref="L13:L20">
    <cfRule type="expression" dxfId="744" priority="65">
      <formula>ABS(L$16-L$19)&gt;=1000</formula>
    </cfRule>
  </conditionalFormatting>
  <conditionalFormatting sqref="M13 M15 M17:M18 M20">
    <cfRule type="expression" dxfId="743" priority="64">
      <formula>ABS(M$16-M$19)&gt;=1000</formula>
    </cfRule>
  </conditionalFormatting>
  <conditionalFormatting sqref="N13:N20">
    <cfRule type="expression" dxfId="742" priority="63">
      <formula>ABS(N$16-N$19)&gt;=1000</formula>
    </cfRule>
  </conditionalFormatting>
  <conditionalFormatting sqref="O13:O20">
    <cfRule type="expression" dxfId="741" priority="62">
      <formula>ABS(O$16-O$19)&gt;=1000</formula>
    </cfRule>
  </conditionalFormatting>
  <conditionalFormatting sqref="P13:P20">
    <cfRule type="expression" dxfId="740" priority="61">
      <formula>ABS(P$16-P$19)&gt;=1000</formula>
    </cfRule>
  </conditionalFormatting>
  <conditionalFormatting sqref="Q13 Q15:Q20">
    <cfRule type="expression" dxfId="739" priority="60">
      <formula>ABS(Q$16-Q$19)&gt;=1000</formula>
    </cfRule>
  </conditionalFormatting>
  <conditionalFormatting sqref="R13:R20">
    <cfRule type="expression" dxfId="738" priority="59">
      <formula>ABS(R$16-R$19)&gt;=1000</formula>
    </cfRule>
  </conditionalFormatting>
  <conditionalFormatting sqref="S13:S20">
    <cfRule type="expression" dxfId="737" priority="58">
      <formula>ABS(S$16-S$19)&gt;=1000</formula>
    </cfRule>
  </conditionalFormatting>
  <conditionalFormatting sqref="T13:T20">
    <cfRule type="expression" dxfId="736" priority="57">
      <formula>ABS(T$16-T$19)&gt;=1000</formula>
    </cfRule>
  </conditionalFormatting>
  <conditionalFormatting sqref="U13:U20">
    <cfRule type="expression" dxfId="735" priority="56">
      <formula>ABS(U$16-U$19)&gt;=1000</formula>
    </cfRule>
  </conditionalFormatting>
  <conditionalFormatting sqref="V13:V20">
    <cfRule type="expression" dxfId="734" priority="55">
      <formula>ABS(V$16-V$19)&gt;=1000</formula>
    </cfRule>
  </conditionalFormatting>
  <conditionalFormatting sqref="W13 W20 W15:W18">
    <cfRule type="expression" dxfId="733" priority="54">
      <formula>ABS(W$16-W$19)&gt;=1000</formula>
    </cfRule>
  </conditionalFormatting>
  <conditionalFormatting sqref="X13 X15:X20 Y19">
    <cfRule type="expression" dxfId="732" priority="53">
      <formula>ABS(X$16-X$19)&gt;=1000</formula>
    </cfRule>
  </conditionalFormatting>
  <conditionalFormatting sqref="Y13 Y15:Y18 Y20">
    <cfRule type="expression" dxfId="731" priority="52">
      <formula>ABS(Y$16-Y$19)&gt;=1000</formula>
    </cfRule>
  </conditionalFormatting>
  <conditionalFormatting sqref="Z13:Z20">
    <cfRule type="expression" dxfId="730" priority="51">
      <formula>ABS(Z$16-Z$19)&gt;=1000</formula>
    </cfRule>
  </conditionalFormatting>
  <conditionalFormatting sqref="AA13:AA20">
    <cfRule type="expression" dxfId="729" priority="50">
      <formula>ABS(AA$16-AA$19)&gt;=1000</formula>
    </cfRule>
  </conditionalFormatting>
  <conditionalFormatting sqref="AB13 AB15:AB20">
    <cfRule type="expression" dxfId="728" priority="49">
      <formula>ABS(AB$16-AB$19)&gt;=1000</formula>
    </cfRule>
  </conditionalFormatting>
  <conditionalFormatting sqref="AC13 AC15:AC20">
    <cfRule type="expression" dxfId="727" priority="48">
      <formula>ABS(AC$16-AC$19)&gt;=1000</formula>
    </cfRule>
  </conditionalFormatting>
  <conditionalFormatting sqref="AD13:AD20">
    <cfRule type="expression" dxfId="726" priority="47">
      <formula>ABS(AD$16-AD$19)&gt;=1000</formula>
    </cfRule>
  </conditionalFormatting>
  <conditionalFormatting sqref="AE13:AE20">
    <cfRule type="expression" dxfId="725" priority="46">
      <formula>ABS(AE$16-AE$19)&gt;=1000</formula>
    </cfRule>
  </conditionalFormatting>
  <conditionalFormatting sqref="D22:D29">
    <cfRule type="expression" dxfId="724" priority="45">
      <formula>ABS(D$25-D$28)&gt;=1000</formula>
    </cfRule>
  </conditionalFormatting>
  <conditionalFormatting sqref="E22:E29">
    <cfRule type="expression" dxfId="723" priority="44">
      <formula>ABS(E$25-E$28)&gt;=1000</formula>
    </cfRule>
  </conditionalFormatting>
  <conditionalFormatting sqref="F22:F29">
    <cfRule type="expression" dxfId="722" priority="43">
      <formula>ABS(F$25-F$28)&gt;=1000</formula>
    </cfRule>
  </conditionalFormatting>
  <conditionalFormatting sqref="G22:G29">
    <cfRule type="expression" dxfId="721" priority="42">
      <formula>ABS(G$25-G$28)&gt;=1000</formula>
    </cfRule>
  </conditionalFormatting>
  <conditionalFormatting sqref="H22:H29">
    <cfRule type="expression" dxfId="720" priority="41">
      <formula>ABS(H$25-H$28)&gt;=1000</formula>
    </cfRule>
  </conditionalFormatting>
  <conditionalFormatting sqref="I22 I24:I29">
    <cfRule type="expression" dxfId="719" priority="40">
      <formula>ABS(I$25-I$28)&gt;=1000</formula>
    </cfRule>
  </conditionalFormatting>
  <conditionalFormatting sqref="J22:J29 K22">
    <cfRule type="expression" dxfId="718" priority="39">
      <formula>ABS(J$25-J$28)&gt;=1000</formula>
    </cfRule>
  </conditionalFormatting>
  <conditionalFormatting sqref="K23:K29 L25 L28">
    <cfRule type="expression" dxfId="717" priority="38">
      <formula>ABS(K$25-K$28)&gt;=1000</formula>
    </cfRule>
  </conditionalFormatting>
  <conditionalFormatting sqref="L22 L26:L27 L29 L24">
    <cfRule type="expression" dxfId="716" priority="37">
      <formula>ABS(L$25-L$28)&gt;=1000</formula>
    </cfRule>
  </conditionalFormatting>
  <conditionalFormatting sqref="M22:M29">
    <cfRule type="expression" dxfId="715" priority="36">
      <formula>ABS(M$25-M$28)&gt;=1000</formula>
    </cfRule>
  </conditionalFormatting>
  <conditionalFormatting sqref="N22:N29">
    <cfRule type="expression" dxfId="714" priority="35">
      <formula>ABS(N$25-N$28)&gt;=1000</formula>
    </cfRule>
  </conditionalFormatting>
  <conditionalFormatting sqref="O22:O29">
    <cfRule type="expression" dxfId="713" priority="34">
      <formula>ABS(O$25-O$28)&gt;=1000</formula>
    </cfRule>
  </conditionalFormatting>
  <conditionalFormatting sqref="P22:P29">
    <cfRule type="expression" dxfId="712" priority="33">
      <formula>ABS(P$25-P$28)&gt;=1000</formula>
    </cfRule>
  </conditionalFormatting>
  <conditionalFormatting sqref="Q22:Q29">
    <cfRule type="expression" dxfId="711" priority="32">
      <formula>ABS(Q$25-Q$28)&gt;=1000</formula>
    </cfRule>
  </conditionalFormatting>
  <conditionalFormatting sqref="R22:R29">
    <cfRule type="expression" dxfId="710" priority="31">
      <formula>ABS(R$25-R$28)&gt;=1000</formula>
    </cfRule>
  </conditionalFormatting>
  <conditionalFormatting sqref="S22:S29">
    <cfRule type="expression" dxfId="709" priority="30">
      <formula>ABS(S$25-S$28)&gt;=1000</formula>
    </cfRule>
  </conditionalFormatting>
  <conditionalFormatting sqref="T22:T29">
    <cfRule type="expression" dxfId="708" priority="29">
      <formula>ABS(T$25-T$28)&gt;=1000</formula>
    </cfRule>
  </conditionalFormatting>
  <conditionalFormatting sqref="U22:U29">
    <cfRule type="expression" dxfId="707" priority="28">
      <formula>ABS(U$25-U$28)&gt;=1000</formula>
    </cfRule>
  </conditionalFormatting>
  <conditionalFormatting sqref="V22:V29">
    <cfRule type="expression" dxfId="706" priority="27">
      <formula>ABS(V$25-V$28)&gt;=1000</formula>
    </cfRule>
  </conditionalFormatting>
  <conditionalFormatting sqref="W22:W29">
    <cfRule type="expression" dxfId="705" priority="26">
      <formula>ABS(W$25-W$28)&gt;=1000</formula>
    </cfRule>
  </conditionalFormatting>
  <conditionalFormatting sqref="X22:X29">
    <cfRule type="expression" dxfId="704" priority="25">
      <formula>ABS(X$25-X$28)&gt;=1000</formula>
    </cfRule>
  </conditionalFormatting>
  <conditionalFormatting sqref="Y22:Y29">
    <cfRule type="expression" dxfId="703" priority="24">
      <formula>ABS(Y$25-Y$28)&gt;=1000</formula>
    </cfRule>
  </conditionalFormatting>
  <conditionalFormatting sqref="I23">
    <cfRule type="expression" dxfId="702" priority="23">
      <formula>ABS(I$25-I$28)&gt;=1000</formula>
    </cfRule>
  </conditionalFormatting>
  <conditionalFormatting sqref="Q14">
    <cfRule type="expression" dxfId="701" priority="22">
      <formula>ABS(Q$16-Q$19)&gt;=1000</formula>
    </cfRule>
  </conditionalFormatting>
  <conditionalFormatting sqref="W14">
    <cfRule type="expression" dxfId="700" priority="21">
      <formula>ABS(W$16-W$19)&gt;=1000</formula>
    </cfRule>
  </conditionalFormatting>
  <conditionalFormatting sqref="X14">
    <cfRule type="expression" dxfId="699" priority="20">
      <formula>ABS(X$16-X$19)&gt;=1000</formula>
    </cfRule>
  </conditionalFormatting>
  <conditionalFormatting sqref="T10:Y10">
    <cfRule type="expression" dxfId="698" priority="19">
      <formula>ABS(T$7-T$10)&gt;=1000</formula>
    </cfRule>
  </conditionalFormatting>
  <conditionalFormatting sqref="W19">
    <cfRule type="expression" dxfId="697" priority="18">
      <formula>ABS(W$16-W$19)&gt;=1000</formula>
    </cfRule>
  </conditionalFormatting>
  <conditionalFormatting sqref="AC5">
    <cfRule type="expression" dxfId="696" priority="17">
      <formula>ABS(AC$7-AC$10)&gt;=1000</formula>
    </cfRule>
  </conditionalFormatting>
  <conditionalFormatting sqref="M14">
    <cfRule type="expression" dxfId="695" priority="16">
      <formula>ABS(M$16-M$19)&gt;=1000</formula>
    </cfRule>
  </conditionalFormatting>
  <conditionalFormatting sqref="M16">
    <cfRule type="expression" dxfId="694" priority="15">
      <formula>ABS(M$16-M$19)&gt;=1000</formula>
    </cfRule>
  </conditionalFormatting>
  <conditionalFormatting sqref="M19">
    <cfRule type="expression" dxfId="693" priority="14">
      <formula>ABS(M$16-M$19)&gt;=1000</formula>
    </cfRule>
  </conditionalFormatting>
  <conditionalFormatting sqref="K13:K20">
    <cfRule type="expression" dxfId="692" priority="13">
      <formula>ABS(K$16-K$19)&gt;=1000</formula>
    </cfRule>
  </conditionalFormatting>
  <conditionalFormatting sqref="E5">
    <cfRule type="expression" dxfId="691" priority="12">
      <formula>ABS(E$7-E$10)&gt;=1000</formula>
    </cfRule>
  </conditionalFormatting>
  <conditionalFormatting sqref="AB14:AC14">
    <cfRule type="expression" dxfId="690" priority="11">
      <formula>ABS(AB$16-AB$19)&gt;=1000</formula>
    </cfRule>
  </conditionalFormatting>
  <conditionalFormatting sqref="M5">
    <cfRule type="expression" dxfId="689" priority="10">
      <formula>ABS(M$7-M$10)&gt;=1000</formula>
    </cfRule>
  </conditionalFormatting>
  <conditionalFormatting sqref="N5">
    <cfRule type="expression" dxfId="688" priority="9">
      <formula>ABS(N$7-N$10)&gt;=1000</formula>
    </cfRule>
  </conditionalFormatting>
  <conditionalFormatting sqref="O5">
    <cfRule type="expression" dxfId="687" priority="8">
      <formula>ABS(O$7-O$10)&gt;=1000</formula>
    </cfRule>
  </conditionalFormatting>
  <conditionalFormatting sqref="P5">
    <cfRule type="expression" dxfId="686" priority="7">
      <formula>ABS(P$7-P$10)&gt;=1000</formula>
    </cfRule>
  </conditionalFormatting>
  <conditionalFormatting sqref="L23">
    <cfRule type="expression" dxfId="685" priority="6">
      <formula>ABS(L$25-L$28)&gt;=1000</formula>
    </cfRule>
  </conditionalFormatting>
  <conditionalFormatting sqref="Y14">
    <cfRule type="expression" dxfId="684" priority="5">
      <formula>ABS(Y$16-Y$19)&gt;=1000</formula>
    </cfRule>
  </conditionalFormatting>
  <conditionalFormatting sqref="F14">
    <cfRule type="expression" dxfId="683" priority="4">
      <formula>ABS(F$16-F$19)&gt;=1000</formula>
    </cfRule>
  </conditionalFormatting>
  <conditionalFormatting sqref="H14">
    <cfRule type="expression" dxfId="682" priority="3">
      <formula>ABS(H$16-H$19)&gt;=1000</formula>
    </cfRule>
  </conditionalFormatting>
  <conditionalFormatting sqref="AD5">
    <cfRule type="expression" dxfId="681" priority="2">
      <formula>ABS(AD$7-AD$10)&gt;=1000</formula>
    </cfRule>
  </conditionalFormatting>
  <conditionalFormatting sqref="AE5">
    <cfRule type="expression" dxfId="68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00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95">
    <pageSetUpPr fitToPage="1"/>
  </sheetPr>
  <dimension ref="A1:CU223"/>
  <sheetViews>
    <sheetView view="pageBreakPreview" zoomScale="70" zoomScaleNormal="100" zoomScaleSheetLayoutView="70" workbookViewId="0">
      <selection activeCell="P24" sqref="P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46167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2" t="s" ph="1">
        <v>177</v>
      </c>
      <c r="D6" s="71">
        <v>2346</v>
      </c>
      <c r="E6" s="71">
        <v>8170</v>
      </c>
      <c r="F6" s="71">
        <v>5842</v>
      </c>
      <c r="G6" s="71">
        <v>1665</v>
      </c>
      <c r="H6" s="71">
        <v>4289</v>
      </c>
      <c r="I6" s="71">
        <v>52.38</v>
      </c>
      <c r="J6" s="71">
        <v>6.21</v>
      </c>
      <c r="K6" s="71">
        <v>7.29</v>
      </c>
      <c r="L6" s="71">
        <v>82.62</v>
      </c>
      <c r="M6" s="71">
        <v>6392</v>
      </c>
      <c r="N6" s="71">
        <v>1571</v>
      </c>
      <c r="O6" s="71">
        <v>1974</v>
      </c>
      <c r="P6" s="71">
        <v>988</v>
      </c>
      <c r="Q6" s="71">
        <v>0</v>
      </c>
      <c r="R6" s="71">
        <v>0</v>
      </c>
      <c r="S6" s="71">
        <v>0</v>
      </c>
      <c r="T6" s="71">
        <v>6145</v>
      </c>
      <c r="U6" s="71">
        <v>7179</v>
      </c>
      <c r="V6" s="71">
        <v>7015</v>
      </c>
      <c r="W6" s="71">
        <v>5207</v>
      </c>
      <c r="X6" s="71">
        <v>6266</v>
      </c>
      <c r="Y6" s="71">
        <v>0</v>
      </c>
      <c r="Z6" s="71">
        <v>5388</v>
      </c>
      <c r="AA6" s="71">
        <v>0</v>
      </c>
      <c r="AB6" s="71">
        <v>4096</v>
      </c>
      <c r="AC6" s="71">
        <v>5921</v>
      </c>
      <c r="AD6" s="71">
        <v>3541</v>
      </c>
      <c r="AE6" s="71">
        <v>5587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73701.169843320007</v>
      </c>
      <c r="E7" s="73" ph="1">
        <f>E6*51.53*LOOKUP(E8,密度!$A$2:$A$50,密度!$B$2:$B$50)</f>
        <v>328211.67796</v>
      </c>
      <c r="F7" s="73" ph="1">
        <f>F6*33.183*LOOKUP(F8,密度!$A$2:$A$50,密度!$C$2:$C$50)</f>
        <v>214675.1222364</v>
      </c>
      <c r="G7" s="73" ph="1">
        <f xml:space="preserve"> (G6+2)*51.53*LOOKUP(G8,密度!$A$2:$A$50,密度!$B$2:$B$50)</f>
        <v>66968.037595999995</v>
      </c>
      <c r="H7" s="73" ph="1">
        <f>(H6)*51.53*LOOKUP(H8,密度!$A$2:$A$50,密度!$B$2:$B$50)</f>
        <v>172301.08773200001</v>
      </c>
      <c r="I7" s="73" ph="1">
        <f>I6*290.8*1.0267</f>
        <v>15638.8011768</v>
      </c>
      <c r="J7" s="73" ph="1">
        <f>J6*290.8*0.7892</f>
        <v>1425.1910256000001</v>
      </c>
      <c r="K7" s="73" ph="1">
        <f>K6*290.8*1.1126</f>
        <v>2358.6363432000003</v>
      </c>
      <c r="L7" s="73" ph="1">
        <f>L6*290.8*0.777</f>
        <v>18668.121192000002</v>
      </c>
      <c r="M7" s="73" ph="1">
        <f>M6*33.183*LOOKUP(M8,密度!$A$2:$A$50,密度!$D$2:$D$50)</f>
        <v>216772.06219200001</v>
      </c>
      <c r="N7" s="73" ph="1">
        <f>N6*33.183*LOOKUP(N8,密度!$A$2:$A$50,密度!$E$2:$E$50)</f>
        <v>40594.014899100002</v>
      </c>
      <c r="O7" s="73" ph="1">
        <f>O6*20.428*LOOKUP(O8,密度!$A$2:$A$50,密度!$C$2:$C$50)</f>
        <v>44522.691175200009</v>
      </c>
      <c r="P7" s="73" ph="1">
        <f>P6*51.53*LOOKUP(P8,密度!$A$2:$A$50,密度!$B$2:$B$50)</f>
        <v>39644.894067999994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40743.481086</v>
      </c>
      <c r="U7" s="73" ph="1">
        <f>U6*1.5*1.5*3.1416*LOOKUP(U8,密度!$A$2:$A$50,密度!$L$2:$L$50)</f>
        <v>47447.023239000002</v>
      </c>
      <c r="V7" s="73" ph="1">
        <f>V6*1.5*1.5*3.1416*LOOKUP(V8,密度!$A$2:$A$50,密度!$L$2:$L$50)</f>
        <v>46313.537886000006</v>
      </c>
      <c r="W7" s="73" ph="1">
        <f>W6*1.5*1.5*3.1416*LOOKUP(W8,密度!$A$2:$A$50,密度!$L$2:$L$50)</f>
        <v>34413.797187000004</v>
      </c>
      <c r="X7" s="73" ph="1">
        <f>X6*1.5*1.5*3.1416*LOOKUP(X8,密度!$A$2:$A$50,密度!$L$2:$L$50)</f>
        <v>41855.795981999996</v>
      </c>
      <c r="Y7" s="73" ph="1">
        <f>Y6*1.5*1.5*3.1416*LOOKUP(Y8,密度!$A$2:$A$50,密度!$L$2:$L$50)</f>
        <v>0</v>
      </c>
      <c r="Z7" s="73" ph="1">
        <f>Z6*33.183*LOOKUP(Z8,密度!$A$2:$A$50,密度!$L$2:$L$50)</f>
        <v>167168.65374000001</v>
      </c>
      <c r="AA7" s="73" ph="1">
        <f>AA6*33.183*LOOKUP(AA8,密度!$A$2:$A$50,密度!$D$2:$D$50)</f>
        <v>0</v>
      </c>
      <c r="AB7" s="73" ph="1">
        <f>AB6*20.428*LOOKUP(AB8,密度!$A$2:$A$50,密度!$D$2:$D$50)</f>
        <v>86225.117184000002</v>
      </c>
      <c r="AC7" s="73" ph="1">
        <f>AC6*51.53*LOOKUP(AC8,密度!$A$2:$A$50,密度!$Q$2:$Q$50)</f>
        <v>289969.61496939999</v>
      </c>
      <c r="AD7" s="73" ph="1">
        <f>AD6*20.428*LOOKUP(AD8,密度!$A$2:$A$50,密度!$V$2:$V$50)</f>
        <v>69268.520764800007</v>
      </c>
      <c r="AE7" s="73" ph="1">
        <f>AE6*20.428</f>
        <v>114131.236</v>
      </c>
    </row>
    <row r="8" spans="1:99" ph="1">
      <c r="B8" s="241" ph="1"/>
      <c r="C8" s="68" t="s" ph="1">
        <v>179</v>
      </c>
      <c r="D8" s="74">
        <v>25</v>
      </c>
      <c r="E8" s="74">
        <v>25</v>
      </c>
      <c r="F8" s="74">
        <v>27</v>
      </c>
      <c r="G8" s="74">
        <v>25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29</v>
      </c>
      <c r="O8" s="74">
        <v>31</v>
      </c>
      <c r="P8" s="74">
        <v>26</v>
      </c>
      <c r="Q8" s="74">
        <v>29</v>
      </c>
      <c r="R8" s="74">
        <v>33</v>
      </c>
      <c r="S8" s="74">
        <v>25</v>
      </c>
      <c r="T8" s="74">
        <v>24</v>
      </c>
      <c r="U8" s="74">
        <v>27</v>
      </c>
      <c r="V8" s="74">
        <v>28</v>
      </c>
      <c r="W8" s="74">
        <v>27</v>
      </c>
      <c r="X8" s="74">
        <v>17</v>
      </c>
      <c r="Y8" s="74">
        <v>27</v>
      </c>
      <c r="Z8" s="74">
        <v>27</v>
      </c>
      <c r="AA8" s="74">
        <v>23</v>
      </c>
      <c r="AB8" s="74">
        <v>21</v>
      </c>
      <c r="AC8" s="74">
        <v>20</v>
      </c>
      <c r="AD8" s="74">
        <v>27</v>
      </c>
      <c r="AE8" s="74">
        <v>30</v>
      </c>
    </row>
    <row r="9" spans="1:99" ht="26.4" ph="1">
      <c r="B9" s="241" ph="1">
        <v>0.66666666666666663</v>
      </c>
      <c r="C9" s="162" t="s" ph="1">
        <v>180</v>
      </c>
      <c r="D9" s="71">
        <v>2663</v>
      </c>
      <c r="E9" s="71">
        <v>8170</v>
      </c>
      <c r="F9" s="71">
        <v>5844</v>
      </c>
      <c r="G9" s="71">
        <v>1667</v>
      </c>
      <c r="H9" s="71">
        <v>4010</v>
      </c>
      <c r="I9" s="71">
        <v>52.41</v>
      </c>
      <c r="J9" s="71">
        <v>6.26</v>
      </c>
      <c r="K9" s="71">
        <v>61.55</v>
      </c>
      <c r="L9" s="71">
        <v>40.130000000000003</v>
      </c>
      <c r="M9" s="71">
        <v>6395</v>
      </c>
      <c r="N9" s="71">
        <v>1347</v>
      </c>
      <c r="O9" s="71">
        <v>1973</v>
      </c>
      <c r="P9" s="71">
        <v>971</v>
      </c>
      <c r="Q9" s="71">
        <v>2213</v>
      </c>
      <c r="R9" s="71">
        <v>0</v>
      </c>
      <c r="S9" s="71">
        <v>0</v>
      </c>
      <c r="T9" s="71">
        <v>1567</v>
      </c>
      <c r="U9" s="71">
        <v>7188</v>
      </c>
      <c r="V9" s="71">
        <v>7027</v>
      </c>
      <c r="W9" s="71">
        <v>7011</v>
      </c>
      <c r="X9" s="71">
        <v>6275</v>
      </c>
      <c r="Y9" s="71">
        <v>3964</v>
      </c>
      <c r="Z9" s="71">
        <v>6061</v>
      </c>
      <c r="AA9" s="71">
        <v>0</v>
      </c>
      <c r="AB9" s="71">
        <v>3969</v>
      </c>
      <c r="AC9" s="71">
        <v>5921</v>
      </c>
      <c r="AD9" s="71">
        <v>3544</v>
      </c>
      <c r="AE9" s="71">
        <v>5504</v>
      </c>
    </row>
    <row r="10" spans="1:99" s="72" customFormat="1" ht="22.2" ph="1">
      <c r="B10" s="241" ph="1"/>
      <c r="C10" s="162" t="s" ph="1">
        <v>178</v>
      </c>
      <c r="D10" s="73" ph="1">
        <f>D9*33.183*LOOKUP(D11,密度!$A$2:$A$50,密度!$Q$2:$Q$50)</f>
        <v>83002.492829700001</v>
      </c>
      <c r="E10" s="73" ph="1">
        <f>E9*51.53*LOOKUP(E11,密度!$A$2:$A$50,密度!$B$2:$B$50)</f>
        <v>326401.37753</v>
      </c>
      <c r="F10" s="73" ph="1">
        <f>F9*33.183*LOOKUP(F11,密度!$A$2:$A$50,密度!$C$2:$C$50)</f>
        <v>214108.67515319999</v>
      </c>
      <c r="G10" s="73" ph="1">
        <f xml:space="preserve"> (G9+2)*51.53*LOOKUP(G11,密度!$A$2:$A$50,密度!$B$2:$B$50)</f>
        <v>66678.567821000004</v>
      </c>
      <c r="H10" s="73" ph="1">
        <f>(H9)*51.53*LOOKUP(H11,密度!$A$2:$A$50,密度!$B$2:$B$50)</f>
        <v>160204.34809000001</v>
      </c>
      <c r="I10" s="73" ph="1">
        <f>I9*290.8*1.0267</f>
        <v>15647.758107599999</v>
      </c>
      <c r="J10" s="73" ph="1">
        <f>J9*290.8*0.7892</f>
        <v>1436.6659935999999</v>
      </c>
      <c r="K10" s="73" ph="1">
        <f>K9*290.8*1.1126</f>
        <v>19914.138124000001</v>
      </c>
      <c r="L10" s="73" ph="1">
        <f>L9*290.8*0.777</f>
        <v>9067.4377080000013</v>
      </c>
      <c r="M10" s="73" ph="1">
        <f>M9*33.183*LOOKUP(M11,密度!$A$2:$A$50,密度!$D$2:$D$50)</f>
        <v>214624.42524900002</v>
      </c>
      <c r="N10" s="73" ph="1">
        <f>N9*33.183*LOOKUP(N11,密度!$A$2:$A$50,密度!$E$2:$E$50)</f>
        <v>34503.341946929999</v>
      </c>
      <c r="O10" s="73" ph="1">
        <f>O9*20.428*LOOKUP(O11,密度!$A$2:$A$50,密度!$C$2:$C$50)</f>
        <v>44600.897730400007</v>
      </c>
      <c r="P10" s="73" ph="1">
        <f>P9*51.53*LOOKUP(P11,密度!$A$2:$A$50,密度!$B$2:$B$50)</f>
        <v>38702.559805000004</v>
      </c>
      <c r="Q10" s="73" ph="1">
        <f>Q9*1.5*1.5*3.1416*LOOKUP(W11,密度!$A$2:$A$50,密度!$L$2:$L$50)</f>
        <v>14594.7434094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10356.523947</v>
      </c>
      <c r="U10" s="73" ph="1">
        <f>U9*1.5*1.5*3.1416*LOOKUP(U11,密度!$A$2:$A$50,密度!$L$2:$L$50)</f>
        <v>47354.078217599999</v>
      </c>
      <c r="V10" s="73" ph="1">
        <f>V9*1.5*1.5*3.1416*LOOKUP(V11,密度!$A$2:$A$50,密度!$L$2:$L$50)</f>
        <v>46392.762754800002</v>
      </c>
      <c r="W10" s="73" ph="1">
        <f>W9*1.5*1.5*3.1416*LOOKUP(W11,密度!$A$2:$A$50,密度!$L$2:$L$50)</f>
        <v>46237.571641800001</v>
      </c>
      <c r="X10" s="73" ph="1">
        <f>X9*1.5*1.5*3.1416*LOOKUP(X11,密度!$A$2:$A$50,密度!$L$2:$L$50)</f>
        <v>41472.359774999997</v>
      </c>
      <c r="Y10" s="73" ph="1">
        <f>Y9*1.5*1.5*3.1416*LOOKUP(Y11,密度!$A$2:$A$50,密度!$L$2:$L$50)</f>
        <v>26170.614993600004</v>
      </c>
      <c r="Z10" s="73" ph="1">
        <f>Z9*33.183*LOOKUP(Z11,密度!$A$2:$A$50,密度!$L$2:$L$50)</f>
        <v>186038.00077500002</v>
      </c>
      <c r="AA10" s="73" ph="1">
        <f>AA9*33.183*LOOKUP(AA11,密度!$A$2:$A$50,密度!$D$2:$D$50)</f>
        <v>0</v>
      </c>
      <c r="AB10" s="73" ph="1">
        <f>AB9*20.428*LOOKUP(AB11,密度!$A$2:$A$50,密度!$D$2:$D$50)</f>
        <v>83170.563285600001</v>
      </c>
      <c r="AC10" s="73" ph="1">
        <f>AC9*51.53*LOOKUP(AC11,密度!$A$2:$A$50,密度!$Q$2:$Q$50)</f>
        <v>287818.59560290002</v>
      </c>
      <c r="AD10" s="73" ph="1">
        <f>AD9*20.428*LOOKUP(AD11,密度!$A$2:$A$50,密度!$V$2:$V$50)</f>
        <v>69327.206323200007</v>
      </c>
      <c r="AE10" s="73" ph="1">
        <f>AE9*20.428</f>
        <v>112435.712</v>
      </c>
    </row>
    <row r="11" spans="1:99" ph="1">
      <c r="A11" s="64" t="s" ph="1">
        <v>162</v>
      </c>
      <c r="B11" s="241" ph="1"/>
      <c r="C11" s="162" t="s" ph="1">
        <v>179</v>
      </c>
      <c r="D11" s="74">
        <v>36</v>
      </c>
      <c r="E11" s="74">
        <v>30</v>
      </c>
      <c r="F11" s="74">
        <v>31</v>
      </c>
      <c r="G11" s="74">
        <v>30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42</v>
      </c>
      <c r="N11" s="74">
        <v>35</v>
      </c>
      <c r="O11" s="74">
        <v>28</v>
      </c>
      <c r="P11" s="74">
        <v>32</v>
      </c>
      <c r="Q11" s="74">
        <v>30</v>
      </c>
      <c r="R11" s="74">
        <v>39</v>
      </c>
      <c r="S11" s="74">
        <v>29</v>
      </c>
      <c r="T11" s="74">
        <v>27</v>
      </c>
      <c r="U11" s="74">
        <v>30</v>
      </c>
      <c r="V11" s="74">
        <v>28</v>
      </c>
      <c r="W11" s="74">
        <v>29</v>
      </c>
      <c r="X11" s="74">
        <v>27</v>
      </c>
      <c r="Y11" s="74">
        <v>28</v>
      </c>
      <c r="Z11" s="74">
        <v>37</v>
      </c>
      <c r="AA11" s="74">
        <v>50</v>
      </c>
      <c r="AB11" s="74">
        <v>26</v>
      </c>
      <c r="AC11" s="74">
        <v>30</v>
      </c>
      <c r="AD11" s="74">
        <v>34</v>
      </c>
      <c r="AE11" s="74">
        <v>32</v>
      </c>
    </row>
    <row r="12" spans="1:99" ht="9.9" customHeight="1" ph="1"/>
    <row r="13" spans="1:99" s="72" customFormat="1" ht="29.25" customHeight="1" ph="1">
      <c r="B13" s="218" t="s" ph="1">
        <v>37</v>
      </c>
      <c r="C13" s="16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2" t="s" ph="1">
        <v>177</v>
      </c>
      <c r="D15" s="78">
        <v>0</v>
      </c>
      <c r="E15" s="78">
        <v>4117</v>
      </c>
      <c r="F15" s="78">
        <v>3177</v>
      </c>
      <c r="G15" s="78">
        <v>2596</v>
      </c>
      <c r="H15" s="78">
        <v>0</v>
      </c>
      <c r="I15" s="78">
        <v>1212</v>
      </c>
      <c r="J15" s="78">
        <v>1744</v>
      </c>
      <c r="K15" s="78">
        <v>2280</v>
      </c>
      <c r="L15" s="78">
        <v>3581</v>
      </c>
      <c r="M15" s="78">
        <v>4018</v>
      </c>
      <c r="N15" s="78">
        <v>2012</v>
      </c>
      <c r="O15" s="78">
        <v>2120</v>
      </c>
      <c r="P15" s="78">
        <v>5325</v>
      </c>
      <c r="Q15" s="78">
        <v>783</v>
      </c>
      <c r="R15" s="78">
        <v>0</v>
      </c>
      <c r="S15" s="78">
        <v>0</v>
      </c>
      <c r="T15" s="78">
        <v>5399</v>
      </c>
      <c r="U15" s="78">
        <v>1264</v>
      </c>
      <c r="V15" s="78">
        <v>-537</v>
      </c>
      <c r="W15" s="71">
        <v>-730</v>
      </c>
      <c r="X15" s="78">
        <v>-322</v>
      </c>
      <c r="Y15" s="106">
        <v>-2367</v>
      </c>
      <c r="Z15" s="78">
        <v>1953</v>
      </c>
      <c r="AA15" s="78">
        <v>2607</v>
      </c>
      <c r="AB15" s="78" ph="1">
        <v>2751</v>
      </c>
      <c r="AC15" s="78" ph="1">
        <v>3270</v>
      </c>
      <c r="AD15" s="78">
        <v>8.33</v>
      </c>
      <c r="AE15" s="78">
        <v>54.1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2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27209.833497000003</v>
      </c>
      <c r="F16" s="73" ph="1">
        <f>F15*9.0746*LOOKUP(F17,密度!$A$2:$A$50,密度!$L$2:$L$50)</f>
        <v>26754.243897600001</v>
      </c>
      <c r="G16" s="73" ph="1">
        <f>G15*9.0746*LOOKUP(G17,密度!$A$2:$A$50,密度!$B$2:$B$50)</f>
        <v>18325.504958640002</v>
      </c>
      <c r="H16" s="73" ph="1">
        <f>H15*9.0746*LOOKUP(H17,密度!$A$2:$A$50,密度!$L$2:$L$50)</f>
        <v>0</v>
      </c>
      <c r="I16" s="73" ph="1">
        <f>I15*9.0746*LOOKUP(I17,密度!$A$2:$A$50,密度!$U$2:$U$50)</f>
        <v>11229.381919199999</v>
      </c>
      <c r="J16" s="73" ph="1">
        <f>J15*9.0746*LOOKUP(J17,密度!$A$2:$A$50,密度!$L$2:$L$50)</f>
        <v>14749.927436800001</v>
      </c>
      <c r="K16" s="73" ph="1">
        <f>K15*9.0746*LOOKUP(K17,密度!$A$2:$A$50,密度!$C$2:$C$50)</f>
        <v>22912.203451199999</v>
      </c>
      <c r="L16" s="73" ph="1">
        <f>L15*9.0746*LOOKUP(L17,密度!$A$2:$A$50,密度!$E$2:$E$50)</f>
        <v>25269.00048576</v>
      </c>
      <c r="M16" s="73" ph="1">
        <f>M15*9.0746*LOOKUP(M17,密度!$A$2:$A$50,密度!$M$2:$M$50)</f>
        <v>31718.070061720002</v>
      </c>
      <c r="N16" s="73" ph="1">
        <f>N15*9.0746*LOOKUP(N17,密度!$A$2:$A$50,密度!$M$2:$M$50)</f>
        <v>15977.65910952</v>
      </c>
      <c r="O16" s="73" ph="1">
        <f>O15*9.0746*LOOKUP(O17,密度!$A$2:$A$50,密度!$G$2:$G$50)</f>
        <v>18389.749496800003</v>
      </c>
      <c r="P16" s="73" ph="1">
        <f ca="1">P15*9.0746*LOOKUP(P17,密度!$A$2:$A$51,密度!$Q$2:$Q$50)</f>
        <v>45612.816722850002</v>
      </c>
      <c r="Q16" s="73" ph="1">
        <f>Q15*9.0746*LOOKUP(Q17,密度!$A$2:$A$50,密度!$Q$2:$Q$50)</f>
        <v>6716.887882776</v>
      </c>
      <c r="R16" s="73" ph="1">
        <f>MAX(R15*9.0746*LOOKUP(R17,密度!$A$2:$A$50,密度!$B$2:$B$50),0)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45368.226760400008</v>
      </c>
      <c r="U16" s="73" ph="1">
        <f>U15*9.0746*LOOKUP(U17,密度!$A$2:$A$50,密度!$H$2:$H$50)</f>
        <v>10491.87828768</v>
      </c>
      <c r="V16" s="73" ph="1">
        <f>MAX(5600*LOOKUP(V17,密度!$A$2:$A$50,密度!$Q$2:$Q$50)+V15*9.0476*LOOKUP(V17,密度!$A$2:$A$50,密度!$Q$2:$Q$50),0)</f>
        <v>698.86538410400044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2800.3190594400003</v>
      </c>
      <c r="Y16" s="107" ph="1">
        <v>0</v>
      </c>
      <c r="Z16" s="73" ph="1">
        <f>Z15*9.0746*LOOKUP(Z17,密度!$A$2:$A$50,密度!$D$2:$D$50)</f>
        <v>18112.593063600001</v>
      </c>
      <c r="AA16" s="73" ph="1">
        <f>AA15*9.0746*LOOKUP(AA17,密度!$A$2:$A$50,密度!$B$2:$B$50)</f>
        <v>18381.863669400002</v>
      </c>
      <c r="AB16" s="73" ph="1">
        <f>AB15*9.0746*LOOKUP(AB17,密度!$A$2:$A$50,密度!$L$2:$L$50)</f>
        <v>23266.657327200002</v>
      </c>
      <c r="AC16" s="73" ph="1">
        <f>AC15*9.0746*LOOKUP(AC17,密度!$A$2:$A$50,密度!$L$2:$L$50)</f>
        <v>27596.766060000002</v>
      </c>
      <c r="AD16" s="73" ph="1">
        <f>AD15*268.68*LOOKUP(AD17,密度!$A$2:$A$50,密度!B2:B50)+IF(AD15&lt;=0,0,1566*LOOKUP(AD17,密度!$A$2:$A$50,密度!B2:B50))</f>
        <v>2965.6797902399999</v>
      </c>
      <c r="AE16" s="73" ph="1">
        <f>AE15*268.68*LOOKUP(AE17,密度!$A$2:$A$50,密度!B2:B50)+IF(AE15&lt;=0,0,1566*LOOKUP(AE17,密度!$A$2:$A$50,密度!B2:B50))</f>
        <v>12552.798004800001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27</v>
      </c>
      <c r="E17" s="74">
        <v>27</v>
      </c>
      <c r="F17" s="74">
        <v>34</v>
      </c>
      <c r="G17" s="74">
        <v>27</v>
      </c>
      <c r="H17" s="74">
        <v>23</v>
      </c>
      <c r="I17" s="74">
        <v>29</v>
      </c>
      <c r="J17" s="74">
        <v>30</v>
      </c>
      <c r="K17" s="74">
        <v>27</v>
      </c>
      <c r="L17" s="74">
        <v>30</v>
      </c>
      <c r="M17" s="74">
        <v>30</v>
      </c>
      <c r="N17" s="74">
        <v>25</v>
      </c>
      <c r="O17" s="74">
        <v>29</v>
      </c>
      <c r="P17" s="74">
        <v>29</v>
      </c>
      <c r="Q17" s="74">
        <v>27</v>
      </c>
      <c r="R17" s="74">
        <v>28</v>
      </c>
      <c r="S17" s="74">
        <v>27</v>
      </c>
      <c r="T17" s="74">
        <v>28</v>
      </c>
      <c r="U17" s="74">
        <v>25</v>
      </c>
      <c r="V17" s="74">
        <v>31</v>
      </c>
      <c r="W17" s="74">
        <v>31</v>
      </c>
      <c r="X17" s="74">
        <v>25</v>
      </c>
      <c r="Y17" s="108">
        <v>25</v>
      </c>
      <c r="Z17" s="74">
        <v>30</v>
      </c>
      <c r="AA17" s="74">
        <v>28</v>
      </c>
      <c r="AB17" s="74">
        <v>30</v>
      </c>
      <c r="AC17" s="74">
        <v>32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422</v>
      </c>
      <c r="E18" s="71">
        <v>5915</v>
      </c>
      <c r="F18" s="71">
        <v>3312</v>
      </c>
      <c r="G18" s="71">
        <v>3542</v>
      </c>
      <c r="H18" s="71">
        <v>0</v>
      </c>
      <c r="I18" s="71">
        <v>2600</v>
      </c>
      <c r="J18" s="71">
        <v>417</v>
      </c>
      <c r="K18" s="71">
        <v>2282</v>
      </c>
      <c r="L18" s="71">
        <v>3590</v>
      </c>
      <c r="M18" s="71">
        <v>4926</v>
      </c>
      <c r="N18" s="71">
        <v>1146</v>
      </c>
      <c r="O18" s="71">
        <v>2250</v>
      </c>
      <c r="P18" s="71">
        <v>5332</v>
      </c>
      <c r="Q18" s="71">
        <v>782</v>
      </c>
      <c r="R18" s="71">
        <v>0</v>
      </c>
      <c r="S18" s="71">
        <v>0</v>
      </c>
      <c r="T18" s="71">
        <v>4101</v>
      </c>
      <c r="U18" s="71">
        <v>3111</v>
      </c>
      <c r="V18" s="71">
        <v>-538</v>
      </c>
      <c r="W18" s="71">
        <v>-733</v>
      </c>
      <c r="X18" s="71">
        <v>-323</v>
      </c>
      <c r="Y18" s="109">
        <v>-9909</v>
      </c>
      <c r="Z18" s="71">
        <v>1952</v>
      </c>
      <c r="AA18" s="71">
        <v>2609</v>
      </c>
      <c r="AB18" s="71">
        <v>2755</v>
      </c>
      <c r="AC18" s="71">
        <v>5044</v>
      </c>
      <c r="AD18" s="71">
        <v>29.8</v>
      </c>
      <c r="AE18" s="71">
        <v>84.57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2" t="s" ph="1">
        <v>178</v>
      </c>
      <c r="D19" s="73" ph="1">
        <f>D18*7.0686*LOOKUP(D20,密度!$A$2:$A$50,密度!$L$2:$L$50)</f>
        <v>2774.1427560000002</v>
      </c>
      <c r="E19" s="73" ph="1">
        <f>E18*7.0686*LOOKUP(E20,密度!$A$2:$A$50,密度!$L$2:$L$50)</f>
        <v>38716.772094</v>
      </c>
      <c r="F19" s="73" ph="1">
        <f>F18*9.0746*LOOKUP(F20,密度!$A$2:$A$50,密度!$L$2:$L$50)</f>
        <v>27861.0547104</v>
      </c>
      <c r="G19" s="73" ph="1">
        <f>G18*9.0746*LOOKUP(G20,密度!$A$2:$A$50,密度!$B$2:$B$50)</f>
        <v>24890.94539008</v>
      </c>
      <c r="H19" s="73" ph="1">
        <f>H18*9.0746*LOOKUP(H20,密度!$A$2:$A$50,密度!$L$2:$L$50)</f>
        <v>0</v>
      </c>
      <c r="I19" s="73" ph="1">
        <f>I18*9.0746*LOOKUP(I20,密度!$A$2:$A$50,密度!$U$2:$U$50)</f>
        <v>23872.368728000001</v>
      </c>
      <c r="J19" s="73" ph="1">
        <f>J18*9.0746*LOOKUP(J20,密度!$A$2:$A$50,密度!$L$2:$L$50)</f>
        <v>3488.9477604000003</v>
      </c>
      <c r="K19" s="73" ph="1">
        <f>K18*9.0746*LOOKUP(K20,密度!$A$2:$A$50,密度!$C$2:$C$50)</f>
        <v>22841.185631599998</v>
      </c>
      <c r="L19" s="73" ph="1">
        <f>L18*9.0746*LOOKUP(L20,密度!$A$2:$A$50,密度!$E$2:$E$50)</f>
        <v>25258.230750480001</v>
      </c>
      <c r="M19" s="73" ph="1">
        <f>M18*9.0746*LOOKUP(M20,密度!$A$2:$A$50,密度!$M$2:$M$50)</f>
        <v>38698.964919311999</v>
      </c>
      <c r="N19" s="73" ph="1">
        <f>N18*9.0746*LOOKUP(N20,密度!$A$2:$A$50,密度!$M$2:$M$50)</f>
        <v>9057.9571835999996</v>
      </c>
      <c r="O19" s="73" ph="1">
        <f>O18*9.0746*LOOKUP(O20,密度!$A$2:$A$50,密度!$G$2:$G$50)</f>
        <v>19450.860624000004</v>
      </c>
      <c r="P19" s="73" ph="1">
        <f ca="1">P18*9.0746*LOOKUP(P20,密度!$A$2:$A$51,密度!$Q$2:$Q$50)</f>
        <v>45574.554125679999</v>
      </c>
      <c r="Q19" s="73" ph="1">
        <f>Q18*9.0746*LOOKUP(Q20,密度!$A$2:$A$50,密度!$Q$2:$Q$50)</f>
        <v>6665.5895319600004</v>
      </c>
      <c r="R19" s="73" ph="1">
        <f>MAX(R18*9.0746*LOOKUP(R20,密度!$A$2:$A$50,密度!$B$2:$B$50),0)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34312.1697012</v>
      </c>
      <c r="U19" s="73" ph="1">
        <f>U18*9.0746*LOOKUP(U20,密度!$A$2:$A$50,密度!$H$2:$H$50)</f>
        <v>25636.079671248001</v>
      </c>
      <c r="V19" s="73" ph="1">
        <f>MAX(5600*LOOKUP(V20,密度!$A$2:$A$50,密度!$Q$2:$Q$50)+V18*9.0476*LOOKUP(V20,密度!$A$2:$A$50,密度!$Q$2:$Q$50),0)</f>
        <v>688.87983880799948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2782.0525828000004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18071.434307840002</v>
      </c>
      <c r="AA19" s="73" ph="1">
        <f>AA18*9.0746*LOOKUP(AA20,密度!$A$2:$A$50,密度!$B$2:$B$50)</f>
        <v>18355.717024420002</v>
      </c>
      <c r="AB19" s="73" ph="1">
        <f>AB18*9.0746*LOOKUP(AB20,密度!$A$2:$A$50,密度!$L$2:$L$50)</f>
        <v>23250.486390000002</v>
      </c>
      <c r="AC19" s="73" ph="1">
        <f>AC18*9.0746*LOOKUP(AC20,密度!$A$2:$A$50,密度!$L$2:$L$50)</f>
        <v>42385.133502400007</v>
      </c>
      <c r="AD19" s="73" ph="1">
        <f>AD18*268.68*LOOKUP(AD20,密度!$A$2:$A$50,密度!B5:B53)+IF(AD18&lt;=0,0,1566*LOOKUP(AD20,密度!$A$2:$A$50,密度!B5:B53))</f>
        <v>7437.9599280000011</v>
      </c>
      <c r="AE19" s="73" ph="1">
        <f>AE18*268.68*LOOKUP(AE20,密度!$A$2:$A$50,密度!B5:B53)+IF(AE18&lt;=0,0,1566*LOOKUP(AE20,密度!$A$2:$A$50,密度!B5:B53))</f>
        <v>18871.983925199998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36</v>
      </c>
      <c r="F20" s="81">
        <v>35</v>
      </c>
      <c r="G20" s="81">
        <v>31</v>
      </c>
      <c r="H20" s="81">
        <v>30</v>
      </c>
      <c r="I20" s="81">
        <v>39</v>
      </c>
      <c r="J20" s="81">
        <v>40</v>
      </c>
      <c r="K20" s="81">
        <v>32</v>
      </c>
      <c r="L20" s="81">
        <v>32</v>
      </c>
      <c r="M20" s="81">
        <v>34</v>
      </c>
      <c r="N20" s="81">
        <v>29</v>
      </c>
      <c r="O20" s="81">
        <v>32</v>
      </c>
      <c r="P20" s="81">
        <v>32</v>
      </c>
      <c r="Q20" s="81">
        <v>36</v>
      </c>
      <c r="R20" s="81">
        <v>36</v>
      </c>
      <c r="S20" s="81">
        <v>35</v>
      </c>
      <c r="T20" s="81">
        <v>32</v>
      </c>
      <c r="U20" s="81">
        <v>32</v>
      </c>
      <c r="V20" s="81">
        <v>34</v>
      </c>
      <c r="W20" s="81">
        <v>34</v>
      </c>
      <c r="X20" s="81">
        <v>28</v>
      </c>
      <c r="Y20" s="110">
        <v>28</v>
      </c>
      <c r="Z20" s="81">
        <v>32</v>
      </c>
      <c r="AA20" s="81">
        <v>30</v>
      </c>
      <c r="AB20" s="81">
        <v>32</v>
      </c>
      <c r="AC20" s="81">
        <v>36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2" t="s" ph="1">
        <v>177</v>
      </c>
      <c r="D24" s="71">
        <v>57.27</v>
      </c>
      <c r="E24" s="71">
        <v>4.46</v>
      </c>
      <c r="F24" s="71">
        <v>1023</v>
      </c>
      <c r="G24" s="71">
        <v>3919</v>
      </c>
      <c r="H24" s="71">
        <v>3763</v>
      </c>
      <c r="I24" s="71">
        <v>695</v>
      </c>
      <c r="J24" s="71">
        <v>219</v>
      </c>
      <c r="K24" s="71">
        <v>248</v>
      </c>
      <c r="L24" s="71">
        <v>470</v>
      </c>
      <c r="M24" s="71">
        <v>1678</v>
      </c>
      <c r="N24" s="71">
        <v>2470</v>
      </c>
      <c r="O24" s="71">
        <v>194</v>
      </c>
      <c r="P24" s="71">
        <v>3237</v>
      </c>
      <c r="Q24" s="90">
        <v>444</v>
      </c>
      <c r="R24" s="71">
        <v>3897</v>
      </c>
      <c r="S24" s="71">
        <v>5498</v>
      </c>
      <c r="T24" s="71">
        <v>492</v>
      </c>
      <c r="U24" s="71">
        <v>4960</v>
      </c>
      <c r="V24" s="71">
        <v>1016</v>
      </c>
      <c r="W24" s="71">
        <v>3891</v>
      </c>
      <c r="X24" s="71">
        <v>3507</v>
      </c>
      <c r="Y24" s="71">
        <v>2182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16050.370650264002</v>
      </c>
      <c r="E25" s="91" ph="1">
        <f>E24*268.68*LOOKUP(E26,密度!$A$2:$A$50,密度!$C$2:$C$50)+IF(E24&lt;=0,0,1566*LOOKUP(E26,密度!$A$2:$A$50,密度!$C$2:$C$50))</f>
        <v>3065.3464639200001</v>
      </c>
      <c r="F25" s="91" ph="1">
        <f>F24*11.702*LOOKUP(F26,密度!$A$2:$A$50,密度!$Q$2:$Q$50)</f>
        <v>11351.040637200002</v>
      </c>
      <c r="G25" s="91" ph="1">
        <f>G24*18.322*LOOKUP(G26,密度!$A$2:$A$50,密度!$B$2:$B$50)</f>
        <v>56042.957998999991</v>
      </c>
      <c r="H25" s="91" ph="1">
        <f>H24*18.322*LOOKUP(H26,密度!$A$2:$A$50,密度!$B$2:$B$50)</f>
        <v>53874.159040400002</v>
      </c>
      <c r="I25" s="91" ph="1">
        <f>I24*18.322*LOOKUP(I26,密度!$A$2:$A$50,密度!$Q$2:$Q$50)</f>
        <v>12074.179678</v>
      </c>
      <c r="J25" s="91" ph="1">
        <f>J24*18.322*LOOKUP(J26,密度!$A$2:$A$50,密度!$Q$2:$Q$50)</f>
        <v>3804.6695676000004</v>
      </c>
      <c r="K25" s="91" ph="1">
        <f>K24*18.322*LOOKUP(K26,密度!$A$2:$A$50,密度!$Q$2:$Q$50)</f>
        <v>4312.5282910400001</v>
      </c>
      <c r="L25" s="91" ph="1">
        <f>L24*18.322*LOOKUP(L26,密度!$A$2:$A$50,密度!$Q$2:$Q$50)</f>
        <v>8172.9366805999998</v>
      </c>
      <c r="M25" s="91" ph="1">
        <f>M24*18.322*LOOKUP(M26,密度!$A$2:$A$50,密度!$Q$2:$Q$50)</f>
        <v>29151.7604312</v>
      </c>
      <c r="N25" s="91" ph="1">
        <f>N24*18.322*LOOKUP(N26,密度!$A$2:$A$50,密度!$Q$2:$Q$50)</f>
        <v>42911.113387999998</v>
      </c>
      <c r="O25" s="91" ph="1">
        <f>O24*18.322*LOOKUP(O26,密度!$A$2:$A$50,密度!$C$2:$C$50)</f>
        <v>3946.8812671999999</v>
      </c>
      <c r="P25" s="91" ph="1">
        <f>P24*11.702*LOOKUP(P26,密度!$A$2:$A$50,密度!$B$2:$B$50)</f>
        <v>29598.942843600002</v>
      </c>
      <c r="Q25" s="92" ph="1">
        <f>Q24*18.322*LOOKUP(Q26,密度!$A$2:$A$50,密度!$B$2:$B$50)</f>
        <v>6363.9854663999995</v>
      </c>
      <c r="R25" s="91" ph="1">
        <f>R24*35.891*LOOKUP(R26,密度!$A$2:$A$50,密度!$C$2:$C$50)</f>
        <v>155308.56886079998</v>
      </c>
      <c r="S25" s="91" ph="1">
        <f>S24*35.891*LOOKUP(S26,密度!$A$2:$A$50,密度!$B$2:$B$50)</f>
        <v>154192.66024519998</v>
      </c>
      <c r="T25" s="91" ph="1">
        <f>T24*35.891*LOOKUP(T26,密度!$A$2:$A$50,密度!$Q$2:$Q$50)</f>
        <v>16759.384281480001</v>
      </c>
      <c r="U25" s="91" ph="1">
        <f>U24*35.891</f>
        <v>178019.36</v>
      </c>
      <c r="V25" s="91" ph="1">
        <f>V24*47.051*LOOKUP(V26,密度!$A$2:$A$50,密度!$B$2:$B$50)</f>
        <v>37310.878387999997</v>
      </c>
      <c r="W25" s="91" ph="1">
        <f>W24*47.051*LOOKUP(W26,密度!$A$2:$A$50,密度!$B$2:$B$50)</f>
        <v>142890.3817005</v>
      </c>
      <c r="X25" s="91" ph="1">
        <f>X24*47.051*LOOKUP(X26,密度!$A$2:$A$61,密度!$I$2:$I$61)</f>
        <v>171987.68935110001</v>
      </c>
      <c r="Y25" s="91" ph="1">
        <f>Y24*47.051*LOOKUP(Y26,密度!$A$2:$A$50,密度!$L$2:$L$50)</f>
        <v>96094.703952000011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23</v>
      </c>
      <c r="G26" s="74">
        <v>24</v>
      </c>
      <c r="H26" s="74">
        <v>23</v>
      </c>
      <c r="I26" s="74">
        <v>23</v>
      </c>
      <c r="J26" s="74">
        <v>23</v>
      </c>
      <c r="K26" s="74">
        <v>22</v>
      </c>
      <c r="L26" s="74">
        <v>22</v>
      </c>
      <c r="M26" s="74">
        <v>23</v>
      </c>
      <c r="N26" s="74">
        <v>23</v>
      </c>
      <c r="O26" s="74">
        <v>23</v>
      </c>
      <c r="P26" s="74">
        <v>23</v>
      </c>
      <c r="Q26" s="93">
        <v>22</v>
      </c>
      <c r="R26" s="74">
        <v>23</v>
      </c>
      <c r="S26" s="74">
        <v>23</v>
      </c>
      <c r="T26" s="74">
        <v>22</v>
      </c>
      <c r="U26" s="74">
        <v>22</v>
      </c>
      <c r="V26" s="74">
        <v>24</v>
      </c>
      <c r="W26" s="74">
        <v>24</v>
      </c>
      <c r="X26" s="74">
        <v>25</v>
      </c>
      <c r="Y26" s="74">
        <v>26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2" t="s" ph="1">
        <v>180</v>
      </c>
      <c r="D27" s="71">
        <v>16.14</v>
      </c>
      <c r="E27" s="71">
        <v>5.59</v>
      </c>
      <c r="F27" s="71">
        <v>982</v>
      </c>
      <c r="G27" s="71">
        <v>3345</v>
      </c>
      <c r="H27" s="71">
        <v>3336</v>
      </c>
      <c r="I27" s="71">
        <v>693</v>
      </c>
      <c r="J27" s="71">
        <v>212</v>
      </c>
      <c r="K27" s="71">
        <v>243</v>
      </c>
      <c r="L27" s="71">
        <v>464</v>
      </c>
      <c r="M27" s="71">
        <v>1132</v>
      </c>
      <c r="N27" s="71">
        <v>2468</v>
      </c>
      <c r="O27" s="71">
        <v>0</v>
      </c>
      <c r="P27" s="71">
        <v>3238</v>
      </c>
      <c r="Q27" s="90">
        <v>727</v>
      </c>
      <c r="R27" s="71">
        <v>4338</v>
      </c>
      <c r="S27" s="71">
        <v>5498</v>
      </c>
      <c r="T27" s="71">
        <v>490</v>
      </c>
      <c r="U27" s="71">
        <v>4931</v>
      </c>
      <c r="V27" s="71">
        <v>1013</v>
      </c>
      <c r="W27" s="71">
        <v>3891</v>
      </c>
      <c r="X27" s="71">
        <v>3984</v>
      </c>
      <c r="Y27" s="71">
        <v>770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2" t="s" ph="1">
        <v>178</v>
      </c>
      <c r="D28" s="91" ph="1">
        <f>D27*268.68*LOOKUP(D29,密度!$A$2:$A$50,密度!$Q$2:$Q$50)+IF(D27&lt;=0,0,1566*LOOKUP(D29,密度!$A$2:$A$50,密度!$Q$2:$Q$50))</f>
        <v>5588.1283056479997</v>
      </c>
      <c r="E28" s="91" ph="1">
        <f>E27*268.68*LOOKUP(E29,密度!$A$2:$A$50,密度!$C$2:$C$50)+IF(E27&lt;=0,0,1566*LOOKUP(E29,密度!$A$2:$A$50,密度!$C$2:$C$50))</f>
        <v>3402.0178186799999</v>
      </c>
      <c r="F28" s="91" ph="1">
        <f>F27*11.702*LOOKUP(F29,密度!$A$2:$A$50,密度!$Q$2:$Q$50)</f>
        <v>10840.148402119999</v>
      </c>
      <c r="G28" s="91" ph="1">
        <f>G27*18.322*LOOKUP(G29,密度!$A$2:$A$50,密度!$B$2:$B$50)</f>
        <v>47356.534443000004</v>
      </c>
      <c r="H28" s="91" ph="1">
        <f>H27*18.322*LOOKUP(H29,密度!$A$2:$A$50,密度!$B$2:$B$50)</f>
        <v>46740.140222399998</v>
      </c>
      <c r="I28" s="91" ph="1">
        <f>I27*18.322*LOOKUP(I29,密度!$A$2:$A$50,密度!$Q$2:$Q$50)</f>
        <v>11977.598736179998</v>
      </c>
      <c r="J28" s="91" ph="1">
        <f>J27*18.322*LOOKUP(J29,密度!$A$2:$A$50,密度!$Q$2:$Q$50)</f>
        <v>3638.8562004799996</v>
      </c>
      <c r="K28" s="91" ph="1">
        <f>K27*18.322*LOOKUP(K29,密度!$A$2:$A$50,密度!$Q$2:$Q$50)</f>
        <v>4193.5705073999998</v>
      </c>
      <c r="L28" s="91" ph="1">
        <f>L27*18.322*LOOKUP(L29,密度!$A$2:$A$50,密度!$Q$2:$Q$50)</f>
        <v>8019.6332086399998</v>
      </c>
      <c r="M28" s="91" ph="1">
        <f>M27*18.322*LOOKUP(M29,密度!$A$2:$A$50,密度!$Q$2:$Q$50)</f>
        <v>19535.480717599999</v>
      </c>
      <c r="N28" s="91" ph="1">
        <f>N27*18.322*LOOKUP(N29,密度!$A$2:$A$50,密度!$Q$2:$Q$50)</f>
        <v>42714.484615519999</v>
      </c>
      <c r="O28" s="91" ph="1">
        <f>O27*18.322*LOOKUP(O29,密度!$A$2:$A$50,密度!$C$2:$C$50)</f>
        <v>0</v>
      </c>
      <c r="P28" s="91" ph="1">
        <f>P27*11.702*LOOKUP(P29,密度!$A$2:$A$50,密度!$B$2:$B$50)</f>
        <v>29411.053191200001</v>
      </c>
      <c r="Q28" s="92" ph="1">
        <f>Q27*18.322*LOOKUP(Q29,密度!$A$2:$A$50,密度!$B$2:$B$50)</f>
        <v>10292.4366338</v>
      </c>
      <c r="R28" s="91" ph="1">
        <f>R27*35.891*LOOKUP(R29,密度!$A$2:$A$50,密度!$C$2:$C$50)</f>
        <v>171731.75927399998</v>
      </c>
      <c r="S28" s="91" ph="1">
        <f>S27*35.891*LOOKUP(S29,密度!$A$2:$A$50,密度!$B$2:$B$50)</f>
        <v>152633.76337299999</v>
      </c>
      <c r="T28" s="91" ph="1">
        <f>T27*35.891*LOOKUP(T29,密度!$A$2:$A$50,密度!$Q$2:$Q$50)</f>
        <v>16475.469243799998</v>
      </c>
      <c r="U28" s="91" ph="1">
        <f>U27*35.891</f>
        <v>176978.52099999998</v>
      </c>
      <c r="V28" s="91" ph="1">
        <f>V27*47.051*LOOKUP(V29,密度!$A$2:$A$50,密度!$B$2:$B$50)</f>
        <v>37114.915678099998</v>
      </c>
      <c r="W28" s="91" ph="1">
        <f>W27*47.051*LOOKUP(W29,密度!$A$2:$A$50,密度!$B$2:$B$50)</f>
        <v>142890.3817005</v>
      </c>
      <c r="X28" s="91" ph="1">
        <f>X27*47.051*LOOKUP(X29,密度!$A$2:$A$61,密度!$I$2:$I$61)</f>
        <v>194967.9764784</v>
      </c>
      <c r="Y28" s="91" ph="1">
        <f>Y27*47.051*LOOKUP(Y29,密度!$A$2:$A$50,密度!$L$2:$L$50)</f>
        <v>33584.533290000007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2" t="s" ph="1">
        <v>179</v>
      </c>
      <c r="D29" s="74">
        <v>25</v>
      </c>
      <c r="E29" s="74">
        <v>25</v>
      </c>
      <c r="F29" s="74">
        <v>30</v>
      </c>
      <c r="G29" s="74">
        <v>33</v>
      </c>
      <c r="H29" s="74">
        <v>42</v>
      </c>
      <c r="I29" s="74">
        <v>30</v>
      </c>
      <c r="J29" s="74">
        <v>42</v>
      </c>
      <c r="K29" s="74">
        <v>32</v>
      </c>
      <c r="L29" s="74">
        <v>30</v>
      </c>
      <c r="M29" s="74">
        <v>32</v>
      </c>
      <c r="N29" s="74">
        <v>28</v>
      </c>
      <c r="O29" s="74">
        <v>30</v>
      </c>
      <c r="P29" s="74">
        <v>29</v>
      </c>
      <c r="Q29" s="93">
        <v>33</v>
      </c>
      <c r="R29" s="74">
        <v>32</v>
      </c>
      <c r="S29" s="74">
        <v>32</v>
      </c>
      <c r="T29" s="74">
        <v>42</v>
      </c>
      <c r="U29" s="74">
        <v>30</v>
      </c>
      <c r="V29" s="74">
        <v>26</v>
      </c>
      <c r="W29" s="74">
        <v>24</v>
      </c>
      <c r="X29" s="74">
        <v>27</v>
      </c>
      <c r="Y29" s="74">
        <v>35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2" t="s" ph="1">
        <v>5</v>
      </c>
      <c r="F32" s="161" t="s" ph="1">
        <v>43</v>
      </c>
      <c r="G32" s="97" t="s" ph="1">
        <v>4</v>
      </c>
      <c r="H32" s="162" t="s" ph="1">
        <v>5</v>
      </c>
      <c r="I32" s="161" t="s" ph="1">
        <v>43</v>
      </c>
      <c r="J32" s="97" t="s" ph="1">
        <v>4</v>
      </c>
      <c r="K32" s="162" t="s" ph="1">
        <v>5</v>
      </c>
      <c r="L32" s="161" t="s" ph="1">
        <v>43</v>
      </c>
      <c r="M32" s="97" t="s" ph="1">
        <v>4</v>
      </c>
      <c r="N32" s="162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1" t="s" ph="1">
        <v>43</v>
      </c>
      <c r="AB32" s="97" t="s" ph="1">
        <v>85</v>
      </c>
      <c r="AC32" s="162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101241.99759344</v>
      </c>
      <c r="E33" s="190" ph="1">
        <f>M10+I10</f>
        <v>230272.18335660003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16" ph="1">
        <f>N19</f>
        <v>9057.9571835999996</v>
      </c>
      <c r="H33" s="190" ph="1">
        <f>M19</f>
        <v>38698.964919311999</v>
      </c>
      <c r="I33" s="194" ph="1">
        <v>0</v>
      </c>
      <c r="J33" s="198" ph="1">
        <f>F10+O28</f>
        <v>214108.67515319999</v>
      </c>
      <c r="K33" s="190" ph="1">
        <f>O10+K10+E28+R28</f>
        <v>239648.81294708</v>
      </c>
      <c r="L33" s="200" ph="1">
        <f>K19</f>
        <v>22841.185631599998</v>
      </c>
      <c r="M33" s="198" ph="1">
        <f>G10+H10+W28+S28+V28+E10+R19+P28+Q28</f>
        <v>925626.84401759994</v>
      </c>
      <c r="N33" s="190" ph="1">
        <f>L10+P10++G28+H28+AD19+AE19</f>
        <v>168176.61603160002</v>
      </c>
      <c r="O33" s="194" ph="1">
        <f>G19</f>
        <v>24890.94539008</v>
      </c>
      <c r="P33" s="198" ph="1">
        <f>L19</f>
        <v>25258.230750480001</v>
      </c>
      <c r="Q33" s="190" ph="1">
        <f>J10+N10</f>
        <v>35940.007940529998</v>
      </c>
      <c r="R33" s="194" ph="1">
        <f>BE23</f>
        <v>890</v>
      </c>
      <c r="S33" s="198" ph="1">
        <f>X28</f>
        <v>194967.9764784</v>
      </c>
      <c r="T33" s="190" ph="1">
        <f>X19</f>
        <v>2782.0525828000004</v>
      </c>
      <c r="U33" s="179" ph="1">
        <f>BE21</f>
        <v>730</v>
      </c>
      <c r="V33" s="192" ph="1">
        <f ca="1">P19+Q19+S19+M28+N28+J28+D10+AC10+D19+E19+H19+J19+O19+V19+W19+K28+L28</f>
        <v>566282.860413088</v>
      </c>
      <c r="W33" s="192" ph="1">
        <f>D28+F28+T28+I28</f>
        <v>44881.344687747995</v>
      </c>
      <c r="X33" s="194" ph="1">
        <f>BE29+BE31</f>
        <v>10200</v>
      </c>
      <c r="Y33" s="196" ph="1">
        <f>+Q10+R10+S10+T10+U10+V10+W10+X10+Y10</f>
        <v>232578.65473919999</v>
      </c>
      <c r="Z33" s="177" ph="1">
        <f>T19+U19+Y28+Z10</f>
        <v>279570.78343744803</v>
      </c>
      <c r="AA33" s="179" ph="1">
        <f>BE19</f>
        <v>1440</v>
      </c>
      <c r="AB33" s="181" ph="1">
        <f>I19</f>
        <v>23872.368728000001</v>
      </c>
      <c r="AC33" s="183" ph="1">
        <f>AD10+AB19</f>
        <v>92577.692713200013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0" t="s" ph="1">
        <v>185</v>
      </c>
      <c r="AA36" s="160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6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0" t="s" ph="1">
        <v>342</v>
      </c>
      <c r="AI37" s="160" t="s" ph="1">
        <v>209</v>
      </c>
      <c r="AJ37" s="160" t="s" ph="1">
        <v>210</v>
      </c>
      <c r="AK37" s="160" t="s" ph="1">
        <v>211</v>
      </c>
      <c r="AM37" s="160" t="s" ph="1">
        <v>210</v>
      </c>
      <c r="AN37" s="160" t="s" ph="1">
        <v>211</v>
      </c>
      <c r="AO37" s="160" t="s" ph="1">
        <v>212</v>
      </c>
      <c r="AP37" s="160" t="s" ph="1">
        <v>210</v>
      </c>
      <c r="AQ37" s="160" t="s" ph="1">
        <v>211</v>
      </c>
      <c r="AR37" s="160" t="s" ph="1">
        <v>212</v>
      </c>
      <c r="AS37" s="160" t="s" ph="1">
        <v>210</v>
      </c>
      <c r="AT37" s="160" t="s" ph="1">
        <v>211</v>
      </c>
      <c r="AU37" s="160" t="s" ph="1">
        <v>212</v>
      </c>
      <c r="AV37" s="160" t="s" ph="1">
        <v>210</v>
      </c>
      <c r="AW37" s="160" t="s" ph="1">
        <v>211</v>
      </c>
      <c r="AX37" s="160" t="s" ph="1">
        <v>212</v>
      </c>
      <c r="AY37" s="160" t="s" ph="1">
        <v>211</v>
      </c>
      <c r="AZ37" s="160" t="s" ph="1">
        <v>213</v>
      </c>
      <c r="BD37" s="160" t="s" ph="1">
        <v>305</v>
      </c>
      <c r="BE37" s="16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649" priority="100">
      <formula>ABS(D$7-D$10)&gt;=1000</formula>
    </cfRule>
  </conditionalFormatting>
  <conditionalFormatting sqref="E4 E6:E11">
    <cfRule type="expression" dxfId="648" priority="99">
      <formula>ABS(E$7-E$10)&gt;=1000</formula>
    </cfRule>
  </conditionalFormatting>
  <conditionalFormatting sqref="F4:F11">
    <cfRule type="expression" dxfId="647" priority="98">
      <formula>ABS(F$7-F$10)&gt;=1000</formula>
    </cfRule>
  </conditionalFormatting>
  <conditionalFormatting sqref="G4:G11">
    <cfRule type="expression" dxfId="646" priority="97">
      <formula>ABS(G$7-G$10)&gt;=1000</formula>
    </cfRule>
  </conditionalFormatting>
  <conditionalFormatting sqref="H4:H11">
    <cfRule type="expression" dxfId="645" priority="96">
      <formula>ABS(H$7-H$10)&gt;=1000</formula>
    </cfRule>
  </conditionalFormatting>
  <conditionalFormatting sqref="I4:I11">
    <cfRule type="expression" dxfId="644" priority="95">
      <formula>ABS(I$7-I$10)&gt;=1000</formula>
    </cfRule>
  </conditionalFormatting>
  <conditionalFormatting sqref="J4:J11">
    <cfRule type="expression" dxfId="643" priority="94">
      <formula>ABS(J$7-J$10)&gt;=1000</formula>
    </cfRule>
  </conditionalFormatting>
  <conditionalFormatting sqref="K4:K11">
    <cfRule type="expression" dxfId="642" priority="93">
      <formula>ABS(K$7-K$10)&gt;=1000</formula>
    </cfRule>
  </conditionalFormatting>
  <conditionalFormatting sqref="L4:L11">
    <cfRule type="expression" dxfId="641" priority="92">
      <formula>ABS(L$7-L$10)&gt;=1000</formula>
    </cfRule>
  </conditionalFormatting>
  <conditionalFormatting sqref="M4 M6:M11">
    <cfRule type="expression" dxfId="640" priority="91">
      <formula>ABS(M$7-M$10)&gt;=1000</formula>
    </cfRule>
  </conditionalFormatting>
  <conditionalFormatting sqref="N4 N6:N11">
    <cfRule type="expression" dxfId="639" priority="90">
      <formula>ABS(N$7-N$10)&gt;=1000</formula>
    </cfRule>
  </conditionalFormatting>
  <conditionalFormatting sqref="O4 O6:O11">
    <cfRule type="expression" dxfId="638" priority="89">
      <formula>ABS(O$7-O$10)&gt;=1000</formula>
    </cfRule>
  </conditionalFormatting>
  <conditionalFormatting sqref="P4 P6:P11">
    <cfRule type="expression" dxfId="637" priority="88">
      <formula>ABS(P$7-P$10)&gt;=1000</formula>
    </cfRule>
  </conditionalFormatting>
  <conditionalFormatting sqref="Q4:Q11">
    <cfRule type="expression" dxfId="636" priority="87">
      <formula>ABS(Q$7-Q$10)&gt;=1000</formula>
    </cfRule>
  </conditionalFormatting>
  <conditionalFormatting sqref="R4:R11">
    <cfRule type="expression" dxfId="635" priority="86">
      <formula>ABS(R$7-R$10)&gt;=1000</formula>
    </cfRule>
  </conditionalFormatting>
  <conditionalFormatting sqref="S4:S11">
    <cfRule type="expression" dxfId="634" priority="85">
      <formula>ABS(S$7-S$10)&gt;=1000</formula>
    </cfRule>
  </conditionalFormatting>
  <conditionalFormatting sqref="T4:T9 T11">
    <cfRule type="expression" dxfId="633" priority="84">
      <formula>ABS(T$7-T$10)&gt;=1000</formula>
    </cfRule>
  </conditionalFormatting>
  <conditionalFormatting sqref="U4:U9 U11">
    <cfRule type="expression" dxfId="632" priority="83">
      <formula>ABS(U$7-U$10)&gt;=1000</formula>
    </cfRule>
  </conditionalFormatting>
  <conditionalFormatting sqref="V4:V9 V11">
    <cfRule type="expression" dxfId="631" priority="82">
      <formula>ABS(V$7-V$10)&gt;=1000</formula>
    </cfRule>
  </conditionalFormatting>
  <conditionalFormatting sqref="W4:W9 W11">
    <cfRule type="expression" dxfId="630" priority="81">
      <formula>ABS(W$7-W$10)&gt;=1000</formula>
    </cfRule>
  </conditionalFormatting>
  <conditionalFormatting sqref="X4:X9 X11">
    <cfRule type="expression" dxfId="629" priority="80">
      <formula>ABS(X$7-X$10)&gt;=1000</formula>
    </cfRule>
  </conditionalFormatting>
  <conditionalFormatting sqref="Y4:Y9 Y11">
    <cfRule type="expression" dxfId="628" priority="79">
      <formula>ABS(Y$7-Y$10)&gt;=1000</formula>
    </cfRule>
  </conditionalFormatting>
  <conditionalFormatting sqref="Z4:Z11">
    <cfRule type="expression" dxfId="627" priority="78">
      <formula>ABS(Z$7-Z$10)&gt;=1000</formula>
    </cfRule>
  </conditionalFormatting>
  <conditionalFormatting sqref="AA4:AA11">
    <cfRule type="expression" dxfId="626" priority="77">
      <formula>ABS(AA$7-AA$10)&gt;=1000</formula>
    </cfRule>
  </conditionalFormatting>
  <conditionalFormatting sqref="AB4:AB11">
    <cfRule type="expression" dxfId="625" priority="76">
      <formula>ABS(AB$7-AB$10)&gt;=1000</formula>
    </cfRule>
  </conditionalFormatting>
  <conditionalFormatting sqref="AC4 AC6:AC11">
    <cfRule type="expression" dxfId="624" priority="75">
      <formula>ABS(AC$7-AC$10)&gt;=1000</formula>
    </cfRule>
  </conditionalFormatting>
  <conditionalFormatting sqref="AD4 AD6:AD11">
    <cfRule type="expression" dxfId="623" priority="74">
      <formula>ABS(AD$7-AD$10)&gt;=1000</formula>
    </cfRule>
  </conditionalFormatting>
  <conditionalFormatting sqref="AE4 AE6:AE11">
    <cfRule type="expression" dxfId="622" priority="73">
      <formula>ABS(AE$7-AE$10)&gt;=1000</formula>
    </cfRule>
  </conditionalFormatting>
  <conditionalFormatting sqref="D13:D20">
    <cfRule type="expression" dxfId="621" priority="72">
      <formula>ABS(D$16-D$19)&gt;=1000</formula>
    </cfRule>
  </conditionalFormatting>
  <conditionalFormatting sqref="E13:E20">
    <cfRule type="expression" dxfId="620" priority="71">
      <formula>ABS(E$16-E$19)&gt;=1000</formula>
    </cfRule>
  </conditionalFormatting>
  <conditionalFormatting sqref="F13 F15:F20">
    <cfRule type="expression" dxfId="619" priority="70">
      <formula>ABS(F$16-F$19)&gt;=1000</formula>
    </cfRule>
  </conditionalFormatting>
  <conditionalFormatting sqref="G13:G20">
    <cfRule type="expression" dxfId="618" priority="69">
      <formula>ABS(G$16-G$19)&gt;=1000</formula>
    </cfRule>
  </conditionalFormatting>
  <conditionalFormatting sqref="H13 H15:H20">
    <cfRule type="expression" dxfId="617" priority="68">
      <formula>ABS(H$16-H$19)&gt;=1000</formula>
    </cfRule>
  </conditionalFormatting>
  <conditionalFormatting sqref="I13:I20">
    <cfRule type="expression" dxfId="616" priority="67">
      <formula>ABS(I$16-I$19)&gt;=1000</formula>
    </cfRule>
  </conditionalFormatting>
  <conditionalFormatting sqref="J13:J20">
    <cfRule type="expression" dxfId="615" priority="66">
      <formula>ABS(J$16-J$19)&gt;=1000</formula>
    </cfRule>
  </conditionalFormatting>
  <conditionalFormatting sqref="L13:L20">
    <cfRule type="expression" dxfId="614" priority="65">
      <formula>ABS(L$16-L$19)&gt;=1000</formula>
    </cfRule>
  </conditionalFormatting>
  <conditionalFormatting sqref="M13 M15 M17:M18 M20">
    <cfRule type="expression" dxfId="613" priority="64">
      <formula>ABS(M$16-M$19)&gt;=1000</formula>
    </cfRule>
  </conditionalFormatting>
  <conditionalFormatting sqref="N13:N20">
    <cfRule type="expression" dxfId="612" priority="63">
      <formula>ABS(N$16-N$19)&gt;=1000</formula>
    </cfRule>
  </conditionalFormatting>
  <conditionalFormatting sqref="O13:O20">
    <cfRule type="expression" dxfId="611" priority="62">
      <formula>ABS(O$16-O$19)&gt;=1000</formula>
    </cfRule>
  </conditionalFormatting>
  <conditionalFormatting sqref="P13:P20">
    <cfRule type="expression" dxfId="610" priority="61">
      <formula>ABS(P$16-P$19)&gt;=1000</formula>
    </cfRule>
  </conditionalFormatting>
  <conditionalFormatting sqref="Q13 Q15:Q20">
    <cfRule type="expression" dxfId="609" priority="60">
      <formula>ABS(Q$16-Q$19)&gt;=1000</formula>
    </cfRule>
  </conditionalFormatting>
  <conditionalFormatting sqref="R13:R20">
    <cfRule type="expression" dxfId="608" priority="59">
      <formula>ABS(R$16-R$19)&gt;=1000</formula>
    </cfRule>
  </conditionalFormatting>
  <conditionalFormatting sqref="S13:S20">
    <cfRule type="expression" dxfId="607" priority="58">
      <formula>ABS(S$16-S$19)&gt;=1000</formula>
    </cfRule>
  </conditionalFormatting>
  <conditionalFormatting sqref="T13:T20">
    <cfRule type="expression" dxfId="606" priority="57">
      <formula>ABS(T$16-T$19)&gt;=1000</formula>
    </cfRule>
  </conditionalFormatting>
  <conditionalFormatting sqref="U13:U20">
    <cfRule type="expression" dxfId="605" priority="56">
      <formula>ABS(U$16-U$19)&gt;=1000</formula>
    </cfRule>
  </conditionalFormatting>
  <conditionalFormatting sqref="V13:V20">
    <cfRule type="expression" dxfId="604" priority="55">
      <formula>ABS(V$16-V$19)&gt;=1000</formula>
    </cfRule>
  </conditionalFormatting>
  <conditionalFormatting sqref="W13 W20 W15:W18">
    <cfRule type="expression" dxfId="603" priority="54">
      <formula>ABS(W$16-W$19)&gt;=1000</formula>
    </cfRule>
  </conditionalFormatting>
  <conditionalFormatting sqref="X13 X15:X20 Y19">
    <cfRule type="expression" dxfId="602" priority="53">
      <formula>ABS(X$16-X$19)&gt;=1000</formula>
    </cfRule>
  </conditionalFormatting>
  <conditionalFormatting sqref="Y13 Y15:Y18 Y20">
    <cfRule type="expression" dxfId="601" priority="52">
      <formula>ABS(Y$16-Y$19)&gt;=1000</formula>
    </cfRule>
  </conditionalFormatting>
  <conditionalFormatting sqref="Z13:Z20">
    <cfRule type="expression" dxfId="600" priority="51">
      <formula>ABS(Z$16-Z$19)&gt;=1000</formula>
    </cfRule>
  </conditionalFormatting>
  <conditionalFormatting sqref="AA13:AA20">
    <cfRule type="expression" dxfId="599" priority="50">
      <formula>ABS(AA$16-AA$19)&gt;=1000</formula>
    </cfRule>
  </conditionalFormatting>
  <conditionalFormatting sqref="AB13 AB15:AB20">
    <cfRule type="expression" dxfId="598" priority="49">
      <formula>ABS(AB$16-AB$19)&gt;=1000</formula>
    </cfRule>
  </conditionalFormatting>
  <conditionalFormatting sqref="AC13 AC15:AC20">
    <cfRule type="expression" dxfId="597" priority="48">
      <formula>ABS(AC$16-AC$19)&gt;=1000</formula>
    </cfRule>
  </conditionalFormatting>
  <conditionalFormatting sqref="AD13:AD20">
    <cfRule type="expression" dxfId="596" priority="47">
      <formula>ABS(AD$16-AD$19)&gt;=1000</formula>
    </cfRule>
  </conditionalFormatting>
  <conditionalFormatting sqref="AE13:AE20">
    <cfRule type="expression" dxfId="595" priority="46">
      <formula>ABS(AE$16-AE$19)&gt;=1000</formula>
    </cfRule>
  </conditionalFormatting>
  <conditionalFormatting sqref="D22:D29">
    <cfRule type="expression" dxfId="594" priority="45">
      <formula>ABS(D$25-D$28)&gt;=1000</formula>
    </cfRule>
  </conditionalFormatting>
  <conditionalFormatting sqref="E22:E29">
    <cfRule type="expression" dxfId="593" priority="44">
      <formula>ABS(E$25-E$28)&gt;=1000</formula>
    </cfRule>
  </conditionalFormatting>
  <conditionalFormatting sqref="F22:F29">
    <cfRule type="expression" dxfId="592" priority="43">
      <formula>ABS(F$25-F$28)&gt;=1000</formula>
    </cfRule>
  </conditionalFormatting>
  <conditionalFormatting sqref="G22:G29">
    <cfRule type="expression" dxfId="591" priority="42">
      <formula>ABS(G$25-G$28)&gt;=1000</formula>
    </cfRule>
  </conditionalFormatting>
  <conditionalFormatting sqref="H22:H29">
    <cfRule type="expression" dxfId="590" priority="41">
      <formula>ABS(H$25-H$28)&gt;=1000</formula>
    </cfRule>
  </conditionalFormatting>
  <conditionalFormatting sqref="I22 I24:I29">
    <cfRule type="expression" dxfId="589" priority="40">
      <formula>ABS(I$25-I$28)&gt;=1000</formula>
    </cfRule>
  </conditionalFormatting>
  <conditionalFormatting sqref="J22:J29 K22">
    <cfRule type="expression" dxfId="588" priority="39">
      <formula>ABS(J$25-J$28)&gt;=1000</formula>
    </cfRule>
  </conditionalFormatting>
  <conditionalFormatting sqref="K23:K29 L25 L28">
    <cfRule type="expression" dxfId="587" priority="38">
      <formula>ABS(K$25-K$28)&gt;=1000</formula>
    </cfRule>
  </conditionalFormatting>
  <conditionalFormatting sqref="L22 L26:L27 L29 L24">
    <cfRule type="expression" dxfId="586" priority="37">
      <formula>ABS(L$25-L$28)&gt;=1000</formula>
    </cfRule>
  </conditionalFormatting>
  <conditionalFormatting sqref="M22:M29">
    <cfRule type="expression" dxfId="585" priority="36">
      <formula>ABS(M$25-M$28)&gt;=1000</formula>
    </cfRule>
  </conditionalFormatting>
  <conditionalFormatting sqref="N22:N29">
    <cfRule type="expression" dxfId="584" priority="35">
      <formula>ABS(N$25-N$28)&gt;=1000</formula>
    </cfRule>
  </conditionalFormatting>
  <conditionalFormatting sqref="O22:O29">
    <cfRule type="expression" dxfId="583" priority="34">
      <formula>ABS(O$25-O$28)&gt;=1000</formula>
    </cfRule>
  </conditionalFormatting>
  <conditionalFormatting sqref="P22:P29">
    <cfRule type="expression" dxfId="582" priority="33">
      <formula>ABS(P$25-P$28)&gt;=1000</formula>
    </cfRule>
  </conditionalFormatting>
  <conditionalFormatting sqref="Q22:Q29">
    <cfRule type="expression" dxfId="581" priority="32">
      <formula>ABS(Q$25-Q$28)&gt;=1000</formula>
    </cfRule>
  </conditionalFormatting>
  <conditionalFormatting sqref="R22:R29">
    <cfRule type="expression" dxfId="580" priority="31">
      <formula>ABS(R$25-R$28)&gt;=1000</formula>
    </cfRule>
  </conditionalFormatting>
  <conditionalFormatting sqref="S22:S29">
    <cfRule type="expression" dxfId="579" priority="30">
      <formula>ABS(S$25-S$28)&gt;=1000</formula>
    </cfRule>
  </conditionalFormatting>
  <conditionalFormatting sqref="T22:T29">
    <cfRule type="expression" dxfId="578" priority="29">
      <formula>ABS(T$25-T$28)&gt;=1000</formula>
    </cfRule>
  </conditionalFormatting>
  <conditionalFormatting sqref="U22:U29">
    <cfRule type="expression" dxfId="577" priority="28">
      <formula>ABS(U$25-U$28)&gt;=1000</formula>
    </cfRule>
  </conditionalFormatting>
  <conditionalFormatting sqref="V22:V29">
    <cfRule type="expression" dxfId="576" priority="27">
      <formula>ABS(V$25-V$28)&gt;=1000</formula>
    </cfRule>
  </conditionalFormatting>
  <conditionalFormatting sqref="W22:W29">
    <cfRule type="expression" dxfId="575" priority="26">
      <formula>ABS(W$25-W$28)&gt;=1000</formula>
    </cfRule>
  </conditionalFormatting>
  <conditionalFormatting sqref="X22:X29">
    <cfRule type="expression" dxfId="574" priority="25">
      <formula>ABS(X$25-X$28)&gt;=1000</formula>
    </cfRule>
  </conditionalFormatting>
  <conditionalFormatting sqref="Y22:Y29">
    <cfRule type="expression" dxfId="573" priority="24">
      <formula>ABS(Y$25-Y$28)&gt;=1000</formula>
    </cfRule>
  </conditionalFormatting>
  <conditionalFormatting sqref="I23">
    <cfRule type="expression" dxfId="572" priority="23">
      <formula>ABS(I$25-I$28)&gt;=1000</formula>
    </cfRule>
  </conditionalFormatting>
  <conditionalFormatting sqref="Q14">
    <cfRule type="expression" dxfId="571" priority="22">
      <formula>ABS(Q$16-Q$19)&gt;=1000</formula>
    </cfRule>
  </conditionalFormatting>
  <conditionalFormatting sqref="W14">
    <cfRule type="expression" dxfId="570" priority="21">
      <formula>ABS(W$16-W$19)&gt;=1000</formula>
    </cfRule>
  </conditionalFormatting>
  <conditionalFormatting sqref="X14">
    <cfRule type="expression" dxfId="569" priority="20">
      <formula>ABS(X$16-X$19)&gt;=1000</formula>
    </cfRule>
  </conditionalFormatting>
  <conditionalFormatting sqref="T10:Y10">
    <cfRule type="expression" dxfId="568" priority="19">
      <formula>ABS(T$7-T$10)&gt;=1000</formula>
    </cfRule>
  </conditionalFormatting>
  <conditionalFormatting sqref="W19">
    <cfRule type="expression" dxfId="567" priority="18">
      <formula>ABS(W$16-W$19)&gt;=1000</formula>
    </cfRule>
  </conditionalFormatting>
  <conditionalFormatting sqref="AC5">
    <cfRule type="expression" dxfId="566" priority="17">
      <formula>ABS(AC$7-AC$10)&gt;=1000</formula>
    </cfRule>
  </conditionalFormatting>
  <conditionalFormatting sqref="M14">
    <cfRule type="expression" dxfId="565" priority="16">
      <formula>ABS(M$16-M$19)&gt;=1000</formula>
    </cfRule>
  </conditionalFormatting>
  <conditionalFormatting sqref="M16">
    <cfRule type="expression" dxfId="564" priority="15">
      <formula>ABS(M$16-M$19)&gt;=1000</formula>
    </cfRule>
  </conditionalFormatting>
  <conditionalFormatting sqref="M19">
    <cfRule type="expression" dxfId="563" priority="14">
      <formula>ABS(M$16-M$19)&gt;=1000</formula>
    </cfRule>
  </conditionalFormatting>
  <conditionalFormatting sqref="K13:K20">
    <cfRule type="expression" dxfId="562" priority="13">
      <formula>ABS(K$16-K$19)&gt;=1000</formula>
    </cfRule>
  </conditionalFormatting>
  <conditionalFormatting sqref="E5">
    <cfRule type="expression" dxfId="561" priority="12">
      <formula>ABS(E$7-E$10)&gt;=1000</formula>
    </cfRule>
  </conditionalFormatting>
  <conditionalFormatting sqref="AB14:AC14">
    <cfRule type="expression" dxfId="560" priority="11">
      <formula>ABS(AB$16-AB$19)&gt;=1000</formula>
    </cfRule>
  </conditionalFormatting>
  <conditionalFormatting sqref="M5">
    <cfRule type="expression" dxfId="559" priority="10">
      <formula>ABS(M$7-M$10)&gt;=1000</formula>
    </cfRule>
  </conditionalFormatting>
  <conditionalFormatting sqref="N5">
    <cfRule type="expression" dxfId="558" priority="9">
      <formula>ABS(N$7-N$10)&gt;=1000</formula>
    </cfRule>
  </conditionalFormatting>
  <conditionalFormatting sqref="O5">
    <cfRule type="expression" dxfId="557" priority="8">
      <formula>ABS(O$7-O$10)&gt;=1000</formula>
    </cfRule>
  </conditionalFormatting>
  <conditionalFormatting sqref="P5">
    <cfRule type="expression" dxfId="556" priority="7">
      <formula>ABS(P$7-P$10)&gt;=1000</formula>
    </cfRule>
  </conditionalFormatting>
  <conditionalFormatting sqref="L23">
    <cfRule type="expression" dxfId="555" priority="6">
      <formula>ABS(L$25-L$28)&gt;=1000</formula>
    </cfRule>
  </conditionalFormatting>
  <conditionalFormatting sqref="Y14">
    <cfRule type="expression" dxfId="554" priority="5">
      <formula>ABS(Y$16-Y$19)&gt;=1000</formula>
    </cfRule>
  </conditionalFormatting>
  <conditionalFormatting sqref="F14">
    <cfRule type="expression" dxfId="553" priority="4">
      <formula>ABS(F$16-F$19)&gt;=1000</formula>
    </cfRule>
  </conditionalFormatting>
  <conditionalFormatting sqref="H14">
    <cfRule type="expression" dxfId="552" priority="3">
      <formula>ABS(H$16-H$19)&gt;=1000</formula>
    </cfRule>
  </conditionalFormatting>
  <conditionalFormatting sqref="AD5">
    <cfRule type="expression" dxfId="551" priority="2">
      <formula>ABS(AD$7-AD$10)&gt;=1000</formula>
    </cfRule>
  </conditionalFormatting>
  <conditionalFormatting sqref="AE5">
    <cfRule type="expression" dxfId="55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10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96">
    <pageSetUpPr fitToPage="1"/>
  </sheetPr>
  <dimension ref="A1:CU223"/>
  <sheetViews>
    <sheetView view="pageBreakPreview" topLeftCell="A7" zoomScale="70" zoomScaleNormal="100" zoomScaleSheetLayoutView="70" workbookViewId="0">
      <selection activeCell="Z6" sqref="Z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46168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2" t="s" ph="1">
        <v>177</v>
      </c>
      <c r="D6" s="71">
        <v>3342</v>
      </c>
      <c r="E6" s="71">
        <v>8172</v>
      </c>
      <c r="F6" s="71">
        <v>5842</v>
      </c>
      <c r="G6" s="71">
        <v>1669</v>
      </c>
      <c r="H6" s="71">
        <v>3393</v>
      </c>
      <c r="I6" s="71">
        <v>52.39</v>
      </c>
      <c r="J6" s="71">
        <v>6.25</v>
      </c>
      <c r="K6" s="71">
        <v>7.12</v>
      </c>
      <c r="L6" s="71">
        <v>25.68</v>
      </c>
      <c r="M6" s="71">
        <v>6394</v>
      </c>
      <c r="N6" s="71">
        <v>1344</v>
      </c>
      <c r="O6" s="71">
        <v>2741</v>
      </c>
      <c r="P6" s="71">
        <v>1317</v>
      </c>
      <c r="Q6" s="71">
        <v>2215</v>
      </c>
      <c r="R6" s="71">
        <v>3086</v>
      </c>
      <c r="S6" s="71">
        <v>0</v>
      </c>
      <c r="T6" s="71">
        <v>0</v>
      </c>
      <c r="U6" s="71">
        <v>0</v>
      </c>
      <c r="V6" s="71">
        <v>6622</v>
      </c>
      <c r="W6" s="71">
        <v>7010</v>
      </c>
      <c r="X6" s="71">
        <v>6275</v>
      </c>
      <c r="Y6" s="71">
        <v>6750</v>
      </c>
      <c r="Z6" s="71">
        <v>5691</v>
      </c>
      <c r="AA6" s="71">
        <v>0</v>
      </c>
      <c r="AB6" s="71">
        <v>3968</v>
      </c>
      <c r="AC6" s="71">
        <v>5391</v>
      </c>
      <c r="AD6" s="71">
        <v>3541</v>
      </c>
      <c r="AE6" s="71">
        <v>5505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104454.4362534</v>
      </c>
      <c r="E7" s="73" ph="1">
        <f>E6*51.53*LOOKUP(E8,密度!$A$2:$A$50,密度!$B$2:$B$50)</f>
        <v>327576.14816400001</v>
      </c>
      <c r="F7" s="73" ph="1">
        <f>F6*33.183*LOOKUP(F8,密度!$A$2:$A$50,密度!$C$2:$C$50)</f>
        <v>214384.33960740003</v>
      </c>
      <c r="G7" s="73" ph="1">
        <f xml:space="preserve"> (G6+2)*51.53*LOOKUP(G8,密度!$A$2:$A$50,密度!$B$2:$B$50)</f>
        <v>66904.851510000008</v>
      </c>
      <c r="H7" s="73" ph="1">
        <f>(H6)*51.53*LOOKUP(H8,密度!$A$2:$A$50,密度!$B$2:$B$50)</f>
        <v>136148.91252300001</v>
      </c>
      <c r="I7" s="73" ph="1">
        <f>I6*290.8*1.0267</f>
        <v>15641.786820400001</v>
      </c>
      <c r="J7" s="73" ph="1">
        <f>J6*290.8*0.7892</f>
        <v>1434.3710000000001</v>
      </c>
      <c r="K7" s="73" ph="1">
        <f>K6*290.8*1.1126</f>
        <v>2303.6338496000003</v>
      </c>
      <c r="L7" s="73" ph="1">
        <f>L6*290.8*0.777</f>
        <v>5802.4370880000006</v>
      </c>
      <c r="M7" s="73" ph="1">
        <f>M6*33.183*LOOKUP(M8,密度!$A$2:$A$50,密度!$D$2:$D$50)</f>
        <v>215906.3309952</v>
      </c>
      <c r="N7" s="73" ph="1">
        <f>N6*33.183*LOOKUP(N8,密度!$A$2:$A$50,密度!$E$2:$E$50)</f>
        <v>34628.079830399998</v>
      </c>
      <c r="O7" s="73" ph="1">
        <f>O6*20.428*LOOKUP(O8,密度!$A$2:$A$50,密度!$C$2:$C$50)</f>
        <v>61760.442243999998</v>
      </c>
      <c r="P7" s="73" ph="1">
        <f>P6*51.53*LOOKUP(P8,密度!$A$2:$A$50,密度!$B$2:$B$50)</f>
        <v>52676.820761999996</v>
      </c>
      <c r="Q7" s="73" ph="1">
        <f>Q6*1.5*1.5*3.1416*LOOKUP(W8,密度!$A$2:$A$50,密度!$L$2:$L$50)</f>
        <v>14623.590366000002</v>
      </c>
      <c r="R7" s="73" ph="1">
        <f>R6*1.5*1.5*3.1416*LOOKUP(R8,密度!$A$2:$A$50,密度!$L$2:$L$50)</f>
        <v>20330.368027200002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43718.923432800002</v>
      </c>
      <c r="W7" s="73" ph="1">
        <f>W6*1.5*1.5*3.1416*LOOKUP(W8,密度!$A$2:$A$50,密度!$L$2:$L$50)</f>
        <v>46280.527524000005</v>
      </c>
      <c r="X7" s="73" ph="1">
        <f>X6*1.5*1.5*3.1416*LOOKUP(X8,密度!$A$2:$A$50,密度!$L$2:$L$50)</f>
        <v>41339.293379999996</v>
      </c>
      <c r="Y7" s="73" ph="1">
        <f>Y6*1.5*1.5*3.1416*LOOKUP(Y8,密度!$A$2:$A$50,密度!$L$2:$L$50)</f>
        <v>44563.988700000002</v>
      </c>
      <c r="Z7" s="73" ph="1">
        <f>Z6*33.183*LOOKUP(Z8,密度!$A$2:$A$50,密度!$L$2:$L$50)</f>
        <v>175625.34129000001</v>
      </c>
      <c r="AA7" s="73" ph="1">
        <f>AA6*33.183*LOOKUP(AA8,密度!$A$2:$A$50,密度!$D$2:$D$50)</f>
        <v>0</v>
      </c>
      <c r="AB7" s="73" ph="1">
        <f>AB6*20.428*LOOKUP(AB8,密度!$A$2:$A$50,密度!$D$2:$D$50)</f>
        <v>83449.523968000009</v>
      </c>
      <c r="AC7" s="73" ph="1">
        <f>AC6*51.53*LOOKUP(AC8,密度!$A$2:$A$50,密度!$Q$2:$Q$50)</f>
        <v>262055.40430589998</v>
      </c>
      <c r="AD7" s="73" ph="1">
        <f>AD6*20.428*LOOKUP(AD8,密度!$A$2:$A$50,密度!$V$2:$V$50)</f>
        <v>69268.520764800007</v>
      </c>
      <c r="AE7" s="73" ph="1">
        <f>AE6*20.428</f>
        <v>112456.14</v>
      </c>
    </row>
    <row r="8" spans="1:99" ph="1">
      <c r="B8" s="241" ph="1"/>
      <c r="C8" s="68" t="s" ph="1">
        <v>179</v>
      </c>
      <c r="D8" s="74">
        <v>32</v>
      </c>
      <c r="E8" s="74">
        <v>27</v>
      </c>
      <c r="F8" s="74">
        <v>29</v>
      </c>
      <c r="G8" s="74">
        <v>28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35</v>
      </c>
      <c r="N8" s="74">
        <v>31</v>
      </c>
      <c r="O8" s="74">
        <v>32</v>
      </c>
      <c r="P8" s="74">
        <v>29</v>
      </c>
      <c r="Q8" s="74">
        <v>30</v>
      </c>
      <c r="R8" s="74">
        <v>30</v>
      </c>
      <c r="S8" s="74">
        <v>32</v>
      </c>
      <c r="T8" s="74">
        <v>25</v>
      </c>
      <c r="U8" s="74">
        <v>30</v>
      </c>
      <c r="V8" s="74">
        <v>28</v>
      </c>
      <c r="W8" s="74">
        <v>28</v>
      </c>
      <c r="X8" s="74">
        <v>30</v>
      </c>
      <c r="Y8" s="74">
        <v>28</v>
      </c>
      <c r="Z8" s="74">
        <v>32</v>
      </c>
      <c r="AA8" s="74">
        <v>32</v>
      </c>
      <c r="AB8" s="74">
        <v>22</v>
      </c>
      <c r="AC8" s="74">
        <v>30</v>
      </c>
      <c r="AD8" s="74">
        <v>28</v>
      </c>
      <c r="AE8" s="74">
        <v>30</v>
      </c>
    </row>
    <row r="9" spans="1:99" ht="26.4" ph="1">
      <c r="B9" s="241" ph="1">
        <v>0.66666666666666663</v>
      </c>
      <c r="C9" s="162" t="s" ph="1">
        <v>180</v>
      </c>
      <c r="D9" s="71">
        <v>3608</v>
      </c>
      <c r="E9" s="71">
        <v>8174</v>
      </c>
      <c r="F9" s="71">
        <v>5846</v>
      </c>
      <c r="G9" s="71">
        <v>1670</v>
      </c>
      <c r="H9" s="71">
        <v>3163</v>
      </c>
      <c r="I9" s="71">
        <v>52.43</v>
      </c>
      <c r="J9" s="71">
        <v>6.27</v>
      </c>
      <c r="K9" s="71">
        <v>63.22</v>
      </c>
      <c r="L9" s="71">
        <v>84.01</v>
      </c>
      <c r="M9" s="71">
        <v>63.95</v>
      </c>
      <c r="N9" s="71">
        <v>1346</v>
      </c>
      <c r="O9" s="71">
        <v>2742</v>
      </c>
      <c r="P9" s="71">
        <v>1080</v>
      </c>
      <c r="Q9" s="71">
        <v>4986</v>
      </c>
      <c r="R9" s="71">
        <v>3088</v>
      </c>
      <c r="S9" s="71">
        <v>0</v>
      </c>
      <c r="T9" s="71">
        <v>0</v>
      </c>
      <c r="U9" s="71">
        <v>0</v>
      </c>
      <c r="V9" s="71">
        <v>2134</v>
      </c>
      <c r="W9" s="71">
        <v>7019</v>
      </c>
      <c r="X9" s="71">
        <v>6281</v>
      </c>
      <c r="Y9" s="71">
        <v>7154</v>
      </c>
      <c r="Z9" s="71">
        <v>3006</v>
      </c>
      <c r="AA9" s="71">
        <v>0</v>
      </c>
      <c r="AB9" s="71">
        <v>3819</v>
      </c>
      <c r="AC9" s="71">
        <v>5186</v>
      </c>
      <c r="AD9" s="71">
        <v>3543</v>
      </c>
      <c r="AE9" s="71">
        <v>5490</v>
      </c>
    </row>
    <row r="10" spans="1:99" s="72" customFormat="1" ht="22.2" ph="1">
      <c r="B10" s="241" ph="1"/>
      <c r="C10" s="162" t="s" ph="1">
        <v>178</v>
      </c>
      <c r="D10" s="73" ph="1">
        <f>D9*33.183*LOOKUP(D11,密度!$A$2:$A$50,密度!$Q$2:$Q$50)</f>
        <v>112533.62470416</v>
      </c>
      <c r="E10" s="73" ph="1">
        <f>E9*51.53*LOOKUP(E11,密度!$A$2:$A$50,密度!$B$2:$B$50)</f>
        <v>326940.267964</v>
      </c>
      <c r="F10" s="73" ph="1">
        <f>F9*33.183*LOOKUP(F11,密度!$A$2:$A$50,密度!$C$2:$C$50)</f>
        <v>214375.9376718</v>
      </c>
      <c r="G10" s="73" ph="1">
        <f xml:space="preserve"> (G9+2)*51.53*LOOKUP(G11,密度!$A$2:$A$50,密度!$B$2:$B$50)</f>
        <v>66798.421448000008</v>
      </c>
      <c r="H10" s="73" ph="1">
        <f>(H9)*51.53*LOOKUP(H11,密度!$A$2:$A$50,密度!$B$2:$B$50)</f>
        <v>126365.67406700001</v>
      </c>
      <c r="I10" s="73" ph="1">
        <f>I9*290.8*1.0267</f>
        <v>15653.729394799999</v>
      </c>
      <c r="J10" s="73" ph="1">
        <f>J9*290.8*0.7892</f>
        <v>1438.9609872000001</v>
      </c>
      <c r="K10" s="73" ph="1">
        <f>K9*290.8*1.1126</f>
        <v>20454.456737600001</v>
      </c>
      <c r="L10" s="73" ph="1">
        <f>L9*290.8*0.777</f>
        <v>18982.193916000004</v>
      </c>
      <c r="M10" s="73" ph="1">
        <f>M9*33.183*LOOKUP(M11,密度!$A$2:$A$50,密度!$D$2:$D$50)</f>
        <v>2153.88364275</v>
      </c>
      <c r="N10" s="73" ph="1">
        <f>N9*33.183*LOOKUP(N11,密度!$A$2:$A$50,密度!$E$2:$E$50)</f>
        <v>34578.668352419998</v>
      </c>
      <c r="O10" s="73" ph="1">
        <f>O9*20.428*LOOKUP(O11,密度!$A$2:$A$50,密度!$C$2:$C$50)</f>
        <v>61491.703732800008</v>
      </c>
      <c r="P10" s="73" ph="1">
        <f>P9*51.53*LOOKUP(P11,密度!$A$2:$A$50,密度!$B$2:$B$50)</f>
        <v>43047.131399999998</v>
      </c>
      <c r="Q10" s="73" ph="1">
        <f>Q9*1.5*1.5*3.1416*LOOKUP(W11,密度!$A$2:$A$50,密度!$L$2:$L$50)</f>
        <v>32882.688946800001</v>
      </c>
      <c r="R10" s="73" ph="1">
        <f>R9*1.5*1.5*3.1416*LOOKUP(R11,密度!$A$2:$A$50,密度!$L$2:$L$50)</f>
        <v>20299.888224000002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14103.906894000002</v>
      </c>
      <c r="W10" s="73" ph="1">
        <f>W9*1.5*1.5*3.1416*LOOKUP(W11,密度!$A$2:$A$50,密度!$L$2:$L$50)</f>
        <v>46290.331672200002</v>
      </c>
      <c r="X10" s="73" ph="1">
        <f>X9*1.5*1.5*3.1416*LOOKUP(X11,密度!$A$2:$A$50,密度!$L$2:$L$50)</f>
        <v>41512.014621000002</v>
      </c>
      <c r="Y10" s="73" ph="1">
        <f>Y9*1.5*1.5*3.1416*LOOKUP(Y11,密度!$A$2:$A$50,密度!$L$2:$L$50)</f>
        <v>47180.657185200005</v>
      </c>
      <c r="Z10" s="73" ph="1">
        <f>Z9*33.183*LOOKUP(Z11,密度!$A$2:$A$50,密度!$L$2:$L$50)</f>
        <v>92665.983042000007</v>
      </c>
      <c r="AA10" s="73" ph="1">
        <f>AA9*33.183*LOOKUP(AA11,密度!$A$2:$A$50,密度!$D$2:$D$50)</f>
        <v>0</v>
      </c>
      <c r="AB10" s="73" ph="1">
        <f>AB9*20.428*LOOKUP(AB11,密度!$A$2:$A$50,密度!$D$2:$D$50)</f>
        <v>80097.520004400008</v>
      </c>
      <c r="AC10" s="73" ph="1">
        <f>AC9*51.53*LOOKUP(AC11,密度!$A$2:$A$50,密度!$Q$2:$Q$50)</f>
        <v>251708.250902</v>
      </c>
      <c r="AD10" s="73" ph="1">
        <f>AD9*20.428*LOOKUP(AD11,密度!$A$2:$A$50,密度!$V$2:$V$50)</f>
        <v>69307.644470400017</v>
      </c>
      <c r="AE10" s="73" ph="1">
        <f>AE9*20.428</f>
        <v>112149.72</v>
      </c>
    </row>
    <row r="11" spans="1:99" ph="1">
      <c r="A11" s="64" t="s" ph="1">
        <v>162</v>
      </c>
      <c r="B11" s="241" ph="1"/>
      <c r="C11" s="162" t="s" ph="1">
        <v>179</v>
      </c>
      <c r="D11" s="74">
        <v>35</v>
      </c>
      <c r="E11" s="74">
        <v>29</v>
      </c>
      <c r="F11" s="74">
        <v>30</v>
      </c>
      <c r="G11" s="74">
        <v>30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38</v>
      </c>
      <c r="N11" s="74">
        <v>33</v>
      </c>
      <c r="O11" s="74">
        <v>37</v>
      </c>
      <c r="P11" s="74">
        <v>32</v>
      </c>
      <c r="Q11" s="74">
        <v>31</v>
      </c>
      <c r="R11" s="74">
        <v>32</v>
      </c>
      <c r="S11" s="74">
        <v>29</v>
      </c>
      <c r="T11" s="74">
        <v>34</v>
      </c>
      <c r="U11" s="74">
        <v>30</v>
      </c>
      <c r="V11" s="74">
        <v>27</v>
      </c>
      <c r="W11" s="74">
        <v>29</v>
      </c>
      <c r="X11" s="74">
        <v>27</v>
      </c>
      <c r="Y11" s="74">
        <v>29</v>
      </c>
      <c r="Z11" s="74">
        <v>33</v>
      </c>
      <c r="AA11" s="74">
        <v>45</v>
      </c>
      <c r="AB11" s="74">
        <v>25</v>
      </c>
      <c r="AC11" s="74">
        <v>32</v>
      </c>
      <c r="AD11" s="74">
        <v>33</v>
      </c>
      <c r="AE11" s="74">
        <v>32</v>
      </c>
    </row>
    <row r="12" spans="1:99" ht="9.9" customHeight="1" ph="1"/>
    <row r="13" spans="1:99" s="72" customFormat="1" ht="29.25" customHeight="1" ph="1">
      <c r="B13" s="218" t="s" ph="1">
        <v>37</v>
      </c>
      <c r="C13" s="16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2" t="s" ph="1">
        <v>177</v>
      </c>
      <c r="D15" s="78">
        <v>2884</v>
      </c>
      <c r="E15" s="78">
        <v>5911</v>
      </c>
      <c r="F15" s="78">
        <v>3613</v>
      </c>
      <c r="G15" s="78">
        <v>3691</v>
      </c>
      <c r="H15" s="78">
        <v>0</v>
      </c>
      <c r="I15" s="78">
        <v>836</v>
      </c>
      <c r="J15" s="78">
        <v>151</v>
      </c>
      <c r="K15" s="78">
        <v>2280</v>
      </c>
      <c r="L15" s="78">
        <v>3583</v>
      </c>
      <c r="M15" s="78">
        <v>5716</v>
      </c>
      <c r="N15" s="78">
        <v>328</v>
      </c>
      <c r="O15" s="78">
        <v>2704</v>
      </c>
      <c r="P15" s="78">
        <v>5327</v>
      </c>
      <c r="Q15" s="78">
        <v>782</v>
      </c>
      <c r="R15" s="78">
        <v>0</v>
      </c>
      <c r="S15" s="78">
        <v>0</v>
      </c>
      <c r="T15" s="78">
        <v>4096</v>
      </c>
      <c r="U15" s="78">
        <v>3096</v>
      </c>
      <c r="V15" s="78">
        <v>-537</v>
      </c>
      <c r="W15" s="71">
        <v>-733</v>
      </c>
      <c r="X15" s="78">
        <v>-323</v>
      </c>
      <c r="Y15" s="106">
        <v>-2368</v>
      </c>
      <c r="Z15" s="78">
        <v>1953</v>
      </c>
      <c r="AA15" s="78">
        <v>2604</v>
      </c>
      <c r="AB15" s="78" ph="1">
        <v>2752</v>
      </c>
      <c r="AC15" s="78" ph="1">
        <v>6099</v>
      </c>
      <c r="AD15" s="78">
        <v>5.6</v>
      </c>
      <c r="AE15" s="78">
        <v>66.66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2" t="s" ph="1">
        <v>178</v>
      </c>
      <c r="D16" s="73" ph="1">
        <f>D15*7.0686*LOOKUP(D17,密度!$A$2:$A$50,密度!$L$2:$L$50)</f>
        <v>18999.605116800001</v>
      </c>
      <c r="E16" s="73" ph="1">
        <f>E15*7.0686*LOOKUP(E17,密度!$A$2:$A$50,密度!$L$2:$L$50)</f>
        <v>38983.067461799998</v>
      </c>
      <c r="F16" s="73" ph="1">
        <f>F15*9.0746*LOOKUP(F17,密度!$A$2:$A$50,密度!$L$2:$L$50)</f>
        <v>30294.753535200005</v>
      </c>
      <c r="G16" s="73" ph="1">
        <f>G15*9.0746*LOOKUP(G17,密度!$A$2:$A$50,密度!$B$2:$B$50)</f>
        <v>25968.16846958</v>
      </c>
      <c r="H16" s="73" ph="1">
        <f>H15*9.0746*LOOKUP(H17,密度!$A$2:$A$50,密度!$L$2:$L$50)</f>
        <v>0</v>
      </c>
      <c r="I16" s="73" ph="1">
        <f>I15*9.0746*LOOKUP(I17,密度!$A$2:$A$50,密度!$U$2:$U$50)</f>
        <v>7707.7474496000004</v>
      </c>
      <c r="J16" s="73" ph="1">
        <f>J15*9.0746*LOOKUP(J17,密度!$A$2:$A$50,密度!$L$2:$L$50)</f>
        <v>1271.6055488</v>
      </c>
      <c r="K16" s="73" ph="1">
        <f>K15*9.0746*LOOKUP(K17,密度!$A$2:$A$50,密度!$C$2:$C$50)</f>
        <v>22881.168319200002</v>
      </c>
      <c r="L16" s="73" ph="1">
        <f>L15*9.0746*LOOKUP(L17,密度!$A$2:$A$50,密度!$E$2:$E$50)</f>
        <v>25283.113303679998</v>
      </c>
      <c r="M16" s="73" ph="1">
        <f>M15*9.0746*LOOKUP(M17,密度!$A$2:$A$50,密度!$M$2:$M$50)</f>
        <v>45014.182330352</v>
      </c>
      <c r="N16" s="73" ph="1">
        <f>N15*9.0746*LOOKUP(N17,密度!$A$2:$A$50,密度!$M$2:$M$50)</f>
        <v>2589.2302091199999</v>
      </c>
      <c r="O16" s="73" ph="1">
        <f>O15*9.0746*LOOKUP(O17,密度!$A$2:$A$50,密度!$G$2:$G$50)</f>
        <v>23349.356697888001</v>
      </c>
      <c r="P16" s="73" ph="1">
        <f ca="1">P15*9.0746*LOOKUP(P17,密度!$A$2:$A$51,密度!$Q$2:$Q$50)</f>
        <v>45629.948297206007</v>
      </c>
      <c r="Q16" s="73" ph="1">
        <f>Q15*9.0746*LOOKUP(Q17,密度!$A$2:$A$50,密度!$Q$2:$Q$50)</f>
        <v>6694.1877708760003</v>
      </c>
      <c r="R16" s="73" ph="1">
        <f>MAX(R15*9.0746*LOOKUP(R17,密度!$A$2:$A$50,密度!$B$2:$B$50),0)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34419.014041599999</v>
      </c>
      <c r="U16" s="73" ph="1">
        <f>U15*9.0746*LOOKUP(U17,密度!$A$2:$A$50,密度!$H$2:$H$50)</f>
        <v>25622.604979200005</v>
      </c>
      <c r="V16" s="73" ph="1">
        <f>MAX(5600*LOOKUP(V17,密度!$A$2:$A$50,密度!$Q$2:$Q$50)+V15*9.0476*LOOKUP(V17,密度!$A$2:$A$50,密度!$Q$2:$Q$50),0)</f>
        <v>698.86538410400044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2782.0525828000004</v>
      </c>
      <c r="Y16" s="107" ph="1">
        <v>0</v>
      </c>
      <c r="Z16" s="73" ph="1">
        <f>Z15*9.0746*LOOKUP(Z17,密度!$A$2:$A$50,密度!$D$2:$D$50)</f>
        <v>18112.593063600001</v>
      </c>
      <c r="AA16" s="73" ph="1">
        <f>AA15*9.0746*LOOKUP(AA17,密度!$A$2:$A$50,密度!$B$2:$B$50)</f>
        <v>18341.80657008</v>
      </c>
      <c r="AB16" s="73" ph="1">
        <f>AB15*9.0746*LOOKUP(AB17,密度!$A$2:$A$50,密度!$L$2:$L$50)</f>
        <v>23275.114854400003</v>
      </c>
      <c r="AC16" s="73" ph="1">
        <f>AC15*9.0746*LOOKUP(AC17,密度!$A$2:$A$50,密度!$L$2:$L$50)</f>
        <v>51416.420436599998</v>
      </c>
      <c r="AD16" s="73" ph="1">
        <f>AD15*268.68*LOOKUP(AD17,密度!$A$2:$A$50,密度!B2:B50)+IF(AD15&lt;=0,0,1566*LOOKUP(AD17,密度!$A$2:$A$50,密度!B2:B50))</f>
        <v>2393.8459967999997</v>
      </c>
      <c r="AE16" s="73" ph="1">
        <f>AE15*268.68*LOOKUP(AE17,密度!$A$2:$A$50,密度!B2:B50)+IF(AE15&lt;=0,0,1566*LOOKUP(AE17,密度!$A$2:$A$50,密度!B2:B50))</f>
        <v>15183.65238048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29</v>
      </c>
      <c r="F17" s="74">
        <v>38</v>
      </c>
      <c r="G17" s="74">
        <v>30</v>
      </c>
      <c r="H17" s="74">
        <v>30</v>
      </c>
      <c r="I17" s="74">
        <v>34</v>
      </c>
      <c r="J17" s="74">
        <v>34</v>
      </c>
      <c r="K17" s="74">
        <v>29</v>
      </c>
      <c r="L17" s="74">
        <v>30</v>
      </c>
      <c r="M17" s="74">
        <v>32</v>
      </c>
      <c r="N17" s="74">
        <v>30</v>
      </c>
      <c r="O17" s="74">
        <v>33</v>
      </c>
      <c r="P17" s="74">
        <v>29</v>
      </c>
      <c r="Q17" s="74">
        <v>30</v>
      </c>
      <c r="R17" s="74">
        <v>30</v>
      </c>
      <c r="S17" s="74">
        <v>30</v>
      </c>
      <c r="T17" s="74">
        <v>29</v>
      </c>
      <c r="U17" s="74">
        <v>28</v>
      </c>
      <c r="V17" s="74">
        <v>31</v>
      </c>
      <c r="W17" s="74">
        <v>31</v>
      </c>
      <c r="X17" s="74">
        <v>28</v>
      </c>
      <c r="Y17" s="108">
        <v>28</v>
      </c>
      <c r="Z17" s="74">
        <v>30</v>
      </c>
      <c r="AA17" s="74">
        <v>29</v>
      </c>
      <c r="AB17" s="74">
        <v>30</v>
      </c>
      <c r="AC17" s="74">
        <v>33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3953</v>
      </c>
      <c r="E18" s="71">
        <v>5919</v>
      </c>
      <c r="F18" s="71">
        <v>1602</v>
      </c>
      <c r="G18" s="71">
        <v>3754</v>
      </c>
      <c r="H18" s="71">
        <v>0</v>
      </c>
      <c r="I18" s="71">
        <v>1528</v>
      </c>
      <c r="J18" s="71">
        <v>152</v>
      </c>
      <c r="K18" s="71">
        <v>2281</v>
      </c>
      <c r="L18" s="71">
        <v>3590</v>
      </c>
      <c r="M18" s="71">
        <v>3968</v>
      </c>
      <c r="N18" s="71">
        <v>2670</v>
      </c>
      <c r="O18" s="71">
        <v>2879</v>
      </c>
      <c r="P18" s="71">
        <v>5333</v>
      </c>
      <c r="Q18" s="71">
        <v>783</v>
      </c>
      <c r="R18" s="71">
        <v>0</v>
      </c>
      <c r="S18" s="71">
        <v>0</v>
      </c>
      <c r="T18" s="71">
        <v>4100</v>
      </c>
      <c r="U18" s="71">
        <v>4887</v>
      </c>
      <c r="V18" s="71">
        <v>-537</v>
      </c>
      <c r="W18" s="71">
        <v>-731</v>
      </c>
      <c r="X18" s="71">
        <v>948</v>
      </c>
      <c r="Y18" s="109">
        <v>-9910</v>
      </c>
      <c r="Z18" s="71">
        <v>1953</v>
      </c>
      <c r="AA18" s="71">
        <v>2608</v>
      </c>
      <c r="AB18" s="71">
        <v>3690</v>
      </c>
      <c r="AC18" s="71">
        <v>7359</v>
      </c>
      <c r="AD18" s="71">
        <v>30.74</v>
      </c>
      <c r="AE18" s="71">
        <v>84.45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2" t="s" ph="1">
        <v>178</v>
      </c>
      <c r="D19" s="73" ph="1">
        <f>D18*7.0686*LOOKUP(D20,密度!$A$2:$A$50,密度!$L$2:$L$50)</f>
        <v>25874.454790800002</v>
      </c>
      <c r="E19" s="73" ph="1">
        <f>E18*7.0686*LOOKUP(E20,密度!$A$2:$A$50,密度!$L$2:$L$50)</f>
        <v>38742.954188400006</v>
      </c>
      <c r="F19" s="73" ph="1">
        <f>F18*9.0746*LOOKUP(F20,密度!$A$2:$A$50,密度!$L$2:$L$50)</f>
        <v>13447.196010000001</v>
      </c>
      <c r="G19" s="73" ph="1">
        <f>G18*9.0746*LOOKUP(G20,密度!$A$2:$A$50,密度!$B$2:$B$50)</f>
        <v>26411.407324519998</v>
      </c>
      <c r="H19" s="73" ph="1">
        <f>H18*9.0746*LOOKUP(H20,密度!$A$2:$A$50,密度!$L$2:$L$50)</f>
        <v>0</v>
      </c>
      <c r="I19" s="73" ph="1">
        <f>I18*9.0746*LOOKUP(I20,密度!$A$2:$A$50,密度!$U$2:$U$50)</f>
        <v>14018.5146768</v>
      </c>
      <c r="J19" s="73" ph="1">
        <f>J18*9.0746*LOOKUP(J20,密度!$A$2:$A$50,密度!$L$2:$L$50)</f>
        <v>1274.5094208000003</v>
      </c>
      <c r="K19" s="73" ph="1">
        <f>K18*9.0746*LOOKUP(K20,密度!$A$2:$A$50,密度!$C$2:$C$50)</f>
        <v>22831.176347799999</v>
      </c>
      <c r="L19" s="73" ph="1">
        <f>L18*9.0746*LOOKUP(L20,密度!$A$2:$A$50,密度!$E$2:$E$50)</f>
        <v>25258.230750480001</v>
      </c>
      <c r="M19" s="73" ph="1">
        <f>M18*9.0746*LOOKUP(M20,密度!$A$2:$A$50,密度!$M$2:$M$50)</f>
        <v>31172.856841216006</v>
      </c>
      <c r="N19" s="73" ph="1">
        <f>N18*9.0746*LOOKUP(N20,密度!$A$2:$A$50,密度!$M$2:$M$50)</f>
        <v>21154.4988042</v>
      </c>
      <c r="O19" s="73" ph="1">
        <f>O18*9.0746*LOOKUP(O20,密度!$A$2:$A$50,密度!$G$2:$G$50)</f>
        <v>24888.456771776004</v>
      </c>
      <c r="P19" s="73" ph="1">
        <f ca="1">P18*9.0746*LOOKUP(P20,密度!$A$2:$A$51,密度!$Q$2:$Q$50)</f>
        <v>45652.306115194006</v>
      </c>
      <c r="Q19" s="73" ph="1">
        <f>Q18*9.0746*LOOKUP(Q20,密度!$A$2:$A$50,密度!$Q$2:$Q$50)</f>
        <v>6674.1133037400004</v>
      </c>
      <c r="R19" s="73" ph="1">
        <f>MAX(R18*9.0746*LOOKUP(R20,密度!$A$2:$A$50,密度!$B$2:$B$50),0)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34333.567607999998</v>
      </c>
      <c r="U19" s="73" ph="1">
        <f>U18*9.0746*LOOKUP(U20,密度!$A$2:$A$50,密度!$H$2:$H$50)</f>
        <v>40271.141547216001</v>
      </c>
      <c r="V19" s="73" ph="1">
        <f>MAX(5600*LOOKUP(V20,密度!$A$2:$A$50,密度!$Q$2:$Q$50)+V18*9.0476*LOOKUP(V20,密度!$A$2:$A$50,密度!$Q$2:$Q$50),0)</f>
        <v>697.3899208920011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14697.425280159998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18080.692214760002</v>
      </c>
      <c r="AA19" s="73" ph="1">
        <f>AA18*9.0746*LOOKUP(AA20,密度!$A$2:$A$50,密度!$B$2:$B$50)</f>
        <v>18348.681487040001</v>
      </c>
      <c r="AB19" s="73" ph="1">
        <f>AB18*9.0746*LOOKUP(AB20,密度!$A$2:$A$50,密度!$L$2:$L$50)</f>
        <v>31040.848997999998</v>
      </c>
      <c r="AC19" s="73" ph="1">
        <f>AC18*9.0746*LOOKUP(AC20,密度!$A$2:$A$50,密度!$L$2:$L$50)</f>
        <v>61838.262776400006</v>
      </c>
      <c r="AD19" s="73" ph="1">
        <f>AD18*268.68*LOOKUP(AD20,密度!$A$2:$A$50,密度!B5:B53)+IF(AD18&lt;=0,0,1566*LOOKUP(AD20,密度!$A$2:$A$50,密度!B5:B53))</f>
        <v>7634.1984264000002</v>
      </c>
      <c r="AE19" s="73" ph="1">
        <f>AE18*268.68*LOOKUP(AE20,密度!$A$2:$A$50,密度!B5:B53)+IF(AE18&lt;=0,0,1566*LOOKUP(AE20,密度!$A$2:$A$50,密度!B5:B53))</f>
        <v>18846.932202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36</v>
      </c>
      <c r="E20" s="81">
        <v>36</v>
      </c>
      <c r="F20" s="81">
        <v>37</v>
      </c>
      <c r="G20" s="81">
        <v>30</v>
      </c>
      <c r="H20" s="81">
        <v>30</v>
      </c>
      <c r="I20" s="81">
        <v>40</v>
      </c>
      <c r="J20" s="81">
        <v>38</v>
      </c>
      <c r="K20" s="81">
        <v>32</v>
      </c>
      <c r="L20" s="81">
        <v>32</v>
      </c>
      <c r="M20" s="81">
        <v>34</v>
      </c>
      <c r="N20" s="81">
        <v>27</v>
      </c>
      <c r="O20" s="81">
        <v>32</v>
      </c>
      <c r="P20" s="81">
        <v>30</v>
      </c>
      <c r="Q20" s="81">
        <v>36</v>
      </c>
      <c r="R20" s="81">
        <v>35</v>
      </c>
      <c r="S20" s="81">
        <v>35</v>
      </c>
      <c r="T20" s="81">
        <v>31</v>
      </c>
      <c r="U20" s="81">
        <v>32</v>
      </c>
      <c r="V20" s="81">
        <v>34</v>
      </c>
      <c r="W20" s="81">
        <v>34</v>
      </c>
      <c r="X20" s="81">
        <v>30</v>
      </c>
      <c r="Y20" s="110">
        <v>30</v>
      </c>
      <c r="Z20" s="81">
        <v>32</v>
      </c>
      <c r="AA20" s="81">
        <v>30</v>
      </c>
      <c r="AB20" s="81">
        <v>35</v>
      </c>
      <c r="AC20" s="81">
        <v>36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2" t="s" ph="1">
        <v>177</v>
      </c>
      <c r="D24" s="71">
        <v>57.6</v>
      </c>
      <c r="E24" s="71">
        <v>20.14</v>
      </c>
      <c r="F24" s="71">
        <v>1126</v>
      </c>
      <c r="G24" s="71">
        <v>3903</v>
      </c>
      <c r="H24" s="71">
        <v>3780</v>
      </c>
      <c r="I24" s="71">
        <v>695</v>
      </c>
      <c r="J24" s="71">
        <v>211</v>
      </c>
      <c r="K24" s="71">
        <v>246</v>
      </c>
      <c r="L24" s="71">
        <v>468</v>
      </c>
      <c r="M24" s="71">
        <v>358</v>
      </c>
      <c r="N24" s="71">
        <v>1909</v>
      </c>
      <c r="O24" s="71">
        <v>0</v>
      </c>
      <c r="P24" s="71">
        <v>3237</v>
      </c>
      <c r="Q24" s="90">
        <v>809</v>
      </c>
      <c r="R24" s="71">
        <v>4337</v>
      </c>
      <c r="S24" s="71">
        <v>5499</v>
      </c>
      <c r="T24" s="71">
        <v>491</v>
      </c>
      <c r="U24" s="71">
        <v>5089</v>
      </c>
      <c r="V24" s="71">
        <v>1015</v>
      </c>
      <c r="W24" s="71">
        <v>3891</v>
      </c>
      <c r="X24" s="71">
        <v>3985</v>
      </c>
      <c r="Y24" s="71">
        <v>2175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16134.31278432</v>
      </c>
      <c r="E25" s="91" ph="1">
        <f>E24*268.68*LOOKUP(E26,密度!$A$2:$A$50,密度!$C$2:$C$50)+IF(E24&lt;=0,0,1566*LOOKUP(E26,密度!$A$2:$A$50,密度!$C$2:$C$50))</f>
        <v>7737.0339352800011</v>
      </c>
      <c r="F25" s="91" ph="1">
        <f>F24*11.702*LOOKUP(F26,密度!$A$2:$A$50,密度!$Q$2:$Q$50)</f>
        <v>12455.963604639999</v>
      </c>
      <c r="G25" s="91" ph="1">
        <f>G24*18.322*LOOKUP(G26,密度!$A$2:$A$50,密度!$B$2:$B$50)</f>
        <v>55442.2968798</v>
      </c>
      <c r="H25" s="91" ph="1">
        <f>H24*18.322*LOOKUP(H26,密度!$A$2:$A$50,密度!$B$2:$B$50)</f>
        <v>53695.076148</v>
      </c>
      <c r="I25" s="91" ph="1">
        <f>I24*18.322*LOOKUP(I26,密度!$A$2:$A$50,密度!$Q$2:$Q$50)</f>
        <v>12037.506362799999</v>
      </c>
      <c r="J25" s="91" ph="1">
        <f>J24*18.322*LOOKUP(J26,密度!$A$2:$A$50,密度!$Q$2:$Q$50)</f>
        <v>3646.85906686</v>
      </c>
      <c r="K25" s="91" ph="1">
        <f>K24*18.322*LOOKUP(K26,密度!$A$2:$A$50,密度!$Q$2:$Q$50)</f>
        <v>4257.6025994399997</v>
      </c>
      <c r="L25" s="91" ph="1">
        <f>L24*18.322*LOOKUP(L26,密度!$A$2:$A$50,密度!$Q$2:$Q$50)</f>
        <v>8099.8293355200003</v>
      </c>
      <c r="M25" s="91" ph="1">
        <f>M24*18.322*LOOKUP(M26,密度!$A$2:$A$50,密度!$Q$2:$Q$50)</f>
        <v>6187.5618290800003</v>
      </c>
      <c r="N25" s="91" ph="1">
        <f>N24*18.322*LOOKUP(N26,密度!$A$2:$A$50,密度!$Q$2:$Q$50)</f>
        <v>33064.172153359999</v>
      </c>
      <c r="O25" s="91" ph="1">
        <f>O24*18.322*LOOKUP(O26,密度!$A$2:$A$50,密度!$C$2:$C$50)</f>
        <v>0</v>
      </c>
      <c r="P25" s="91" ph="1">
        <f>P24*11.702*LOOKUP(P26,密度!$A$2:$A$50,密度!$B$2:$B$50)</f>
        <v>29432.273598000003</v>
      </c>
      <c r="Q25" s="92" ph="1">
        <f>Q24*18.322*LOOKUP(Q26,密度!$A$2:$A$50,密度!$B$2:$B$50)</f>
        <v>11478.542451199999</v>
      </c>
      <c r="R25" s="91" ph="1">
        <f>R24*35.891*LOOKUP(R26,密度!$A$2:$A$50,密度!$C$2:$C$50)</f>
        <v>172252.54486219998</v>
      </c>
      <c r="S25" s="91" ph="1">
        <f>S24*35.891*LOOKUP(S26,密度!$A$2:$A$50,密度!$B$2:$B$50)</f>
        <v>153194.40950579999</v>
      </c>
      <c r="T25" s="91" ph="1">
        <f>T24*35.891*LOOKUP(T26,密度!$A$2:$A$50,密度!$Q$2:$Q$50)</f>
        <v>16623.815001729999</v>
      </c>
      <c r="U25" s="91" ph="1">
        <f>U24*35.891</f>
        <v>182649.299</v>
      </c>
      <c r="V25" s="91" ph="1">
        <f>V24*47.051*LOOKUP(V26,密度!$A$2:$A$50,密度!$B$2:$B$50)</f>
        <v>37231.173993999997</v>
      </c>
      <c r="W25" s="91" ph="1">
        <f>W24*47.051*LOOKUP(W26,密度!$A$2:$A$50,密度!$B$2:$B$50)</f>
        <v>142890.3817005</v>
      </c>
      <c r="X25" s="91" ph="1">
        <f>X24*47.051*LOOKUP(X26,密度!$A$2:$A$61,密度!$I$2:$I$61)</f>
        <v>195223.162282</v>
      </c>
      <c r="Y25" s="91" ph="1">
        <f>Y24*47.051*LOOKUP(Y26,密度!$A$2:$A$50,密度!$L$2:$L$50)</f>
        <v>94865.40247500001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27</v>
      </c>
      <c r="G26" s="74">
        <v>30</v>
      </c>
      <c r="H26" s="74">
        <v>30</v>
      </c>
      <c r="I26" s="74">
        <v>27</v>
      </c>
      <c r="J26" s="74">
        <v>30</v>
      </c>
      <c r="K26" s="74">
        <v>28</v>
      </c>
      <c r="L26" s="74">
        <v>28</v>
      </c>
      <c r="M26" s="74">
        <v>30</v>
      </c>
      <c r="N26" s="74">
        <v>27</v>
      </c>
      <c r="O26" s="74">
        <v>26</v>
      </c>
      <c r="P26" s="74">
        <v>28</v>
      </c>
      <c r="Q26" s="93">
        <v>31</v>
      </c>
      <c r="R26" s="74">
        <v>28</v>
      </c>
      <c r="S26" s="74">
        <v>29</v>
      </c>
      <c r="T26" s="74">
        <v>30</v>
      </c>
      <c r="U26" s="74">
        <v>30</v>
      </c>
      <c r="V26" s="74">
        <v>25</v>
      </c>
      <c r="W26" s="74">
        <v>24</v>
      </c>
      <c r="X26" s="74">
        <v>26</v>
      </c>
      <c r="Y26" s="74">
        <v>35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2" t="s" ph="1">
        <v>180</v>
      </c>
      <c r="D27" s="71">
        <v>23.14</v>
      </c>
      <c r="E27" s="71">
        <v>0</v>
      </c>
      <c r="F27" s="71">
        <v>125</v>
      </c>
      <c r="G27" s="71">
        <v>3459</v>
      </c>
      <c r="H27" s="71">
        <v>2620</v>
      </c>
      <c r="I27" s="71">
        <v>694</v>
      </c>
      <c r="J27" s="71">
        <v>207</v>
      </c>
      <c r="K27" s="71">
        <v>244</v>
      </c>
      <c r="L27" s="71">
        <v>465</v>
      </c>
      <c r="M27" s="71">
        <v>355</v>
      </c>
      <c r="N27" s="71">
        <v>1401</v>
      </c>
      <c r="O27" s="71">
        <v>609</v>
      </c>
      <c r="P27" s="71">
        <v>3239</v>
      </c>
      <c r="Q27" s="90">
        <v>1058</v>
      </c>
      <c r="R27" s="71">
        <v>4032</v>
      </c>
      <c r="S27" s="71">
        <v>5499</v>
      </c>
      <c r="T27" s="71">
        <v>492</v>
      </c>
      <c r="U27" s="71">
        <v>5106</v>
      </c>
      <c r="V27" s="71">
        <v>1013</v>
      </c>
      <c r="W27" s="71">
        <v>3892</v>
      </c>
      <c r="X27" s="71">
        <v>3617</v>
      </c>
      <c r="Y27" s="71">
        <v>2828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2" t="s" ph="1">
        <v>178</v>
      </c>
      <c r="D28" s="91" ph="1">
        <f>D27*268.68*LOOKUP(D29,密度!$A$2:$A$50,密度!$Q$2:$Q$50)+IF(D27&lt;=0,0,1566*LOOKUP(D29,密度!$A$2:$A$50,密度!$Q$2:$Q$50))</f>
        <v>7368.7190280480008</v>
      </c>
      <c r="E28" s="91" ph="1">
        <f>E27*268.68*LOOKUP(E29,密度!$A$2:$A$50,密度!$C$2:$C$50)+IF(E27&lt;=0,0,1566*LOOKUP(E29,密度!$A$2:$A$50,密度!$C$2:$C$50))</f>
        <v>0</v>
      </c>
      <c r="F28" s="91" ph="1">
        <f>F27*11.702*LOOKUP(F29,密度!$A$2:$A$50,密度!$Q$2:$Q$50)</f>
        <v>1379.8559574999999</v>
      </c>
      <c r="G28" s="91" ph="1">
        <f>G27*18.322*LOOKUP(G29,密度!$A$2:$A$50,密度!$B$2:$B$50)</f>
        <v>49021.179752999997</v>
      </c>
      <c r="H28" s="91" ph="1">
        <f>H27*18.322*LOOKUP(H29,密度!$A$2:$A$50,密度!$B$2:$B$50)</f>
        <v>37217.222091999996</v>
      </c>
      <c r="I28" s="91" ph="1">
        <f>I27*18.322*LOOKUP(I29,密度!$A$2:$A$50,密度!$Q$2:$Q$50)</f>
        <v>11943.639092399999</v>
      </c>
      <c r="J28" s="91" ph="1">
        <f>J27*18.322*LOOKUP(J29,密度!$A$2:$A$50,密度!$Q$2:$Q$50)</f>
        <v>3559.9746771</v>
      </c>
      <c r="K28" s="91" ph="1">
        <f>K27*18.322*LOOKUP(K29,密度!$A$2:$A$50,密度!$Q$2:$Q$50)</f>
        <v>4217.2209114400002</v>
      </c>
      <c r="L28" s="91" ph="1">
        <f>L27*18.322*LOOKUP(L29,密度!$A$2:$A$50,密度!$Q$2:$Q$50)</f>
        <v>8036.9169008999997</v>
      </c>
      <c r="M28" s="91" ph="1">
        <f>M27*18.322*LOOKUP(M29,密度!$A$2:$A$50,密度!$Q$2:$Q$50)</f>
        <v>6109.4983830000001</v>
      </c>
      <c r="N28" s="91" ph="1">
        <f>N27*18.322*LOOKUP(N29,密度!$A$2:$A$50,密度!$Q$2:$Q$50)</f>
        <v>24229.854329460002</v>
      </c>
      <c r="O28" s="91" ph="1">
        <f>O27*18.322*LOOKUP(O29,密度!$A$2:$A$50,密度!$C$2:$C$50)</f>
        <v>12307.382094000001</v>
      </c>
      <c r="P28" s="91" ph="1">
        <f>P27*11.702*LOOKUP(P29,密度!$A$2:$A$50,密度!$B$2:$B$50)</f>
        <v>29420.136283599997</v>
      </c>
      <c r="Q28" s="92" ph="1">
        <f>Q27*18.322*LOOKUP(Q29,密度!$A$2:$A$50,密度!$B$2:$B$50)</f>
        <v>14994.046885999998</v>
      </c>
      <c r="R28" s="91" ph="1">
        <f>R27*35.891*LOOKUP(R29,密度!$A$2:$A$50,密度!$C$2:$C$50)</f>
        <v>159617.90073599998</v>
      </c>
      <c r="S28" s="91" ph="1">
        <f>S27*35.891*LOOKUP(S29,密度!$A$2:$A$50,密度!$B$2:$B$50)</f>
        <v>153016.78135770001</v>
      </c>
      <c r="T28" s="91" ph="1">
        <f>T27*35.891*LOOKUP(T29,密度!$A$2:$A$50,密度!$Q$2:$Q$50)</f>
        <v>16563.90610344</v>
      </c>
      <c r="U28" s="91" ph="1">
        <f>U27*35.891</f>
        <v>183259.446</v>
      </c>
      <c r="V28" s="91" ph="1">
        <f>V27*47.051*LOOKUP(V29,密度!$A$2:$A$50,密度!$B$2:$B$50)</f>
        <v>37114.915678099998</v>
      </c>
      <c r="W28" s="91" ph="1">
        <f>W27*47.051*LOOKUP(W29,密度!$A$2:$A$50,密度!$B$2:$B$50)</f>
        <v>142927.105006</v>
      </c>
      <c r="X28" s="91" ph="1">
        <f>X27*47.051*LOOKUP(X29,密度!$A$2:$A$61,密度!$I$2:$I$61)</f>
        <v>177195.02584039999</v>
      </c>
      <c r="Y28" s="91" ph="1">
        <f>Y27*47.051*LOOKUP(Y29,密度!$A$2:$A$50,密度!$L$2:$L$50)</f>
        <v>123213.77112800001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2" t="s" ph="1">
        <v>179</v>
      </c>
      <c r="D29" s="74">
        <v>25</v>
      </c>
      <c r="E29" s="74">
        <v>25</v>
      </c>
      <c r="F29" s="74">
        <v>30</v>
      </c>
      <c r="G29" s="74">
        <v>32</v>
      </c>
      <c r="H29" s="74">
        <v>30</v>
      </c>
      <c r="I29" s="74">
        <v>36</v>
      </c>
      <c r="J29" s="74">
        <v>37</v>
      </c>
      <c r="K29" s="74">
        <v>30</v>
      </c>
      <c r="L29" s="74">
        <v>30</v>
      </c>
      <c r="M29" s="74">
        <v>36</v>
      </c>
      <c r="N29" s="74">
        <v>29</v>
      </c>
      <c r="O29" s="74">
        <v>32</v>
      </c>
      <c r="P29" s="74">
        <v>29</v>
      </c>
      <c r="Q29" s="93">
        <v>32</v>
      </c>
      <c r="R29" s="74">
        <v>32</v>
      </c>
      <c r="S29" s="74">
        <v>30</v>
      </c>
      <c r="T29" s="74">
        <v>38</v>
      </c>
      <c r="U29" s="74">
        <v>28</v>
      </c>
      <c r="V29" s="74">
        <v>26</v>
      </c>
      <c r="W29" s="74">
        <v>24</v>
      </c>
      <c r="X29" s="74">
        <v>26</v>
      </c>
      <c r="Y29" s="74">
        <v>36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2" t="s" ph="1">
        <v>5</v>
      </c>
      <c r="F32" s="161" t="s" ph="1">
        <v>43</v>
      </c>
      <c r="G32" s="97" t="s" ph="1">
        <v>4</v>
      </c>
      <c r="H32" s="162" t="s" ph="1">
        <v>5</v>
      </c>
      <c r="I32" s="161" t="s" ph="1">
        <v>43</v>
      </c>
      <c r="J32" s="97" t="s" ph="1">
        <v>4</v>
      </c>
      <c r="K32" s="162" t="s" ph="1">
        <v>5</v>
      </c>
      <c r="L32" s="161" t="s" ph="1">
        <v>43</v>
      </c>
      <c r="M32" s="97" t="s" ph="1">
        <v>4</v>
      </c>
      <c r="N32" s="162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1" t="s" ph="1">
        <v>43</v>
      </c>
      <c r="AB32" s="97" t="s" ph="1">
        <v>85</v>
      </c>
      <c r="AC32" s="162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98178.212219160006</v>
      </c>
      <c r="E33" s="190" ph="1">
        <f>M10+I10</f>
        <v>17807.61303755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16" ph="1">
        <f>N19</f>
        <v>21154.4988042</v>
      </c>
      <c r="H33" s="190" ph="1">
        <f>M19</f>
        <v>31172.856841216006</v>
      </c>
      <c r="I33" s="194" ph="1">
        <v>0</v>
      </c>
      <c r="J33" s="198" ph="1">
        <f>F10+O28</f>
        <v>226683.3197658</v>
      </c>
      <c r="K33" s="190" ph="1">
        <f>O10+K10+E28+R28</f>
        <v>241564.06120639999</v>
      </c>
      <c r="L33" s="200" ph="1">
        <f>K19</f>
        <v>22831.176347799999</v>
      </c>
      <c r="M33" s="198" ph="1">
        <f>G10+H10+W28+S28+V28+E10+R19+P28+Q28</f>
        <v>897577.34869040002</v>
      </c>
      <c r="N33" s="190" ph="1">
        <f>L10+P10++G28+H28+AD19+AE19</f>
        <v>174748.8577894</v>
      </c>
      <c r="O33" s="194" ph="1">
        <f>G19</f>
        <v>26411.407324519998</v>
      </c>
      <c r="P33" s="198" ph="1">
        <f>L19</f>
        <v>25258.230750480001</v>
      </c>
      <c r="Q33" s="190" ph="1">
        <f>J10+N10</f>
        <v>36017.629339619998</v>
      </c>
      <c r="R33" s="194" ph="1">
        <f>BE23</f>
        <v>890</v>
      </c>
      <c r="S33" s="198" ph="1">
        <f>X28</f>
        <v>177195.02584039999</v>
      </c>
      <c r="T33" s="190" ph="1">
        <f>X19</f>
        <v>14697.425280159998</v>
      </c>
      <c r="U33" s="179" ph="1">
        <f>BE21</f>
        <v>730</v>
      </c>
      <c r="V33" s="192" ph="1">
        <f ca="1">P19+Q19+S19+M28+N28+J28+D10+AC10+D19+E19+H19+J19+O19+V19+W19+K28+L28</f>
        <v>554199.52531966195</v>
      </c>
      <c r="W33" s="192" ph="1">
        <f>D28+F28+T28+I28</f>
        <v>37256.120181388003</v>
      </c>
      <c r="X33" s="194" ph="1">
        <f>BE29+BE31</f>
        <v>10200</v>
      </c>
      <c r="Y33" s="196" ph="1">
        <f>+Q10+R10+S10+T10+U10+V10+W10+X10+Y10</f>
        <v>202269.48754320003</v>
      </c>
      <c r="Z33" s="177" ph="1">
        <f>T19+U19+Y28+Z10</f>
        <v>290484.46332521597</v>
      </c>
      <c r="AA33" s="179" ph="1">
        <f>BE19</f>
        <v>1440</v>
      </c>
      <c r="AB33" s="181" ph="1">
        <f>I19</f>
        <v>14018.5146768</v>
      </c>
      <c r="AC33" s="183" ph="1">
        <f>AD10+AB19</f>
        <v>100348.49346840002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0" t="s" ph="1">
        <v>185</v>
      </c>
      <c r="AA36" s="160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6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0" t="s" ph="1">
        <v>342</v>
      </c>
      <c r="AI37" s="160" t="s" ph="1">
        <v>209</v>
      </c>
      <c r="AJ37" s="160" t="s" ph="1">
        <v>210</v>
      </c>
      <c r="AK37" s="160" t="s" ph="1">
        <v>211</v>
      </c>
      <c r="AM37" s="160" t="s" ph="1">
        <v>210</v>
      </c>
      <c r="AN37" s="160" t="s" ph="1">
        <v>211</v>
      </c>
      <c r="AO37" s="160" t="s" ph="1">
        <v>212</v>
      </c>
      <c r="AP37" s="160" t="s" ph="1">
        <v>210</v>
      </c>
      <c r="AQ37" s="160" t="s" ph="1">
        <v>211</v>
      </c>
      <c r="AR37" s="160" t="s" ph="1">
        <v>212</v>
      </c>
      <c r="AS37" s="160" t="s" ph="1">
        <v>210</v>
      </c>
      <c r="AT37" s="160" t="s" ph="1">
        <v>211</v>
      </c>
      <c r="AU37" s="160" t="s" ph="1">
        <v>212</v>
      </c>
      <c r="AV37" s="160" t="s" ph="1">
        <v>210</v>
      </c>
      <c r="AW37" s="160" t="s" ph="1">
        <v>211</v>
      </c>
      <c r="AX37" s="160" t="s" ph="1">
        <v>212</v>
      </c>
      <c r="AY37" s="160" t="s" ph="1">
        <v>211</v>
      </c>
      <c r="AZ37" s="160" t="s" ph="1">
        <v>213</v>
      </c>
      <c r="BD37" s="160" t="s" ph="1">
        <v>305</v>
      </c>
      <c r="BE37" s="16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519" priority="100">
      <formula>ABS(D$7-D$10)&gt;=1000</formula>
    </cfRule>
  </conditionalFormatting>
  <conditionalFormatting sqref="E4 E6:E11">
    <cfRule type="expression" dxfId="518" priority="99">
      <formula>ABS(E$7-E$10)&gt;=1000</formula>
    </cfRule>
  </conditionalFormatting>
  <conditionalFormatting sqref="F4:F11">
    <cfRule type="expression" dxfId="517" priority="98">
      <formula>ABS(F$7-F$10)&gt;=1000</formula>
    </cfRule>
  </conditionalFormatting>
  <conditionalFormatting sqref="G4:G11">
    <cfRule type="expression" dxfId="516" priority="97">
      <formula>ABS(G$7-G$10)&gt;=1000</formula>
    </cfRule>
  </conditionalFormatting>
  <conditionalFormatting sqref="H4:H11">
    <cfRule type="expression" dxfId="515" priority="96">
      <formula>ABS(H$7-H$10)&gt;=1000</formula>
    </cfRule>
  </conditionalFormatting>
  <conditionalFormatting sqref="I4:I11">
    <cfRule type="expression" dxfId="514" priority="95">
      <formula>ABS(I$7-I$10)&gt;=1000</formula>
    </cfRule>
  </conditionalFormatting>
  <conditionalFormatting sqref="J4:J11">
    <cfRule type="expression" dxfId="513" priority="94">
      <formula>ABS(J$7-J$10)&gt;=1000</formula>
    </cfRule>
  </conditionalFormatting>
  <conditionalFormatting sqref="K4:K11">
    <cfRule type="expression" dxfId="512" priority="93">
      <formula>ABS(K$7-K$10)&gt;=1000</formula>
    </cfRule>
  </conditionalFormatting>
  <conditionalFormatting sqref="L4:L11">
    <cfRule type="expression" dxfId="511" priority="92">
      <formula>ABS(L$7-L$10)&gt;=1000</formula>
    </cfRule>
  </conditionalFormatting>
  <conditionalFormatting sqref="M4 M6:M11">
    <cfRule type="expression" dxfId="510" priority="91">
      <formula>ABS(M$7-M$10)&gt;=1000</formula>
    </cfRule>
  </conditionalFormatting>
  <conditionalFormatting sqref="N4 N6:N11">
    <cfRule type="expression" dxfId="509" priority="90">
      <formula>ABS(N$7-N$10)&gt;=1000</formula>
    </cfRule>
  </conditionalFormatting>
  <conditionalFormatting sqref="O4 O6:O11">
    <cfRule type="expression" dxfId="508" priority="89">
      <formula>ABS(O$7-O$10)&gt;=1000</formula>
    </cfRule>
  </conditionalFormatting>
  <conditionalFormatting sqref="P4 P6:P11">
    <cfRule type="expression" dxfId="507" priority="88">
      <formula>ABS(P$7-P$10)&gt;=1000</formula>
    </cfRule>
  </conditionalFormatting>
  <conditionalFormatting sqref="Q4:Q11">
    <cfRule type="expression" dxfId="506" priority="87">
      <formula>ABS(Q$7-Q$10)&gt;=1000</formula>
    </cfRule>
  </conditionalFormatting>
  <conditionalFormatting sqref="R4:R11">
    <cfRule type="expression" dxfId="505" priority="86">
      <formula>ABS(R$7-R$10)&gt;=1000</formula>
    </cfRule>
  </conditionalFormatting>
  <conditionalFormatting sqref="S4:S11">
    <cfRule type="expression" dxfId="504" priority="85">
      <formula>ABS(S$7-S$10)&gt;=1000</formula>
    </cfRule>
  </conditionalFormatting>
  <conditionalFormatting sqref="T4:T9 T11">
    <cfRule type="expression" dxfId="503" priority="84">
      <formula>ABS(T$7-T$10)&gt;=1000</formula>
    </cfRule>
  </conditionalFormatting>
  <conditionalFormatting sqref="U4:U9 U11">
    <cfRule type="expression" dxfId="502" priority="83">
      <formula>ABS(U$7-U$10)&gt;=1000</formula>
    </cfRule>
  </conditionalFormatting>
  <conditionalFormatting sqref="V4:V9 V11">
    <cfRule type="expression" dxfId="501" priority="82">
      <formula>ABS(V$7-V$10)&gt;=1000</formula>
    </cfRule>
  </conditionalFormatting>
  <conditionalFormatting sqref="W4:W9 W11">
    <cfRule type="expression" dxfId="500" priority="81">
      <formula>ABS(W$7-W$10)&gt;=1000</formula>
    </cfRule>
  </conditionalFormatting>
  <conditionalFormatting sqref="X4:X9 X11">
    <cfRule type="expression" dxfId="499" priority="80">
      <formula>ABS(X$7-X$10)&gt;=1000</formula>
    </cfRule>
  </conditionalFormatting>
  <conditionalFormatting sqref="Y4:Y9 Y11">
    <cfRule type="expression" dxfId="498" priority="79">
      <formula>ABS(Y$7-Y$10)&gt;=1000</formula>
    </cfRule>
  </conditionalFormatting>
  <conditionalFormatting sqref="Z4:Z11">
    <cfRule type="expression" dxfId="497" priority="78">
      <formula>ABS(Z$7-Z$10)&gt;=1000</formula>
    </cfRule>
  </conditionalFormatting>
  <conditionalFormatting sqref="AA4:AA11">
    <cfRule type="expression" dxfId="496" priority="77">
      <formula>ABS(AA$7-AA$10)&gt;=1000</formula>
    </cfRule>
  </conditionalFormatting>
  <conditionalFormatting sqref="AB4:AB11">
    <cfRule type="expression" dxfId="495" priority="76">
      <formula>ABS(AB$7-AB$10)&gt;=1000</formula>
    </cfRule>
  </conditionalFormatting>
  <conditionalFormatting sqref="AC4 AC6:AC11">
    <cfRule type="expression" dxfId="494" priority="75">
      <formula>ABS(AC$7-AC$10)&gt;=1000</formula>
    </cfRule>
  </conditionalFormatting>
  <conditionalFormatting sqref="AD4 AD6:AD11">
    <cfRule type="expression" dxfId="493" priority="74">
      <formula>ABS(AD$7-AD$10)&gt;=1000</formula>
    </cfRule>
  </conditionalFormatting>
  <conditionalFormatting sqref="AE4 AE6:AE11">
    <cfRule type="expression" dxfId="492" priority="73">
      <formula>ABS(AE$7-AE$10)&gt;=1000</formula>
    </cfRule>
  </conditionalFormatting>
  <conditionalFormatting sqref="D13:D20">
    <cfRule type="expression" dxfId="491" priority="72">
      <formula>ABS(D$16-D$19)&gt;=1000</formula>
    </cfRule>
  </conditionalFormatting>
  <conditionalFormatting sqref="E13:E20">
    <cfRule type="expression" dxfId="490" priority="71">
      <formula>ABS(E$16-E$19)&gt;=1000</formula>
    </cfRule>
  </conditionalFormatting>
  <conditionalFormatting sqref="F13 F15:F20">
    <cfRule type="expression" dxfId="489" priority="70">
      <formula>ABS(F$16-F$19)&gt;=1000</formula>
    </cfRule>
  </conditionalFormatting>
  <conditionalFormatting sqref="G13:G20">
    <cfRule type="expression" dxfId="488" priority="69">
      <formula>ABS(G$16-G$19)&gt;=1000</formula>
    </cfRule>
  </conditionalFormatting>
  <conditionalFormatting sqref="H13 H15:H20">
    <cfRule type="expression" dxfId="487" priority="68">
      <formula>ABS(H$16-H$19)&gt;=1000</formula>
    </cfRule>
  </conditionalFormatting>
  <conditionalFormatting sqref="I13:I20">
    <cfRule type="expression" dxfId="486" priority="67">
      <formula>ABS(I$16-I$19)&gt;=1000</formula>
    </cfRule>
  </conditionalFormatting>
  <conditionalFormatting sqref="J13:J20">
    <cfRule type="expression" dxfId="485" priority="66">
      <formula>ABS(J$16-J$19)&gt;=1000</formula>
    </cfRule>
  </conditionalFormatting>
  <conditionalFormatting sqref="L13:L20">
    <cfRule type="expression" dxfId="484" priority="65">
      <formula>ABS(L$16-L$19)&gt;=1000</formula>
    </cfRule>
  </conditionalFormatting>
  <conditionalFormatting sqref="M13 M15 M17:M18 M20">
    <cfRule type="expression" dxfId="483" priority="64">
      <formula>ABS(M$16-M$19)&gt;=1000</formula>
    </cfRule>
  </conditionalFormatting>
  <conditionalFormatting sqref="N13:N20">
    <cfRule type="expression" dxfId="482" priority="63">
      <formula>ABS(N$16-N$19)&gt;=1000</formula>
    </cfRule>
  </conditionalFormatting>
  <conditionalFormatting sqref="O13:O20">
    <cfRule type="expression" dxfId="481" priority="62">
      <formula>ABS(O$16-O$19)&gt;=1000</formula>
    </cfRule>
  </conditionalFormatting>
  <conditionalFormatting sqref="P13:P20">
    <cfRule type="expression" dxfId="480" priority="61">
      <formula>ABS(P$16-P$19)&gt;=1000</formula>
    </cfRule>
  </conditionalFormatting>
  <conditionalFormatting sqref="Q13 Q15:Q20">
    <cfRule type="expression" dxfId="479" priority="60">
      <formula>ABS(Q$16-Q$19)&gt;=1000</formula>
    </cfRule>
  </conditionalFormatting>
  <conditionalFormatting sqref="R13:R20">
    <cfRule type="expression" dxfId="478" priority="59">
      <formula>ABS(R$16-R$19)&gt;=1000</formula>
    </cfRule>
  </conditionalFormatting>
  <conditionalFormatting sqref="S13:S20">
    <cfRule type="expression" dxfId="477" priority="58">
      <formula>ABS(S$16-S$19)&gt;=1000</formula>
    </cfRule>
  </conditionalFormatting>
  <conditionalFormatting sqref="T13:T20">
    <cfRule type="expression" dxfId="476" priority="57">
      <formula>ABS(T$16-T$19)&gt;=1000</formula>
    </cfRule>
  </conditionalFormatting>
  <conditionalFormatting sqref="U13:U20">
    <cfRule type="expression" dxfId="475" priority="56">
      <formula>ABS(U$16-U$19)&gt;=1000</formula>
    </cfRule>
  </conditionalFormatting>
  <conditionalFormatting sqref="V13:V20">
    <cfRule type="expression" dxfId="474" priority="55">
      <formula>ABS(V$16-V$19)&gt;=1000</formula>
    </cfRule>
  </conditionalFormatting>
  <conditionalFormatting sqref="W13 W20 W15:W18">
    <cfRule type="expression" dxfId="473" priority="54">
      <formula>ABS(W$16-W$19)&gt;=1000</formula>
    </cfRule>
  </conditionalFormatting>
  <conditionalFormatting sqref="X13 X15:X20 Y19">
    <cfRule type="expression" dxfId="472" priority="53">
      <formula>ABS(X$16-X$19)&gt;=1000</formula>
    </cfRule>
  </conditionalFormatting>
  <conditionalFormatting sqref="Y13 Y15:Y18 Y20">
    <cfRule type="expression" dxfId="471" priority="52">
      <formula>ABS(Y$16-Y$19)&gt;=1000</formula>
    </cfRule>
  </conditionalFormatting>
  <conditionalFormatting sqref="Z13:Z20">
    <cfRule type="expression" dxfId="470" priority="51">
      <formula>ABS(Z$16-Z$19)&gt;=1000</formula>
    </cfRule>
  </conditionalFormatting>
  <conditionalFormatting sqref="AA13:AA20">
    <cfRule type="expression" dxfId="469" priority="50">
      <formula>ABS(AA$16-AA$19)&gt;=1000</formula>
    </cfRule>
  </conditionalFormatting>
  <conditionalFormatting sqref="AB13 AB15:AB20">
    <cfRule type="expression" dxfId="468" priority="49">
      <formula>ABS(AB$16-AB$19)&gt;=1000</formula>
    </cfRule>
  </conditionalFormatting>
  <conditionalFormatting sqref="AC13 AC15:AC20">
    <cfRule type="expression" dxfId="467" priority="48">
      <formula>ABS(AC$16-AC$19)&gt;=1000</formula>
    </cfRule>
  </conditionalFormatting>
  <conditionalFormatting sqref="AD13:AD20">
    <cfRule type="expression" dxfId="466" priority="47">
      <formula>ABS(AD$16-AD$19)&gt;=1000</formula>
    </cfRule>
  </conditionalFormatting>
  <conditionalFormatting sqref="AE13:AE20">
    <cfRule type="expression" dxfId="465" priority="46">
      <formula>ABS(AE$16-AE$19)&gt;=1000</formula>
    </cfRule>
  </conditionalFormatting>
  <conditionalFormatting sqref="D22:D29">
    <cfRule type="expression" dxfId="464" priority="45">
      <formula>ABS(D$25-D$28)&gt;=1000</formula>
    </cfRule>
  </conditionalFormatting>
  <conditionalFormatting sqref="E22:E29">
    <cfRule type="expression" dxfId="463" priority="44">
      <formula>ABS(E$25-E$28)&gt;=1000</formula>
    </cfRule>
  </conditionalFormatting>
  <conditionalFormatting sqref="F22:F29">
    <cfRule type="expression" dxfId="462" priority="43">
      <formula>ABS(F$25-F$28)&gt;=1000</formula>
    </cfRule>
  </conditionalFormatting>
  <conditionalFormatting sqref="G22:G29">
    <cfRule type="expression" dxfId="461" priority="42">
      <formula>ABS(G$25-G$28)&gt;=1000</formula>
    </cfRule>
  </conditionalFormatting>
  <conditionalFormatting sqref="H22:H29">
    <cfRule type="expression" dxfId="460" priority="41">
      <formula>ABS(H$25-H$28)&gt;=1000</formula>
    </cfRule>
  </conditionalFormatting>
  <conditionalFormatting sqref="I22 I24:I29">
    <cfRule type="expression" dxfId="459" priority="40">
      <formula>ABS(I$25-I$28)&gt;=1000</formula>
    </cfRule>
  </conditionalFormatting>
  <conditionalFormatting sqref="J22:J29 K22">
    <cfRule type="expression" dxfId="458" priority="39">
      <formula>ABS(J$25-J$28)&gt;=1000</formula>
    </cfRule>
  </conditionalFormatting>
  <conditionalFormatting sqref="K23:K29 L25 L28">
    <cfRule type="expression" dxfId="457" priority="38">
      <formula>ABS(K$25-K$28)&gt;=1000</formula>
    </cfRule>
  </conditionalFormatting>
  <conditionalFormatting sqref="L22 L26:L27 L29 L24">
    <cfRule type="expression" dxfId="456" priority="37">
      <formula>ABS(L$25-L$28)&gt;=1000</formula>
    </cfRule>
  </conditionalFormatting>
  <conditionalFormatting sqref="M22:M29">
    <cfRule type="expression" dxfId="455" priority="36">
      <formula>ABS(M$25-M$28)&gt;=1000</formula>
    </cfRule>
  </conditionalFormatting>
  <conditionalFormatting sqref="N22:N29">
    <cfRule type="expression" dxfId="454" priority="35">
      <formula>ABS(N$25-N$28)&gt;=1000</formula>
    </cfRule>
  </conditionalFormatting>
  <conditionalFormatting sqref="O22:O29">
    <cfRule type="expression" dxfId="453" priority="34">
      <formula>ABS(O$25-O$28)&gt;=1000</formula>
    </cfRule>
  </conditionalFormatting>
  <conditionalFormatting sqref="P22:P29">
    <cfRule type="expression" dxfId="452" priority="33">
      <formula>ABS(P$25-P$28)&gt;=1000</formula>
    </cfRule>
  </conditionalFormatting>
  <conditionalFormatting sqref="Q22:Q29">
    <cfRule type="expression" dxfId="451" priority="32">
      <formula>ABS(Q$25-Q$28)&gt;=1000</formula>
    </cfRule>
  </conditionalFormatting>
  <conditionalFormatting sqref="R22:R29">
    <cfRule type="expression" dxfId="450" priority="31">
      <formula>ABS(R$25-R$28)&gt;=1000</formula>
    </cfRule>
  </conditionalFormatting>
  <conditionalFormatting sqref="S22:S29">
    <cfRule type="expression" dxfId="449" priority="30">
      <formula>ABS(S$25-S$28)&gt;=1000</formula>
    </cfRule>
  </conditionalFormatting>
  <conditionalFormatting sqref="T22:T29">
    <cfRule type="expression" dxfId="448" priority="29">
      <formula>ABS(T$25-T$28)&gt;=1000</formula>
    </cfRule>
  </conditionalFormatting>
  <conditionalFormatting sqref="U22:U29">
    <cfRule type="expression" dxfId="447" priority="28">
      <formula>ABS(U$25-U$28)&gt;=1000</formula>
    </cfRule>
  </conditionalFormatting>
  <conditionalFormatting sqref="V22:V29">
    <cfRule type="expression" dxfId="446" priority="27">
      <formula>ABS(V$25-V$28)&gt;=1000</formula>
    </cfRule>
  </conditionalFormatting>
  <conditionalFormatting sqref="W22:W29">
    <cfRule type="expression" dxfId="445" priority="26">
      <formula>ABS(W$25-W$28)&gt;=1000</formula>
    </cfRule>
  </conditionalFormatting>
  <conditionalFormatting sqref="X22:X29">
    <cfRule type="expression" dxfId="444" priority="25">
      <formula>ABS(X$25-X$28)&gt;=1000</formula>
    </cfRule>
  </conditionalFormatting>
  <conditionalFormatting sqref="Y22:Y29">
    <cfRule type="expression" dxfId="443" priority="24">
      <formula>ABS(Y$25-Y$28)&gt;=1000</formula>
    </cfRule>
  </conditionalFormatting>
  <conditionalFormatting sqref="I23">
    <cfRule type="expression" dxfId="442" priority="23">
      <formula>ABS(I$25-I$28)&gt;=1000</formula>
    </cfRule>
  </conditionalFormatting>
  <conditionalFormatting sqref="Q14">
    <cfRule type="expression" dxfId="441" priority="22">
      <formula>ABS(Q$16-Q$19)&gt;=1000</formula>
    </cfRule>
  </conditionalFormatting>
  <conditionalFormatting sqref="W14">
    <cfRule type="expression" dxfId="440" priority="21">
      <formula>ABS(W$16-W$19)&gt;=1000</formula>
    </cfRule>
  </conditionalFormatting>
  <conditionalFormatting sqref="X14">
    <cfRule type="expression" dxfId="439" priority="20">
      <formula>ABS(X$16-X$19)&gt;=1000</formula>
    </cfRule>
  </conditionalFormatting>
  <conditionalFormatting sqref="T10:Y10">
    <cfRule type="expression" dxfId="438" priority="19">
      <formula>ABS(T$7-T$10)&gt;=1000</formula>
    </cfRule>
  </conditionalFormatting>
  <conditionalFormatting sqref="W19">
    <cfRule type="expression" dxfId="437" priority="18">
      <formula>ABS(W$16-W$19)&gt;=1000</formula>
    </cfRule>
  </conditionalFormatting>
  <conditionalFormatting sqref="AC5">
    <cfRule type="expression" dxfId="436" priority="17">
      <formula>ABS(AC$7-AC$10)&gt;=1000</formula>
    </cfRule>
  </conditionalFormatting>
  <conditionalFormatting sqref="M14">
    <cfRule type="expression" dxfId="435" priority="16">
      <formula>ABS(M$16-M$19)&gt;=1000</formula>
    </cfRule>
  </conditionalFormatting>
  <conditionalFormatting sqref="M16">
    <cfRule type="expression" dxfId="434" priority="15">
      <formula>ABS(M$16-M$19)&gt;=1000</formula>
    </cfRule>
  </conditionalFormatting>
  <conditionalFormatting sqref="M19">
    <cfRule type="expression" dxfId="433" priority="14">
      <formula>ABS(M$16-M$19)&gt;=1000</formula>
    </cfRule>
  </conditionalFormatting>
  <conditionalFormatting sqref="K13:K20">
    <cfRule type="expression" dxfId="432" priority="13">
      <formula>ABS(K$16-K$19)&gt;=1000</formula>
    </cfRule>
  </conditionalFormatting>
  <conditionalFormatting sqref="E5">
    <cfRule type="expression" dxfId="431" priority="12">
      <formula>ABS(E$7-E$10)&gt;=1000</formula>
    </cfRule>
  </conditionalFormatting>
  <conditionalFormatting sqref="AB14:AC14">
    <cfRule type="expression" dxfId="430" priority="11">
      <formula>ABS(AB$16-AB$19)&gt;=1000</formula>
    </cfRule>
  </conditionalFormatting>
  <conditionalFormatting sqref="M5">
    <cfRule type="expression" dxfId="429" priority="10">
      <formula>ABS(M$7-M$10)&gt;=1000</formula>
    </cfRule>
  </conditionalFormatting>
  <conditionalFormatting sqref="N5">
    <cfRule type="expression" dxfId="428" priority="9">
      <formula>ABS(N$7-N$10)&gt;=1000</formula>
    </cfRule>
  </conditionalFormatting>
  <conditionalFormatting sqref="O5">
    <cfRule type="expression" dxfId="427" priority="8">
      <formula>ABS(O$7-O$10)&gt;=1000</formula>
    </cfRule>
  </conditionalFormatting>
  <conditionalFormatting sqref="P5">
    <cfRule type="expression" dxfId="426" priority="7">
      <formula>ABS(P$7-P$10)&gt;=1000</formula>
    </cfRule>
  </conditionalFormatting>
  <conditionalFormatting sqref="L23">
    <cfRule type="expression" dxfId="425" priority="6">
      <formula>ABS(L$25-L$28)&gt;=1000</formula>
    </cfRule>
  </conditionalFormatting>
  <conditionalFormatting sqref="Y14">
    <cfRule type="expression" dxfId="424" priority="5">
      <formula>ABS(Y$16-Y$19)&gt;=1000</formula>
    </cfRule>
  </conditionalFormatting>
  <conditionalFormatting sqref="F14">
    <cfRule type="expression" dxfId="423" priority="4">
      <formula>ABS(F$16-F$19)&gt;=1000</formula>
    </cfRule>
  </conditionalFormatting>
  <conditionalFormatting sqref="H14">
    <cfRule type="expression" dxfId="422" priority="3">
      <formula>ABS(H$16-H$19)&gt;=1000</formula>
    </cfRule>
  </conditionalFormatting>
  <conditionalFormatting sqref="AD5">
    <cfRule type="expression" dxfId="421" priority="2">
      <formula>ABS(AD$7-AD$10)&gt;=1000</formula>
    </cfRule>
  </conditionalFormatting>
  <conditionalFormatting sqref="AE5">
    <cfRule type="expression" dxfId="42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20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97">
    <pageSetUpPr fitToPage="1"/>
  </sheetPr>
  <dimension ref="A1:CU223"/>
  <sheetViews>
    <sheetView view="pageBreakPreview" zoomScale="70" zoomScaleNormal="100" zoomScaleSheetLayoutView="70" workbookViewId="0">
      <selection activeCell="Z6" sqref="Z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46169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2" t="s" ph="1">
        <v>177</v>
      </c>
      <c r="D6" s="71">
        <v>4263</v>
      </c>
      <c r="E6" s="71">
        <v>8176</v>
      </c>
      <c r="F6" s="71">
        <v>5844</v>
      </c>
      <c r="G6" s="71">
        <v>1670</v>
      </c>
      <c r="H6" s="71">
        <v>2594</v>
      </c>
      <c r="I6" s="71">
        <v>52.4</v>
      </c>
      <c r="J6" s="71">
        <v>6.27</v>
      </c>
      <c r="K6" s="71">
        <v>6.72</v>
      </c>
      <c r="L6" s="71">
        <v>83.17</v>
      </c>
      <c r="M6" s="71">
        <v>6395</v>
      </c>
      <c r="N6" s="71">
        <v>1342</v>
      </c>
      <c r="O6" s="71">
        <v>3547</v>
      </c>
      <c r="P6" s="71">
        <v>1392</v>
      </c>
      <c r="Q6" s="71">
        <v>5658</v>
      </c>
      <c r="R6" s="71">
        <v>3091</v>
      </c>
      <c r="S6" s="71">
        <v>433</v>
      </c>
      <c r="T6" s="71">
        <v>0</v>
      </c>
      <c r="U6" s="71">
        <v>0</v>
      </c>
      <c r="V6" s="71">
        <v>0</v>
      </c>
      <c r="W6" s="71">
        <v>1542</v>
      </c>
      <c r="X6" s="71">
        <v>6279</v>
      </c>
      <c r="Y6" s="71">
        <v>7152</v>
      </c>
      <c r="Z6" s="71">
        <v>3006</v>
      </c>
      <c r="AA6" s="71">
        <v>0</v>
      </c>
      <c r="AB6" s="71">
        <v>3817</v>
      </c>
      <c r="AC6" s="71">
        <v>4605</v>
      </c>
      <c r="AD6" s="71">
        <v>3541</v>
      </c>
      <c r="AE6" s="71">
        <v>5413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133724.14382627999</v>
      </c>
      <c r="E7" s="73" ph="1">
        <f>E6*51.53*LOOKUP(E8,密度!$A$2:$A$50,密度!$B$2:$B$50)</f>
        <v>327736.48891200003</v>
      </c>
      <c r="F7" s="73" ph="1">
        <f>F6*33.183*LOOKUP(F8,密度!$A$2:$A$50,密度!$C$2:$C$50)</f>
        <v>214748.61594479997</v>
      </c>
      <c r="G7" s="73" ph="1">
        <f xml:space="preserve"> (G6+2)*51.53*LOOKUP(G8,密度!$A$2:$A$50,密度!$B$2:$B$50)</f>
        <v>67168.901536000005</v>
      </c>
      <c r="H7" s="73" ph="1">
        <f>(H6)*51.53*LOOKUP(H8,密度!$A$2:$A$50,密度!$B$2:$B$50)</f>
        <v>104208.21207199999</v>
      </c>
      <c r="I7" s="73" ph="1">
        <f>I6*290.8*1.0267</f>
        <v>15644.772464</v>
      </c>
      <c r="J7" s="73" ph="1">
        <f>J6*290.8*0.7892</f>
        <v>1438.9609872000001</v>
      </c>
      <c r="K7" s="73" ph="1">
        <f>K6*290.8*1.1126</f>
        <v>2174.2162176000002</v>
      </c>
      <c r="L7" s="73" ph="1">
        <f>L6*290.8*0.777</f>
        <v>18792.394572000005</v>
      </c>
      <c r="M7" s="73" ph="1">
        <f>M6*33.183*LOOKUP(M8,密度!$A$2:$A$50,密度!$D$2:$D$50)</f>
        <v>216873.80127</v>
      </c>
      <c r="N7" s="73" ph="1">
        <f>N6*33.183*LOOKUP(N8,密度!$A$2:$A$50,密度!$E$2:$E$50)</f>
        <v>34627.761273600001</v>
      </c>
      <c r="O7" s="73" ph="1">
        <f>O6*20.428*LOOKUP(O8,密度!$A$2:$A$50,密度!$C$2:$C$50)</f>
        <v>79848.843832000013</v>
      </c>
      <c r="P7" s="73" ph="1">
        <f>P6*51.53*LOOKUP(P8,密度!$A$2:$A$50,密度!$B$2:$B$50)</f>
        <v>55734.023519999995</v>
      </c>
      <c r="Q7" s="73" ph="1">
        <f>Q6*1.5*1.5*3.1416*LOOKUP(W8,密度!$A$2:$A$50,密度!$L$2:$L$50)</f>
        <v>37314.5315004</v>
      </c>
      <c r="R7" s="73" ph="1">
        <f>R6*1.5*1.5*3.1416*LOOKUP(R8,密度!$A$2:$A$50,密度!$L$2:$L$50)</f>
        <v>20319.609618000002</v>
      </c>
      <c r="S7" s="73" ph="1">
        <f>S6*1.5*1.5*3.1416*LOOKUP(S8,密度!$A$2:$A$50,密度!$L$2:$L$50)</f>
        <v>2874.0008681999998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10169.4958596</v>
      </c>
      <c r="X7" s="73" ph="1">
        <f>X6*1.5*1.5*3.1416*LOOKUP(X8,密度!$A$2:$A$50,密度!$L$2:$L$50)</f>
        <v>41365.6451208</v>
      </c>
      <c r="Y7" s="73" ph="1">
        <f>Y6*1.5*1.5*3.1416*LOOKUP(Y8,密度!$A$2:$A$50,密度!$L$2:$L$50)</f>
        <v>47268.576432000002</v>
      </c>
      <c r="Z7" s="73" ph="1">
        <f>Z6*33.183*LOOKUP(Z8,密度!$A$2:$A$50,密度!$L$2:$L$50)</f>
        <v>93364.219727999996</v>
      </c>
      <c r="AA7" s="73" ph="1">
        <f>AA6*33.183*LOOKUP(AA8,密度!$A$2:$A$50,密度!$D$2:$D$50)</f>
        <v>0</v>
      </c>
      <c r="AB7" s="73" ph="1">
        <f>AB6*20.428*LOOKUP(AB8,密度!$A$2:$A$50,密度!$D$2:$D$50)</f>
        <v>80351.873118000003</v>
      </c>
      <c r="AC7" s="73" ph="1">
        <f>AC6*51.53*LOOKUP(AC8,密度!$A$2:$A$50,密度!$Q$2:$Q$50)</f>
        <v>223848.1055145</v>
      </c>
      <c r="AD7" s="73" ph="1">
        <f>AD6*20.428*LOOKUP(AD8,密度!$A$2:$A$50,密度!$V$2:$V$50)</f>
        <v>69268.520764800007</v>
      </c>
      <c r="AE7" s="73" ph="1">
        <f>AE6*20.428</f>
        <v>110576.76400000001</v>
      </c>
    </row>
    <row r="8" spans="1:99" ph="1">
      <c r="B8" s="241" ph="1"/>
      <c r="C8" s="68" t="s" ph="1">
        <v>179</v>
      </c>
      <c r="D8" s="74">
        <v>27</v>
      </c>
      <c r="E8" s="74">
        <v>27</v>
      </c>
      <c r="F8" s="74">
        <v>27</v>
      </c>
      <c r="G8" s="74">
        <v>25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33</v>
      </c>
      <c r="P8" s="74">
        <v>28</v>
      </c>
      <c r="Q8" s="74">
        <v>29</v>
      </c>
      <c r="R8" s="74">
        <v>32</v>
      </c>
      <c r="S8" s="74">
        <v>23</v>
      </c>
      <c r="T8" s="74">
        <v>23</v>
      </c>
      <c r="U8" s="74">
        <v>26</v>
      </c>
      <c r="V8" s="74">
        <v>28</v>
      </c>
      <c r="W8" s="74">
        <v>29</v>
      </c>
      <c r="X8" s="74">
        <v>30</v>
      </c>
      <c r="Y8" s="74">
        <v>27</v>
      </c>
      <c r="Z8" s="74">
        <v>26</v>
      </c>
      <c r="AA8" s="74">
        <v>32</v>
      </c>
      <c r="AB8" s="74">
        <v>21</v>
      </c>
      <c r="AC8" s="74">
        <v>30</v>
      </c>
      <c r="AD8" s="74">
        <v>27</v>
      </c>
      <c r="AE8" s="74">
        <v>29</v>
      </c>
    </row>
    <row r="9" spans="1:99" ht="26.4" ph="1">
      <c r="B9" s="241" ph="1">
        <v>0.66666666666666663</v>
      </c>
      <c r="C9" s="162" t="s" ph="1">
        <v>180</v>
      </c>
      <c r="D9" s="71">
        <v>4596</v>
      </c>
      <c r="E9" s="71">
        <v>8176</v>
      </c>
      <c r="F9" s="71">
        <v>5847</v>
      </c>
      <c r="G9" s="71">
        <v>1670</v>
      </c>
      <c r="H9" s="71">
        <v>2319</v>
      </c>
      <c r="I9" s="71">
        <v>52.41</v>
      </c>
      <c r="J9" s="71">
        <v>6.24</v>
      </c>
      <c r="K9" s="71">
        <v>40.19</v>
      </c>
      <c r="L9" s="71">
        <v>90.34</v>
      </c>
      <c r="M9" s="71">
        <v>6396</v>
      </c>
      <c r="N9" s="71">
        <v>1346</v>
      </c>
      <c r="O9" s="71">
        <v>3546</v>
      </c>
      <c r="P9" s="71">
        <v>1732</v>
      </c>
      <c r="Q9" s="71">
        <v>7171</v>
      </c>
      <c r="R9" s="71">
        <v>6804</v>
      </c>
      <c r="S9" s="71">
        <v>2942</v>
      </c>
      <c r="T9" s="71">
        <v>0</v>
      </c>
      <c r="U9" s="71">
        <v>0</v>
      </c>
      <c r="V9" s="71">
        <v>0</v>
      </c>
      <c r="W9" s="71">
        <v>0</v>
      </c>
      <c r="X9" s="71">
        <v>3101</v>
      </c>
      <c r="Y9" s="71">
        <v>7162</v>
      </c>
      <c r="Z9" s="71">
        <v>718</v>
      </c>
      <c r="AA9" s="71">
        <v>0</v>
      </c>
      <c r="AB9" s="71">
        <v>3760</v>
      </c>
      <c r="AC9" s="71">
        <v>4316</v>
      </c>
      <c r="AD9" s="71">
        <v>3923</v>
      </c>
      <c r="AE9" s="71">
        <v>5380</v>
      </c>
    </row>
    <row r="10" spans="1:99" s="72" customFormat="1" ht="22.2" ph="1">
      <c r="B10" s="241" ph="1"/>
      <c r="C10" s="162" t="s" ph="1">
        <v>178</v>
      </c>
      <c r="D10" s="73" ph="1">
        <f>D9*33.183*LOOKUP(D11,密度!$A$2:$A$50,密度!$Q$2:$Q$50)</f>
        <v>143152.63667820001</v>
      </c>
      <c r="E10" s="73" ph="1">
        <f>E9*51.53*LOOKUP(E11,密度!$A$2:$A$50,密度!$B$2:$B$50)</f>
        <v>326261.90643199999</v>
      </c>
      <c r="F10" s="73" ph="1">
        <f>F9*33.183*LOOKUP(F11,密度!$A$2:$A$50,密度!$C$2:$C$50)</f>
        <v>214218.58720410001</v>
      </c>
      <c r="G10" s="73" ph="1">
        <f xml:space="preserve"> (G9+2)*51.53*LOOKUP(G11,密度!$A$2:$A$50,密度!$B$2:$B$50)</f>
        <v>66720.879104000007</v>
      </c>
      <c r="H10" s="73" ph="1">
        <f>(H9)*51.53*LOOKUP(H11,密度!$A$2:$A$50,密度!$B$2:$B$50)</f>
        <v>92431.757144999996</v>
      </c>
      <c r="I10" s="73" ph="1">
        <f>I9*290.8*1.0267</f>
        <v>15647.758107599999</v>
      </c>
      <c r="J10" s="73" ph="1">
        <f>J9*290.8*0.7892</f>
        <v>1432.0760064000001</v>
      </c>
      <c r="K10" s="73" ph="1">
        <f>K9*290.8*1.1126</f>
        <v>13003.236575200001</v>
      </c>
      <c r="L10" s="73" ph="1">
        <f>L9*290.8*0.777</f>
        <v>20412.467544000003</v>
      </c>
      <c r="M10" s="73" ph="1">
        <f>M9*33.183*LOOKUP(M11,密度!$A$2:$A$50,密度!$D$2:$D$50)</f>
        <v>214657.98653520001</v>
      </c>
      <c r="N10" s="73" ph="1">
        <f>N9*33.183*LOOKUP(N11,密度!$A$2:$A$50,密度!$E$2:$E$50)</f>
        <v>34528.197673080002</v>
      </c>
      <c r="O10" s="73" ph="1">
        <f>O9*20.428*LOOKUP(O11,密度!$A$2:$A$50,密度!$C$2:$C$50)</f>
        <v>79442.412429600008</v>
      </c>
      <c r="P10" s="73" ph="1">
        <f>P9*51.53*LOOKUP(P11,密度!$A$2:$A$50,密度!$B$2:$B$50)</f>
        <v>68963.444092000005</v>
      </c>
      <c r="Q10" s="73" ph="1">
        <f>Q9*1.5*1.5*3.1416*LOOKUP(W11,密度!$A$2:$A$50,密度!$L$2:$L$50)</f>
        <v>46583.127221399998</v>
      </c>
      <c r="R10" s="73" ph="1">
        <f>R9*1.5*1.5*3.1416*LOOKUP(R11,密度!$A$2:$A$50,密度!$L$2:$L$50)</f>
        <v>44583.8373288</v>
      </c>
      <c r="S10" s="73" ph="1">
        <f>S9*1.5*1.5*3.1416*LOOKUP(S11,密度!$A$2:$A$50,密度!$L$2:$L$50)</f>
        <v>19506.480285599999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20648.384341199999</v>
      </c>
      <c r="Y10" s="73" ph="1">
        <f>Y9*1.5*1.5*3.1416*LOOKUP(Y11,密度!$A$2:$A$50,密度!$L$2:$L$50)</f>
        <v>47182.7919024</v>
      </c>
      <c r="Z10" s="73" ph="1">
        <f>Z9*33.183*LOOKUP(Z11,密度!$A$2:$A$50,密度!$L$2:$L$50)</f>
        <v>21990.838662000002</v>
      </c>
      <c r="AA10" s="73" ph="1">
        <f>AA9*33.183*LOOKUP(AA11,密度!$A$2:$A$50,密度!$D$2:$D$50)</f>
        <v>0</v>
      </c>
      <c r="AB10" s="73" ph="1">
        <f>AB9*20.428*LOOKUP(AB11,密度!$A$2:$A$50,密度!$D$2:$D$50)</f>
        <v>78860.087776</v>
      </c>
      <c r="AC10" s="73" ph="1">
        <f>AC9*51.53*LOOKUP(AC11,密度!$A$2:$A$50,密度!$Q$2:$Q$50)</f>
        <v>210400.36418440001</v>
      </c>
      <c r="AD10" s="73" ph="1">
        <f>AD9*20.428*LOOKUP(AD11,密度!$A$2:$A$50,密度!$V$2:$V$50)</f>
        <v>76741.14853440001</v>
      </c>
      <c r="AE10" s="73" ph="1">
        <f>AE9*20.428</f>
        <v>109902.64</v>
      </c>
    </row>
    <row r="11" spans="1:99" ph="1">
      <c r="A11" s="64" t="s" ph="1">
        <v>162</v>
      </c>
      <c r="B11" s="241" ph="1"/>
      <c r="C11" s="162" t="s" ph="1">
        <v>179</v>
      </c>
      <c r="D11" s="74">
        <v>37</v>
      </c>
      <c r="E11" s="74">
        <v>31</v>
      </c>
      <c r="F11" s="74">
        <v>31</v>
      </c>
      <c r="G11" s="74">
        <v>31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42</v>
      </c>
      <c r="N11" s="74">
        <v>34</v>
      </c>
      <c r="O11" s="74">
        <v>38</v>
      </c>
      <c r="P11" s="74">
        <v>33</v>
      </c>
      <c r="Q11" s="74">
        <v>32</v>
      </c>
      <c r="R11" s="74">
        <v>35</v>
      </c>
      <c r="S11" s="74">
        <v>24</v>
      </c>
      <c r="T11" s="74">
        <v>40</v>
      </c>
      <c r="U11" s="74">
        <v>36</v>
      </c>
      <c r="V11" s="74">
        <v>28</v>
      </c>
      <c r="W11" s="74">
        <v>43</v>
      </c>
      <c r="X11" s="74">
        <v>20</v>
      </c>
      <c r="Y11" s="74">
        <v>30</v>
      </c>
      <c r="Z11" s="74">
        <v>39</v>
      </c>
      <c r="AA11" s="74">
        <v>50</v>
      </c>
      <c r="AB11" s="74">
        <v>25</v>
      </c>
      <c r="AC11" s="74">
        <v>26</v>
      </c>
      <c r="AD11" s="74">
        <v>41</v>
      </c>
      <c r="AE11" s="74">
        <v>32</v>
      </c>
    </row>
    <row r="12" spans="1:99" ht="9.9" customHeight="1" ph="1"/>
    <row r="13" spans="1:99" s="72" customFormat="1" ht="29.25" customHeight="1" ph="1">
      <c r="B13" s="218" t="s" ph="1">
        <v>37</v>
      </c>
      <c r="C13" s="16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2" t="s" ph="1">
        <v>177</v>
      </c>
      <c r="D15" s="78">
        <v>3952</v>
      </c>
      <c r="E15" s="78">
        <v>6062</v>
      </c>
      <c r="F15" s="78">
        <v>1985</v>
      </c>
      <c r="G15" s="78">
        <v>3897</v>
      </c>
      <c r="H15" s="78">
        <v>0</v>
      </c>
      <c r="I15" s="78">
        <v>0</v>
      </c>
      <c r="J15" s="78">
        <v>152</v>
      </c>
      <c r="K15" s="78">
        <v>2281</v>
      </c>
      <c r="L15" s="78">
        <v>3582</v>
      </c>
      <c r="M15" s="78">
        <v>4945</v>
      </c>
      <c r="N15" s="78">
        <v>3689</v>
      </c>
      <c r="O15" s="78">
        <v>3390</v>
      </c>
      <c r="P15" s="78">
        <v>5327</v>
      </c>
      <c r="Q15" s="78">
        <v>785</v>
      </c>
      <c r="R15" s="78">
        <v>0</v>
      </c>
      <c r="S15" s="78">
        <v>0</v>
      </c>
      <c r="T15" s="78">
        <v>4096</v>
      </c>
      <c r="U15" s="78">
        <v>4883</v>
      </c>
      <c r="V15" s="78">
        <v>-538</v>
      </c>
      <c r="W15" s="71">
        <v>-732</v>
      </c>
      <c r="X15" s="78">
        <v>1571</v>
      </c>
      <c r="Y15" s="106">
        <v>-9907</v>
      </c>
      <c r="Z15" s="78">
        <v>1953</v>
      </c>
      <c r="AA15" s="78">
        <v>2604</v>
      </c>
      <c r="AB15" s="78" ph="1">
        <v>5089</v>
      </c>
      <c r="AC15" s="78" ph="1">
        <v>7339</v>
      </c>
      <c r="AD15" s="78">
        <v>7.57</v>
      </c>
      <c r="AE15" s="78">
        <v>57.17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2" t="s" ph="1">
        <v>178</v>
      </c>
      <c r="D16" s="73" ph="1">
        <f>D15*7.0686*LOOKUP(D17,密度!$A$2:$A$50,密度!$L$2:$L$50)</f>
        <v>26091.3901248</v>
      </c>
      <c r="E16" s="73" ph="1">
        <f>E15*7.0686*LOOKUP(E17,密度!$A$2:$A$50,密度!$L$2:$L$50)</f>
        <v>40021.762888800004</v>
      </c>
      <c r="F16" s="73" ph="1">
        <f>F15*9.0746*LOOKUP(F17,密度!$A$2:$A$50,密度!$L$2:$L$50)</f>
        <v>16788.191492000002</v>
      </c>
      <c r="G16" s="73" ph="1">
        <f>G15*9.0746*LOOKUP(G17,密度!$A$2:$A$50,密度!$B$2:$B$50)</f>
        <v>27477.607487400004</v>
      </c>
      <c r="H16" s="73" ph="1">
        <f>H15*9.0746*LOOKUP(H17,密度!$A$2:$A$50,密度!$L$2:$L$50)</f>
        <v>0</v>
      </c>
      <c r="I16" s="73" ph="1">
        <f>I15*9.0746*LOOKUP(I17,密度!$A$2:$A$50,密度!$U$2:$U$50)</f>
        <v>0</v>
      </c>
      <c r="J16" s="73" ph="1">
        <f>J15*9.0746*LOOKUP(J17,密度!$A$2:$A$50,密度!$L$2:$L$50)</f>
        <v>1286.9234736000001</v>
      </c>
      <c r="K16" s="73" ph="1">
        <f>K15*9.0746*LOOKUP(K17,密度!$A$2:$A$50,密度!$C$2:$C$50)</f>
        <v>22905.693333160001</v>
      </c>
      <c r="L16" s="73" ph="1">
        <f>L15*9.0746*LOOKUP(L17,密度!$A$2:$A$50,密度!$E$2:$E$50)</f>
        <v>25276.056894719997</v>
      </c>
      <c r="M16" s="73" ph="1">
        <f>M15*9.0746*LOOKUP(M17,密度!$A$2:$A$50,密度!$M$2:$M$50)</f>
        <v>39035.803000300002</v>
      </c>
      <c r="N16" s="73" ph="1">
        <f>N15*9.0746*LOOKUP(N17,密度!$A$2:$A$50,密度!$M$2:$M$50)</f>
        <v>29261.545895539999</v>
      </c>
      <c r="O16" s="73" ph="1">
        <f>O15*9.0746*LOOKUP(O17,密度!$A$2:$A$50,密度!$G$2:$G$50)</f>
        <v>29406.2503746</v>
      </c>
      <c r="P16" s="73" ph="1">
        <f ca="1">P15*9.0746*LOOKUP(P17,密度!$A$2:$A$51,密度!$Q$2:$Q$50)</f>
        <v>45600.944060686001</v>
      </c>
      <c r="Q16" s="73" ph="1">
        <f>Q15*9.0746*LOOKUP(Q17,密度!$A$2:$A$50,密度!$Q$2:$Q$50)</f>
        <v>6729.0581918200005</v>
      </c>
      <c r="R16" s="73" ph="1">
        <f>MAX(R15*9.0746*LOOKUP(R17,密度!$A$2:$A$50,密度!$B$2:$B$50),0)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34419.014041599999</v>
      </c>
      <c r="U16" s="73" ph="1">
        <f>U15*9.0746*LOOKUP(U17,密度!$A$2:$A$50,密度!$H$2:$H$50)</f>
        <v>40451.760026220007</v>
      </c>
      <c r="V16" s="73" ph="1">
        <f>MAX(5600*LOOKUP(V17,密度!$A$2:$A$50,密度!$Q$2:$Q$50)+V15*9.0476*LOOKUP(V17,密度!$A$2:$A$50,密度!$Q$2:$Q$50),0)</f>
        <v>691.32602541599954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20540.945311319996</v>
      </c>
      <c r="Y16" s="107" ph="1">
        <v>0</v>
      </c>
      <c r="Z16" s="73" ph="1">
        <f>Z15*9.0746*LOOKUP(Z17,密度!$A$2:$A$50,密度!$D$2:$D$50)</f>
        <v>18112.593063600001</v>
      </c>
      <c r="AA16" s="73" ph="1">
        <f>AA15*9.0746*LOOKUP(AA17,密度!$A$2:$A$50,密度!$B$2:$B$50)</f>
        <v>18360.710776799999</v>
      </c>
      <c r="AB16" s="73" ph="1">
        <f>AB15*9.0746*LOOKUP(AB17,密度!$A$2:$A$50,密度!$L$2:$L$50)</f>
        <v>42809.452723800001</v>
      </c>
      <c r="AC16" s="73" ph="1">
        <f>AC15*9.0746*LOOKUP(AC17,密度!$A$2:$A$50,密度!$L$2:$L$50)</f>
        <v>61936.595142000006</v>
      </c>
      <c r="AD16" s="73" ph="1">
        <f>AD15*268.68*LOOKUP(AD17,密度!$A$2:$A$50,密度!B2:B50)+IF(AD15&lt;=0,0,1566*LOOKUP(AD17,密度!$A$2:$A$50,密度!B2:B50))</f>
        <v>2806.4879649599998</v>
      </c>
      <c r="AE16" s="73" ph="1">
        <f>AE15*268.68*LOOKUP(AE17,密度!$A$2:$A$50,密度!B2:B50)+IF(AE15&lt;=0,0,1566*LOOKUP(AE17,密度!$A$2:$A$50,密度!B2:B50))</f>
        <v>13195.849193760001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28</v>
      </c>
      <c r="E17" s="74">
        <v>28</v>
      </c>
      <c r="F17" s="74">
        <v>30</v>
      </c>
      <c r="G17" s="74">
        <v>28</v>
      </c>
      <c r="H17" s="74">
        <v>23</v>
      </c>
      <c r="I17" s="74">
        <v>26</v>
      </c>
      <c r="J17" s="74">
        <v>29</v>
      </c>
      <c r="K17" s="74">
        <v>28</v>
      </c>
      <c r="L17" s="74">
        <v>30</v>
      </c>
      <c r="M17" s="74">
        <v>30</v>
      </c>
      <c r="N17" s="74">
        <v>26</v>
      </c>
      <c r="O17" s="74">
        <v>29</v>
      </c>
      <c r="P17" s="74">
        <v>30</v>
      </c>
      <c r="Q17" s="74">
        <v>28</v>
      </c>
      <c r="R17" s="74">
        <v>29</v>
      </c>
      <c r="S17" s="74">
        <v>26</v>
      </c>
      <c r="T17" s="74">
        <v>29</v>
      </c>
      <c r="U17" s="74">
        <v>27</v>
      </c>
      <c r="V17" s="74">
        <v>29</v>
      </c>
      <c r="W17" s="74">
        <v>29</v>
      </c>
      <c r="X17" s="74">
        <v>30</v>
      </c>
      <c r="Y17" s="108">
        <v>30</v>
      </c>
      <c r="Z17" s="74">
        <v>30</v>
      </c>
      <c r="AA17" s="74">
        <v>28</v>
      </c>
      <c r="AB17" s="74">
        <v>35</v>
      </c>
      <c r="AC17" s="74">
        <v>32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5508</v>
      </c>
      <c r="E18" s="71">
        <v>5923</v>
      </c>
      <c r="F18" s="71">
        <v>2266</v>
      </c>
      <c r="G18" s="71">
        <v>3969</v>
      </c>
      <c r="H18" s="71">
        <v>0</v>
      </c>
      <c r="I18" s="71">
        <v>2594</v>
      </c>
      <c r="J18" s="71">
        <v>152</v>
      </c>
      <c r="K18" s="71">
        <v>2281</v>
      </c>
      <c r="L18" s="71">
        <v>3590</v>
      </c>
      <c r="M18" s="71">
        <v>2850</v>
      </c>
      <c r="N18" s="71">
        <v>2891</v>
      </c>
      <c r="O18" s="71">
        <v>3653</v>
      </c>
      <c r="P18" s="71">
        <v>5334</v>
      </c>
      <c r="Q18" s="71">
        <v>782</v>
      </c>
      <c r="R18" s="71">
        <v>0</v>
      </c>
      <c r="S18" s="71">
        <v>0</v>
      </c>
      <c r="T18" s="71">
        <v>4099</v>
      </c>
      <c r="U18" s="71">
        <v>4885</v>
      </c>
      <c r="V18" s="71">
        <v>-538</v>
      </c>
      <c r="W18" s="71">
        <v>-731</v>
      </c>
      <c r="X18" s="71">
        <v>1390</v>
      </c>
      <c r="Y18" s="109">
        <v>-9909</v>
      </c>
      <c r="Z18" s="71">
        <v>1953</v>
      </c>
      <c r="AA18" s="71">
        <v>2605</v>
      </c>
      <c r="AB18" s="71">
        <v>5369</v>
      </c>
      <c r="AC18" s="71">
        <v>7344</v>
      </c>
      <c r="AD18" s="71">
        <v>30.04</v>
      </c>
      <c r="AE18" s="71">
        <v>84.59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2" t="s" ph="1">
        <v>178</v>
      </c>
      <c r="D19" s="73" ph="1">
        <f>D18*7.0686*LOOKUP(D20,密度!$A$2:$A$50,密度!$L$2:$L$50)</f>
        <v>35935.942442400003</v>
      </c>
      <c r="E19" s="73" ph="1">
        <f>E18*7.0686*LOOKUP(E20,密度!$A$2:$A$50,密度!$L$2:$L$50)</f>
        <v>38643.534329399998</v>
      </c>
      <c r="F19" s="73" ph="1">
        <f>F18*9.0746*LOOKUP(F20,密度!$A$2:$A$50,密度!$L$2:$L$50)</f>
        <v>19020.815330000001</v>
      </c>
      <c r="G19" s="73" ph="1">
        <f>G18*9.0746*LOOKUP(G20,密度!$A$2:$A$50,密度!$B$2:$B$50)</f>
        <v>27924.047861220002</v>
      </c>
      <c r="H19" s="73" ph="1">
        <f>H18*9.0746*LOOKUP(H20,密度!$A$2:$A$50,密度!$L$2:$L$50)</f>
        <v>0</v>
      </c>
      <c r="I19" s="73" ph="1">
        <f>I18*9.0746*LOOKUP(I20,密度!$A$2:$A$50,密度!$U$2:$U$50)</f>
        <v>23798.447036399997</v>
      </c>
      <c r="J19" s="73" ph="1">
        <f>J18*9.0746*LOOKUP(J20,密度!$A$2:$A$50,密度!$L$2:$L$50)</f>
        <v>1268.9920640000003</v>
      </c>
      <c r="K19" s="73" ph="1">
        <f>K18*9.0746*LOOKUP(K20,密度!$A$2:$A$50,密度!$C$2:$C$50)</f>
        <v>22831.176347799999</v>
      </c>
      <c r="L19" s="73" ph="1">
        <f>L18*9.0746*LOOKUP(L20,密度!$A$2:$A$50,密度!$E$2:$E$50)</f>
        <v>25258.230750480001</v>
      </c>
      <c r="M19" s="73" ph="1">
        <f>M18*9.0746*LOOKUP(M20,密度!$A$2:$A$50,密度!$M$2:$M$50)</f>
        <v>22362.622988700001</v>
      </c>
      <c r="N19" s="73" ph="1">
        <f>N18*9.0746*LOOKUP(N20,密度!$A$2:$A$50,密度!$M$2:$M$50)</f>
        <v>22850.3963506</v>
      </c>
      <c r="O19" s="73" ph="1">
        <f>O18*9.0746*LOOKUP(O20,密度!$A$2:$A$50,密度!$G$2:$G$50)</f>
        <v>31473.142887133999</v>
      </c>
      <c r="P19" s="73" ph="1">
        <f ca="1">P18*9.0746*LOOKUP(P20,密度!$A$2:$A$51,密度!$Q$2:$Q$50)</f>
        <v>45660.866457611999</v>
      </c>
      <c r="Q19" s="73" ph="1">
        <f>Q18*9.0746*LOOKUP(Q20,密度!$A$2:$A$50,密度!$Q$2:$Q$50)</f>
        <v>6652.1064912800002</v>
      </c>
      <c r="R19" s="73" ph="1">
        <f>MAX(R18*9.0746*LOOKUP(R20,密度!$A$2:$A$50,密度!$B$2:$B$50),0)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34325.193567119997</v>
      </c>
      <c r="U19" s="73" ph="1">
        <f>U18*9.0746*LOOKUP(U20,密度!$A$2:$A$50,密度!$H$2:$H$50)</f>
        <v>40297.66016005</v>
      </c>
      <c r="V19" s="73" ph="1">
        <f>MAX(5600*LOOKUP(V20,密度!$A$2:$A$50,密度!$Q$2:$Q$50)+V18*9.0476*LOOKUP(V20,密度!$A$2:$A$50,密度!$Q$2:$Q$50),0)</f>
        <v>686.99759342399921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18843.229218799999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18080.692214760002</v>
      </c>
      <c r="AA19" s="73" ph="1">
        <f>AA18*9.0746*LOOKUP(AA20,密度!$A$2:$A$50,密度!$B$2:$B$50)</f>
        <v>18327.574874900001</v>
      </c>
      <c r="AB19" s="73" ph="1">
        <f>AB18*9.0746*LOOKUP(AB20,密度!$A$2:$A$50,密度!$L$2:$L$50)</f>
        <v>45116.134372400003</v>
      </c>
      <c r="AC19" s="73" ph="1">
        <f>AC18*9.0746*LOOKUP(AC20,密度!$A$2:$A$50,密度!$L$2:$L$50)</f>
        <v>61845.504307200004</v>
      </c>
      <c r="AD19" s="73" ph="1">
        <f>AD18*268.68*LOOKUP(AD20,密度!$A$2:$A$50,密度!B5:B53)+IF(AD18&lt;=0,0,1566*LOOKUP(AD20,密度!$A$2:$A$50,密度!B5:B53))</f>
        <v>7488.0633744000006</v>
      </c>
      <c r="AE19" s="73" ph="1">
        <f>AE18*268.68*LOOKUP(AE20,密度!$A$2:$A$50,密度!B5:B53)+IF(AE18&lt;=0,0,1566*LOOKUP(AE20,密度!$A$2:$A$50,密度!B5:B53))</f>
        <v>18876.159212400002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39</v>
      </c>
      <c r="E20" s="81">
        <v>39</v>
      </c>
      <c r="F20" s="81">
        <v>37</v>
      </c>
      <c r="G20" s="81">
        <v>30</v>
      </c>
      <c r="H20" s="81">
        <v>36</v>
      </c>
      <c r="I20" s="81">
        <v>40</v>
      </c>
      <c r="J20" s="81">
        <v>42</v>
      </c>
      <c r="K20" s="81">
        <v>32</v>
      </c>
      <c r="L20" s="81">
        <v>32</v>
      </c>
      <c r="M20" s="81">
        <v>35</v>
      </c>
      <c r="N20" s="81">
        <v>29</v>
      </c>
      <c r="O20" s="81">
        <v>35</v>
      </c>
      <c r="P20" s="81">
        <v>30</v>
      </c>
      <c r="Q20" s="81">
        <v>39</v>
      </c>
      <c r="R20" s="81">
        <v>37</v>
      </c>
      <c r="S20" s="81">
        <v>37</v>
      </c>
      <c r="T20" s="81">
        <v>31</v>
      </c>
      <c r="U20" s="81">
        <v>31</v>
      </c>
      <c r="V20" s="81">
        <v>38</v>
      </c>
      <c r="W20" s="81">
        <v>35</v>
      </c>
      <c r="X20" s="81">
        <v>30</v>
      </c>
      <c r="Y20" s="110">
        <v>30</v>
      </c>
      <c r="Z20" s="81">
        <v>32</v>
      </c>
      <c r="AA20" s="81">
        <v>30</v>
      </c>
      <c r="AB20" s="81">
        <v>36</v>
      </c>
      <c r="AC20" s="81">
        <v>34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2" t="s" ph="1">
        <v>177</v>
      </c>
      <c r="D24" s="71">
        <v>50.07</v>
      </c>
      <c r="E24" s="71">
        <v>5.62</v>
      </c>
      <c r="F24" s="71">
        <v>1422</v>
      </c>
      <c r="G24" s="71">
        <v>3915</v>
      </c>
      <c r="H24" s="71">
        <v>3089</v>
      </c>
      <c r="I24" s="71">
        <v>696</v>
      </c>
      <c r="J24" s="71">
        <v>208</v>
      </c>
      <c r="K24" s="71">
        <v>248</v>
      </c>
      <c r="L24" s="71">
        <v>470</v>
      </c>
      <c r="M24" s="71">
        <v>359</v>
      </c>
      <c r="N24" s="71">
        <v>229</v>
      </c>
      <c r="O24" s="71">
        <v>614</v>
      </c>
      <c r="P24" s="71">
        <v>3238</v>
      </c>
      <c r="Q24" s="90">
        <v>1223</v>
      </c>
      <c r="R24" s="71">
        <v>4392</v>
      </c>
      <c r="S24" s="71">
        <v>5502</v>
      </c>
      <c r="T24" s="71">
        <v>495</v>
      </c>
      <c r="U24" s="71">
        <v>5267</v>
      </c>
      <c r="V24" s="71">
        <v>1017</v>
      </c>
      <c r="W24" s="71">
        <v>3893</v>
      </c>
      <c r="X24" s="71">
        <v>3616</v>
      </c>
      <c r="Y24" s="71">
        <v>3889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14218.905907224</v>
      </c>
      <c r="E25" s="91" ph="1">
        <f>E24*268.68*LOOKUP(E26,密度!$A$2:$A$50,密度!$C$2:$C$50)+IF(E24&lt;=0,0,1566*LOOKUP(E26,密度!$A$2:$A$50,密度!$C$2:$C$50))</f>
        <v>3410.9559962399999</v>
      </c>
      <c r="F25" s="91" ph="1">
        <f>F24*11.702*LOOKUP(F26,密度!$A$2:$A$50,密度!$Q$2:$Q$50)</f>
        <v>15730.355458079999</v>
      </c>
      <c r="G25" s="91" ph="1">
        <f>G24*18.322*LOOKUP(G26,密度!$A$2:$A$50,密度!$B$2:$B$50)</f>
        <v>55677.31500599999</v>
      </c>
      <c r="H25" s="91" ph="1">
        <f>H24*18.322*LOOKUP(H26,密度!$A$2:$A$50,密度!$B$2:$B$50)</f>
        <v>43930.325939599999</v>
      </c>
      <c r="I25" s="91" ph="1">
        <f>I24*18.322*LOOKUP(I26,密度!$A$2:$A$50,密度!$Q$2:$Q$50)</f>
        <v>12063.880515360001</v>
      </c>
      <c r="J25" s="91" ph="1">
        <f>J24*18.322*LOOKUP(J26,密度!$A$2:$A$50,密度!$Q$2:$Q$50)</f>
        <v>3597.29457568</v>
      </c>
      <c r="K25" s="91" ph="1">
        <f>K24*18.322*LOOKUP(K26,密度!$A$2:$A$50,密度!$Q$2:$Q$50)</f>
        <v>4289.0819940800002</v>
      </c>
      <c r="L25" s="91" ph="1">
        <f>L24*18.322*LOOKUP(L26,密度!$A$2:$A$50,密度!$Q$2:$Q$50)</f>
        <v>8134.4439908000004</v>
      </c>
      <c r="M25" s="91" ph="1">
        <f>M24*18.322*LOOKUP(M26,密度!$A$2:$A$50,密度!$Q$2:$Q$50)</f>
        <v>6213.3306227599996</v>
      </c>
      <c r="N25" s="91" ph="1">
        <f>N24*18.322*LOOKUP(N26,密度!$A$2:$A$50,密度!$Q$2:$Q$50)</f>
        <v>3960.4829703399996</v>
      </c>
      <c r="O25" s="91" ph="1">
        <f>O24*18.322*LOOKUP(O26,密度!$A$2:$A$50,密度!$C$2:$C$50)</f>
        <v>12457.926639199997</v>
      </c>
      <c r="P25" s="91" ph="1">
        <f>P24*11.702*LOOKUP(P26,密度!$A$2:$A$50,密度!$B$2:$B$50)</f>
        <v>29505.7808812</v>
      </c>
      <c r="Q25" s="92" ph="1">
        <f>Q24*18.322*LOOKUP(Q26,密度!$A$2:$A$50,密度!$B$2:$B$50)</f>
        <v>17410.865261999999</v>
      </c>
      <c r="R25" s="91" ph="1">
        <f>R24*35.891*LOOKUP(R26,密度!$A$2:$A$50,密度!$C$2:$C$50)</f>
        <v>174436.9787952</v>
      </c>
      <c r="S25" s="91" ph="1">
        <f>S24*35.891*LOOKUP(S26,密度!$A$2:$A$50,密度!$B$2:$B$50)</f>
        <v>153277.98528839997</v>
      </c>
      <c r="T25" s="91" ph="1">
        <f>T24*35.891*LOOKUP(T26,密度!$A$2:$A$50,密度!$Q$2:$Q$50)</f>
        <v>16769.90285685</v>
      </c>
      <c r="U25" s="91" ph="1">
        <f>U24*35.891</f>
        <v>189037.897</v>
      </c>
      <c r="V25" s="91" ph="1">
        <f>V24*47.051*LOOKUP(V26,密度!$A$2:$A$50,密度!$B$2:$B$50)</f>
        <v>37304.535913199994</v>
      </c>
      <c r="W25" s="91" ph="1">
        <f>W24*47.051*LOOKUP(W26,密度!$A$2:$A$50,密度!$B$2:$B$50)</f>
        <v>142963.82831149999</v>
      </c>
      <c r="X25" s="91" ph="1">
        <f>X24*47.051*LOOKUP(X26,密度!$A$2:$A$61,密度!$I$2:$I$61)</f>
        <v>177146.03633919999</v>
      </c>
      <c r="Y25" s="91" ph="1">
        <f>Y24*47.051*LOOKUP(Y26,密度!$A$2:$A$50,密度!$L$2:$L$50)</f>
        <v>169989.66393100002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27</v>
      </c>
      <c r="G26" s="74">
        <v>29</v>
      </c>
      <c r="H26" s="74">
        <v>29</v>
      </c>
      <c r="I26" s="74">
        <v>26</v>
      </c>
      <c r="J26" s="74">
        <v>29</v>
      </c>
      <c r="K26" s="74">
        <v>29</v>
      </c>
      <c r="L26" s="74">
        <v>28</v>
      </c>
      <c r="M26" s="74">
        <v>28</v>
      </c>
      <c r="N26" s="74">
        <v>29</v>
      </c>
      <c r="O26" s="74">
        <v>27</v>
      </c>
      <c r="P26" s="74">
        <v>26</v>
      </c>
      <c r="Q26" s="93">
        <v>28</v>
      </c>
      <c r="R26" s="74">
        <v>28</v>
      </c>
      <c r="S26" s="74">
        <v>29</v>
      </c>
      <c r="T26" s="74">
        <v>29</v>
      </c>
      <c r="U26" s="74">
        <v>29</v>
      </c>
      <c r="V26" s="74">
        <v>25</v>
      </c>
      <c r="W26" s="74">
        <v>24</v>
      </c>
      <c r="X26" s="74">
        <v>26</v>
      </c>
      <c r="Y26" s="74">
        <v>33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2" t="s" ph="1">
        <v>180</v>
      </c>
      <c r="D27" s="71">
        <v>19.93</v>
      </c>
      <c r="E27" s="71">
        <v>5.59</v>
      </c>
      <c r="F27" s="71">
        <v>239</v>
      </c>
      <c r="G27" s="71">
        <v>3457</v>
      </c>
      <c r="H27" s="71">
        <v>2632</v>
      </c>
      <c r="I27" s="71">
        <v>692</v>
      </c>
      <c r="J27" s="71">
        <v>201</v>
      </c>
      <c r="K27" s="71">
        <v>242</v>
      </c>
      <c r="L27" s="71">
        <v>464</v>
      </c>
      <c r="M27" s="71">
        <v>353</v>
      </c>
      <c r="N27" s="71">
        <v>221</v>
      </c>
      <c r="O27" s="71">
        <v>608</v>
      </c>
      <c r="P27" s="71">
        <v>3240</v>
      </c>
      <c r="Q27" s="90">
        <v>1535</v>
      </c>
      <c r="R27" s="71">
        <v>4325</v>
      </c>
      <c r="S27" s="71">
        <v>5500</v>
      </c>
      <c r="T27" s="71">
        <v>492</v>
      </c>
      <c r="U27" s="71">
        <v>5321</v>
      </c>
      <c r="V27" s="71">
        <v>1012</v>
      </c>
      <c r="W27" s="71">
        <v>4414</v>
      </c>
      <c r="X27" s="71">
        <v>3855</v>
      </c>
      <c r="Y27" s="71">
        <v>4626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2" t="s" ph="1">
        <v>178</v>
      </c>
      <c r="D28" s="91" ph="1">
        <f>D27*268.68*LOOKUP(D29,密度!$A$2:$A$50,密度!$Q$2:$Q$50)+IF(D27&lt;=0,0,1566*LOOKUP(D29,密度!$A$2:$A$50,密度!$Q$2:$Q$50))</f>
        <v>6552.1909967760002</v>
      </c>
      <c r="E28" s="91" ph="1">
        <f>E27*268.68*LOOKUP(E29,密度!$A$2:$A$50,密度!$C$2:$C$50)+IF(E27&lt;=0,0,1566*LOOKUP(E29,密度!$A$2:$A$50,密度!$C$2:$C$50))</f>
        <v>3402.0178186799999</v>
      </c>
      <c r="F28" s="91" ph="1">
        <f>F27*11.702*LOOKUP(F29,密度!$A$2:$A$50,密度!$Q$2:$Q$50)</f>
        <v>2634.2851981999997</v>
      </c>
      <c r="G28" s="91" ph="1">
        <f>G27*18.322*LOOKUP(G29,密度!$A$2:$A$50,密度!$B$2:$B$50)</f>
        <v>48992.83561899999</v>
      </c>
      <c r="H28" s="91" ph="1">
        <f>H27*18.322*LOOKUP(H29,密度!$A$2:$A$50,密度!$B$2:$B$50)</f>
        <v>37300.880343999997</v>
      </c>
      <c r="I28" s="91" ph="1">
        <f>I27*18.322*LOOKUP(I29,密度!$A$2:$A$50,密度!$Q$2:$Q$50)</f>
        <v>11960.315043919998</v>
      </c>
      <c r="J28" s="91" ph="1">
        <f>J27*18.322*LOOKUP(J29,密度!$A$2:$A$50,密度!$Q$2:$Q$50)</f>
        <v>3450.0476240399998</v>
      </c>
      <c r="K28" s="91" ph="1">
        <f>K27*18.322*LOOKUP(K29,密度!$A$2:$A$50,密度!$Q$2:$Q$50)</f>
        <v>4173.4309650000005</v>
      </c>
      <c r="L28" s="91" ph="1">
        <f>L27*18.322*LOOKUP(L29,密度!$A$2:$A$50,密度!$Q$2:$Q$50)</f>
        <v>8019.6332086399998</v>
      </c>
      <c r="M28" s="91" ph="1">
        <f>M27*18.322*LOOKUP(M29,密度!$A$2:$A$50,密度!$Q$2:$Q$50)</f>
        <v>6062.7901083999996</v>
      </c>
      <c r="N28" s="91" ph="1">
        <f>N27*18.322*LOOKUP(N29,密度!$A$2:$A$50,密度!$Q$2:$Q$50)</f>
        <v>3803.3778665999998</v>
      </c>
      <c r="O28" s="91" ph="1">
        <f>O27*18.322*LOOKUP(O29,密度!$A$2:$A$50,密度!$C$2:$C$50)</f>
        <v>12310.5664576</v>
      </c>
      <c r="P28" s="91" ph="1">
        <f>P27*11.702*LOOKUP(P29,密度!$A$2:$A$50,密度!$B$2:$B$50)</f>
        <v>29395.096344000001</v>
      </c>
      <c r="Q28" s="92" ph="1">
        <f>Q27*18.322*LOOKUP(Q29,密度!$A$2:$A$50,密度!$B$2:$B$50)</f>
        <v>21754.122844999998</v>
      </c>
      <c r="R28" s="91" ph="1">
        <f>R27*35.891*LOOKUP(R29,密度!$A$2:$A$50,密度!$C$2:$C$50)</f>
        <v>171543.09823249996</v>
      </c>
      <c r="S28" s="91" ph="1">
        <f>S27*35.891*LOOKUP(S29,密度!$A$2:$A$50,密度!$B$2:$B$50)</f>
        <v>151485.14369999999</v>
      </c>
      <c r="T28" s="91" ph="1">
        <f>T27*35.891*LOOKUP(T29,密度!$A$2:$A$50,密度!$Q$2:$Q$50)</f>
        <v>16609.288119479999</v>
      </c>
      <c r="U28" s="91" ph="1">
        <f>U27*35.891</f>
        <v>190976.011</v>
      </c>
      <c r="V28" s="91" ph="1">
        <f>V27*47.051*LOOKUP(V29,密度!$A$2:$A$50,密度!$B$2:$B$50)</f>
        <v>37078.277064399997</v>
      </c>
      <c r="W28" s="91" ph="1">
        <f>W27*47.051*LOOKUP(W29,密度!$A$2:$A$50,密度!$B$2:$B$50)</f>
        <v>162096.67047700001</v>
      </c>
      <c r="X28" s="91" ph="1">
        <f>X27*47.051*LOOKUP(X29,密度!$A$2:$A$61,密度!$I$2:$I$61)</f>
        <v>188655.00736050002</v>
      </c>
      <c r="Y28" s="91" ph="1">
        <f>Y27*47.051*LOOKUP(Y29,密度!$A$2:$A$50,密度!$L$2:$L$50)</f>
        <v>201768.897402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2" t="s" ph="1">
        <v>179</v>
      </c>
      <c r="D29" s="74">
        <v>25</v>
      </c>
      <c r="E29" s="74">
        <v>25</v>
      </c>
      <c r="F29" s="74">
        <v>32</v>
      </c>
      <c r="G29" s="74">
        <v>32</v>
      </c>
      <c r="H29" s="74">
        <v>32</v>
      </c>
      <c r="I29" s="74">
        <v>30</v>
      </c>
      <c r="J29" s="74">
        <v>41</v>
      </c>
      <c r="K29" s="74">
        <v>33</v>
      </c>
      <c r="L29" s="74">
        <v>30</v>
      </c>
      <c r="M29" s="74">
        <v>39</v>
      </c>
      <c r="N29" s="74">
        <v>36</v>
      </c>
      <c r="O29" s="74">
        <v>30</v>
      </c>
      <c r="P29" s="74">
        <v>30</v>
      </c>
      <c r="Q29" s="93">
        <v>32</v>
      </c>
      <c r="R29" s="74">
        <v>30</v>
      </c>
      <c r="S29" s="74">
        <v>39</v>
      </c>
      <c r="T29" s="74">
        <v>34</v>
      </c>
      <c r="U29" s="74">
        <v>30</v>
      </c>
      <c r="V29" s="74">
        <v>26</v>
      </c>
      <c r="W29" s="74">
        <v>24</v>
      </c>
      <c r="X29" s="74">
        <v>27</v>
      </c>
      <c r="Y29" s="74">
        <v>35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2" t="s" ph="1">
        <v>5</v>
      </c>
      <c r="F32" s="161" t="s" ph="1">
        <v>43</v>
      </c>
      <c r="G32" s="97" t="s" ph="1">
        <v>4</v>
      </c>
      <c r="H32" s="162" t="s" ph="1">
        <v>5</v>
      </c>
      <c r="I32" s="161" t="s" ph="1">
        <v>43</v>
      </c>
      <c r="J32" s="97" t="s" ph="1">
        <v>4</v>
      </c>
      <c r="K32" s="162" t="s" ph="1">
        <v>5</v>
      </c>
      <c r="L32" s="161" t="s" ph="1">
        <v>43</v>
      </c>
      <c r="M32" s="97" t="s" ph="1">
        <v>4</v>
      </c>
      <c r="N32" s="162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1" t="s" ph="1">
        <v>43</v>
      </c>
      <c r="AB32" s="97" t="s" ph="1">
        <v>85</v>
      </c>
      <c r="AC32" s="162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96940.779990759998</v>
      </c>
      <c r="E33" s="190" ph="1">
        <f>M10+I10</f>
        <v>230305.74464280001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16" ph="1">
        <f>N19</f>
        <v>22850.3963506</v>
      </c>
      <c r="H33" s="190" ph="1">
        <f>M19</f>
        <v>22362.622988700001</v>
      </c>
      <c r="I33" s="194" ph="1">
        <v>0</v>
      </c>
      <c r="J33" s="198" ph="1">
        <f>F10+O28</f>
        <v>226529.15366170002</v>
      </c>
      <c r="K33" s="190" ph="1">
        <f>O10+K10+E28+R28</f>
        <v>267390.76505597995</v>
      </c>
      <c r="L33" s="200" ph="1">
        <f>K19</f>
        <v>22831.176347799999</v>
      </c>
      <c r="M33" s="198" ph="1">
        <f>G10+H10+W28+S28+V28+E10+R19+P28+Q28</f>
        <v>887223.85311140004</v>
      </c>
      <c r="N33" s="190" ph="1">
        <f>L10+P10++G28+H28+AD19+AE19</f>
        <v>202033.85018579999</v>
      </c>
      <c r="O33" s="194" ph="1">
        <f>G19</f>
        <v>27924.047861220002</v>
      </c>
      <c r="P33" s="198" ph="1">
        <f>L19</f>
        <v>25258.230750480001</v>
      </c>
      <c r="Q33" s="190" ph="1">
        <f>J10+N10</f>
        <v>35960.27367948</v>
      </c>
      <c r="R33" s="194" ph="1">
        <f>BE23</f>
        <v>890</v>
      </c>
      <c r="S33" s="198" ph="1">
        <f>X28</f>
        <v>188655.00736050002</v>
      </c>
      <c r="T33" s="190" ph="1">
        <f>X19</f>
        <v>18843.229218799999</v>
      </c>
      <c r="U33" s="179" ph="1">
        <f>BE21</f>
        <v>730</v>
      </c>
      <c r="V33" s="192" ph="1">
        <f ca="1">P19+Q19+S19+M28+N28+J28+D10+AC10+D19+E19+H19+J19+O19+V19+W19+K28+L28</f>
        <v>539383.8629005301</v>
      </c>
      <c r="W33" s="192" ph="1">
        <f>D28+F28+T28+I28</f>
        <v>37756.079358375995</v>
      </c>
      <c r="X33" s="194" ph="1">
        <f>BE29+BE31</f>
        <v>10200</v>
      </c>
      <c r="Y33" s="196" ph="1">
        <f>+Q10+R10+S10+T10+U10+V10+W10+X10+Y10</f>
        <v>178504.62107940001</v>
      </c>
      <c r="Z33" s="177" ph="1">
        <f>T19+U19+Y28+Z10</f>
        <v>298382.58979117003</v>
      </c>
      <c r="AA33" s="179" ph="1">
        <f>BE19</f>
        <v>1440</v>
      </c>
      <c r="AB33" s="181" ph="1">
        <f>I19</f>
        <v>23798.447036399997</v>
      </c>
      <c r="AC33" s="183" ph="1">
        <f>AD10+AB19</f>
        <v>121857.28290680001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0" t="s" ph="1">
        <v>185</v>
      </c>
      <c r="AA36" s="160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6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0" t="s" ph="1">
        <v>342</v>
      </c>
      <c r="AI37" s="160" t="s" ph="1">
        <v>209</v>
      </c>
      <c r="AJ37" s="160" t="s" ph="1">
        <v>210</v>
      </c>
      <c r="AK37" s="160" t="s" ph="1">
        <v>211</v>
      </c>
      <c r="AM37" s="160" t="s" ph="1">
        <v>210</v>
      </c>
      <c r="AN37" s="160" t="s" ph="1">
        <v>211</v>
      </c>
      <c r="AO37" s="160" t="s" ph="1">
        <v>212</v>
      </c>
      <c r="AP37" s="160" t="s" ph="1">
        <v>210</v>
      </c>
      <c r="AQ37" s="160" t="s" ph="1">
        <v>211</v>
      </c>
      <c r="AR37" s="160" t="s" ph="1">
        <v>212</v>
      </c>
      <c r="AS37" s="160" t="s" ph="1">
        <v>210</v>
      </c>
      <c r="AT37" s="160" t="s" ph="1">
        <v>211</v>
      </c>
      <c r="AU37" s="160" t="s" ph="1">
        <v>212</v>
      </c>
      <c r="AV37" s="160" t="s" ph="1">
        <v>210</v>
      </c>
      <c r="AW37" s="160" t="s" ph="1">
        <v>211</v>
      </c>
      <c r="AX37" s="160" t="s" ph="1">
        <v>212</v>
      </c>
      <c r="AY37" s="160" t="s" ph="1">
        <v>211</v>
      </c>
      <c r="AZ37" s="160" t="s" ph="1">
        <v>213</v>
      </c>
      <c r="BD37" s="160" t="s" ph="1">
        <v>305</v>
      </c>
      <c r="BE37" s="16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389" priority="100">
      <formula>ABS(D$7-D$10)&gt;=1000</formula>
    </cfRule>
  </conditionalFormatting>
  <conditionalFormatting sqref="E4 E6:E11">
    <cfRule type="expression" dxfId="388" priority="99">
      <formula>ABS(E$7-E$10)&gt;=1000</formula>
    </cfRule>
  </conditionalFormatting>
  <conditionalFormatting sqref="F4:F11">
    <cfRule type="expression" dxfId="387" priority="98">
      <formula>ABS(F$7-F$10)&gt;=1000</formula>
    </cfRule>
  </conditionalFormatting>
  <conditionalFormatting sqref="G4:G11">
    <cfRule type="expression" dxfId="386" priority="97">
      <formula>ABS(G$7-G$10)&gt;=1000</formula>
    </cfRule>
  </conditionalFormatting>
  <conditionalFormatting sqref="H4:H11">
    <cfRule type="expression" dxfId="385" priority="96">
      <formula>ABS(H$7-H$10)&gt;=1000</formula>
    </cfRule>
  </conditionalFormatting>
  <conditionalFormatting sqref="I4:I11">
    <cfRule type="expression" dxfId="384" priority="95">
      <formula>ABS(I$7-I$10)&gt;=1000</formula>
    </cfRule>
  </conditionalFormatting>
  <conditionalFormatting sqref="J4:J11">
    <cfRule type="expression" dxfId="383" priority="94">
      <formula>ABS(J$7-J$10)&gt;=1000</formula>
    </cfRule>
  </conditionalFormatting>
  <conditionalFormatting sqref="K4:K11">
    <cfRule type="expression" dxfId="382" priority="93">
      <formula>ABS(K$7-K$10)&gt;=1000</formula>
    </cfRule>
  </conditionalFormatting>
  <conditionalFormatting sqref="L4:L11">
    <cfRule type="expression" dxfId="381" priority="92">
      <formula>ABS(L$7-L$10)&gt;=1000</formula>
    </cfRule>
  </conditionalFormatting>
  <conditionalFormatting sqref="M4 M6:M11">
    <cfRule type="expression" dxfId="380" priority="91">
      <formula>ABS(M$7-M$10)&gt;=1000</formula>
    </cfRule>
  </conditionalFormatting>
  <conditionalFormatting sqref="N4 N6:N11">
    <cfRule type="expression" dxfId="379" priority="90">
      <formula>ABS(N$7-N$10)&gt;=1000</formula>
    </cfRule>
  </conditionalFormatting>
  <conditionalFormatting sqref="O4 O6:O11">
    <cfRule type="expression" dxfId="378" priority="89">
      <formula>ABS(O$7-O$10)&gt;=1000</formula>
    </cfRule>
  </conditionalFormatting>
  <conditionalFormatting sqref="P4 P6:P11">
    <cfRule type="expression" dxfId="377" priority="88">
      <formula>ABS(P$7-P$10)&gt;=1000</formula>
    </cfRule>
  </conditionalFormatting>
  <conditionalFormatting sqref="Q4:Q11">
    <cfRule type="expression" dxfId="376" priority="87">
      <formula>ABS(Q$7-Q$10)&gt;=1000</formula>
    </cfRule>
  </conditionalFormatting>
  <conditionalFormatting sqref="R4:R11">
    <cfRule type="expression" dxfId="375" priority="86">
      <formula>ABS(R$7-R$10)&gt;=1000</formula>
    </cfRule>
  </conditionalFormatting>
  <conditionalFormatting sqref="S4:S11">
    <cfRule type="expression" dxfId="374" priority="85">
      <formula>ABS(S$7-S$10)&gt;=1000</formula>
    </cfRule>
  </conditionalFormatting>
  <conditionalFormatting sqref="T4:T9 T11">
    <cfRule type="expression" dxfId="373" priority="84">
      <formula>ABS(T$7-T$10)&gt;=1000</formula>
    </cfRule>
  </conditionalFormatting>
  <conditionalFormatting sqref="U4:U9 U11">
    <cfRule type="expression" dxfId="372" priority="83">
      <formula>ABS(U$7-U$10)&gt;=1000</formula>
    </cfRule>
  </conditionalFormatting>
  <conditionalFormatting sqref="V4:V9 V11">
    <cfRule type="expression" dxfId="371" priority="82">
      <formula>ABS(V$7-V$10)&gt;=1000</formula>
    </cfRule>
  </conditionalFormatting>
  <conditionalFormatting sqref="W4:W9 W11">
    <cfRule type="expression" dxfId="370" priority="81">
      <formula>ABS(W$7-W$10)&gt;=1000</formula>
    </cfRule>
  </conditionalFormatting>
  <conditionalFormatting sqref="X4:X9 X11">
    <cfRule type="expression" dxfId="369" priority="80">
      <formula>ABS(X$7-X$10)&gt;=1000</formula>
    </cfRule>
  </conditionalFormatting>
  <conditionalFormatting sqref="Y4:Y9 Y11">
    <cfRule type="expression" dxfId="368" priority="79">
      <formula>ABS(Y$7-Y$10)&gt;=1000</formula>
    </cfRule>
  </conditionalFormatting>
  <conditionalFormatting sqref="Z4:Z11">
    <cfRule type="expression" dxfId="367" priority="78">
      <formula>ABS(Z$7-Z$10)&gt;=1000</formula>
    </cfRule>
  </conditionalFormatting>
  <conditionalFormatting sqref="AA4:AA11">
    <cfRule type="expression" dxfId="366" priority="77">
      <formula>ABS(AA$7-AA$10)&gt;=1000</formula>
    </cfRule>
  </conditionalFormatting>
  <conditionalFormatting sqref="AB4:AB11">
    <cfRule type="expression" dxfId="365" priority="76">
      <formula>ABS(AB$7-AB$10)&gt;=1000</formula>
    </cfRule>
  </conditionalFormatting>
  <conditionalFormatting sqref="AC4 AC6:AC11">
    <cfRule type="expression" dxfId="364" priority="75">
      <formula>ABS(AC$7-AC$10)&gt;=1000</formula>
    </cfRule>
  </conditionalFormatting>
  <conditionalFormatting sqref="AD4 AD6:AD11">
    <cfRule type="expression" dxfId="363" priority="74">
      <formula>ABS(AD$7-AD$10)&gt;=1000</formula>
    </cfRule>
  </conditionalFormatting>
  <conditionalFormatting sqref="AE4 AE6:AE11">
    <cfRule type="expression" dxfId="362" priority="73">
      <formula>ABS(AE$7-AE$10)&gt;=1000</formula>
    </cfRule>
  </conditionalFormatting>
  <conditionalFormatting sqref="D13:D20">
    <cfRule type="expression" dxfId="361" priority="72">
      <formula>ABS(D$16-D$19)&gt;=1000</formula>
    </cfRule>
  </conditionalFormatting>
  <conditionalFormatting sqref="E13:E20">
    <cfRule type="expression" dxfId="360" priority="71">
      <formula>ABS(E$16-E$19)&gt;=1000</formula>
    </cfRule>
  </conditionalFormatting>
  <conditionalFormatting sqref="F13 F15:F20">
    <cfRule type="expression" dxfId="359" priority="70">
      <formula>ABS(F$16-F$19)&gt;=1000</formula>
    </cfRule>
  </conditionalFormatting>
  <conditionalFormatting sqref="G13:G20">
    <cfRule type="expression" dxfId="358" priority="69">
      <formula>ABS(G$16-G$19)&gt;=1000</formula>
    </cfRule>
  </conditionalFormatting>
  <conditionalFormatting sqref="H13 H15:H20">
    <cfRule type="expression" dxfId="357" priority="68">
      <formula>ABS(H$16-H$19)&gt;=1000</formula>
    </cfRule>
  </conditionalFormatting>
  <conditionalFormatting sqref="I13:I20">
    <cfRule type="expression" dxfId="356" priority="67">
      <formula>ABS(I$16-I$19)&gt;=1000</formula>
    </cfRule>
  </conditionalFormatting>
  <conditionalFormatting sqref="J13:J20">
    <cfRule type="expression" dxfId="355" priority="66">
      <formula>ABS(J$16-J$19)&gt;=1000</formula>
    </cfRule>
  </conditionalFormatting>
  <conditionalFormatting sqref="L13:L20">
    <cfRule type="expression" dxfId="354" priority="65">
      <formula>ABS(L$16-L$19)&gt;=1000</formula>
    </cfRule>
  </conditionalFormatting>
  <conditionalFormatting sqref="M13 M15 M17:M18 M20">
    <cfRule type="expression" dxfId="353" priority="64">
      <formula>ABS(M$16-M$19)&gt;=1000</formula>
    </cfRule>
  </conditionalFormatting>
  <conditionalFormatting sqref="N13:N20">
    <cfRule type="expression" dxfId="352" priority="63">
      <formula>ABS(N$16-N$19)&gt;=1000</formula>
    </cfRule>
  </conditionalFormatting>
  <conditionalFormatting sqref="O13:O20">
    <cfRule type="expression" dxfId="351" priority="62">
      <formula>ABS(O$16-O$19)&gt;=1000</formula>
    </cfRule>
  </conditionalFormatting>
  <conditionalFormatting sqref="P13:P20">
    <cfRule type="expression" dxfId="350" priority="61">
      <formula>ABS(P$16-P$19)&gt;=1000</formula>
    </cfRule>
  </conditionalFormatting>
  <conditionalFormatting sqref="Q13 Q15:Q20">
    <cfRule type="expression" dxfId="349" priority="60">
      <formula>ABS(Q$16-Q$19)&gt;=1000</formula>
    </cfRule>
  </conditionalFormatting>
  <conditionalFormatting sqref="R13:R20">
    <cfRule type="expression" dxfId="348" priority="59">
      <formula>ABS(R$16-R$19)&gt;=1000</formula>
    </cfRule>
  </conditionalFormatting>
  <conditionalFormatting sqref="S13:S20">
    <cfRule type="expression" dxfId="347" priority="58">
      <formula>ABS(S$16-S$19)&gt;=1000</formula>
    </cfRule>
  </conditionalFormatting>
  <conditionalFormatting sqref="T13:T20">
    <cfRule type="expression" dxfId="346" priority="57">
      <formula>ABS(T$16-T$19)&gt;=1000</formula>
    </cfRule>
  </conditionalFormatting>
  <conditionalFormatting sqref="U13:U20">
    <cfRule type="expression" dxfId="345" priority="56">
      <formula>ABS(U$16-U$19)&gt;=1000</formula>
    </cfRule>
  </conditionalFormatting>
  <conditionalFormatting sqref="V13:V20">
    <cfRule type="expression" dxfId="344" priority="55">
      <formula>ABS(V$16-V$19)&gt;=1000</formula>
    </cfRule>
  </conditionalFormatting>
  <conditionalFormatting sqref="W13 W20 W15:W18">
    <cfRule type="expression" dxfId="343" priority="54">
      <formula>ABS(W$16-W$19)&gt;=1000</formula>
    </cfRule>
  </conditionalFormatting>
  <conditionalFormatting sqref="X13 X15:X20 Y19">
    <cfRule type="expression" dxfId="342" priority="53">
      <formula>ABS(X$16-X$19)&gt;=1000</formula>
    </cfRule>
  </conditionalFormatting>
  <conditionalFormatting sqref="Y13 Y15:Y18 Y20">
    <cfRule type="expression" dxfId="341" priority="52">
      <formula>ABS(Y$16-Y$19)&gt;=1000</formula>
    </cfRule>
  </conditionalFormatting>
  <conditionalFormatting sqref="Z13:Z20">
    <cfRule type="expression" dxfId="340" priority="51">
      <formula>ABS(Z$16-Z$19)&gt;=1000</formula>
    </cfRule>
  </conditionalFormatting>
  <conditionalFormatting sqref="AA13:AA20">
    <cfRule type="expression" dxfId="339" priority="50">
      <formula>ABS(AA$16-AA$19)&gt;=1000</formula>
    </cfRule>
  </conditionalFormatting>
  <conditionalFormatting sqref="AB13 AB15:AB20">
    <cfRule type="expression" dxfId="338" priority="49">
      <formula>ABS(AB$16-AB$19)&gt;=1000</formula>
    </cfRule>
  </conditionalFormatting>
  <conditionalFormatting sqref="AC13 AC15:AC20">
    <cfRule type="expression" dxfId="337" priority="48">
      <formula>ABS(AC$16-AC$19)&gt;=1000</formula>
    </cfRule>
  </conditionalFormatting>
  <conditionalFormatting sqref="AD13:AD20">
    <cfRule type="expression" dxfId="336" priority="47">
      <formula>ABS(AD$16-AD$19)&gt;=1000</formula>
    </cfRule>
  </conditionalFormatting>
  <conditionalFormatting sqref="AE13:AE20">
    <cfRule type="expression" dxfId="335" priority="46">
      <formula>ABS(AE$16-AE$19)&gt;=1000</formula>
    </cfRule>
  </conditionalFormatting>
  <conditionalFormatting sqref="D22:D29">
    <cfRule type="expression" dxfId="334" priority="45">
      <formula>ABS(D$25-D$28)&gt;=1000</formula>
    </cfRule>
  </conditionalFormatting>
  <conditionalFormatting sqref="E22:E29">
    <cfRule type="expression" dxfId="333" priority="44">
      <formula>ABS(E$25-E$28)&gt;=1000</formula>
    </cfRule>
  </conditionalFormatting>
  <conditionalFormatting sqref="F22:F29">
    <cfRule type="expression" dxfId="332" priority="43">
      <formula>ABS(F$25-F$28)&gt;=1000</formula>
    </cfRule>
  </conditionalFormatting>
  <conditionalFormatting sqref="G22:G29">
    <cfRule type="expression" dxfId="331" priority="42">
      <formula>ABS(G$25-G$28)&gt;=1000</formula>
    </cfRule>
  </conditionalFormatting>
  <conditionalFormatting sqref="H22:H29">
    <cfRule type="expression" dxfId="330" priority="41">
      <formula>ABS(H$25-H$28)&gt;=1000</formula>
    </cfRule>
  </conditionalFormatting>
  <conditionalFormatting sqref="I22 I24:I29">
    <cfRule type="expression" dxfId="329" priority="40">
      <formula>ABS(I$25-I$28)&gt;=1000</formula>
    </cfRule>
  </conditionalFormatting>
  <conditionalFormatting sqref="J22:J29 K22">
    <cfRule type="expression" dxfId="328" priority="39">
      <formula>ABS(J$25-J$28)&gt;=1000</formula>
    </cfRule>
  </conditionalFormatting>
  <conditionalFormatting sqref="K23:K29 L25 L28">
    <cfRule type="expression" dxfId="327" priority="38">
      <formula>ABS(K$25-K$28)&gt;=1000</formula>
    </cfRule>
  </conditionalFormatting>
  <conditionalFormatting sqref="L22 L26:L27 L29 L24">
    <cfRule type="expression" dxfId="326" priority="37">
      <formula>ABS(L$25-L$28)&gt;=1000</formula>
    </cfRule>
  </conditionalFormatting>
  <conditionalFormatting sqref="M22:M29">
    <cfRule type="expression" dxfId="325" priority="36">
      <formula>ABS(M$25-M$28)&gt;=1000</formula>
    </cfRule>
  </conditionalFormatting>
  <conditionalFormatting sqref="N22:N29">
    <cfRule type="expression" dxfId="324" priority="35">
      <formula>ABS(N$25-N$28)&gt;=1000</formula>
    </cfRule>
  </conditionalFormatting>
  <conditionalFormatting sqref="O22:O29">
    <cfRule type="expression" dxfId="323" priority="34">
      <formula>ABS(O$25-O$28)&gt;=1000</formula>
    </cfRule>
  </conditionalFormatting>
  <conditionalFormatting sqref="P22:P29">
    <cfRule type="expression" dxfId="322" priority="33">
      <formula>ABS(P$25-P$28)&gt;=1000</formula>
    </cfRule>
  </conditionalFormatting>
  <conditionalFormatting sqref="Q22:Q29">
    <cfRule type="expression" dxfId="321" priority="32">
      <formula>ABS(Q$25-Q$28)&gt;=1000</formula>
    </cfRule>
  </conditionalFormatting>
  <conditionalFormatting sqref="R22:R29">
    <cfRule type="expression" dxfId="320" priority="31">
      <formula>ABS(R$25-R$28)&gt;=1000</formula>
    </cfRule>
  </conditionalFormatting>
  <conditionalFormatting sqref="S22:S29">
    <cfRule type="expression" dxfId="319" priority="30">
      <formula>ABS(S$25-S$28)&gt;=1000</formula>
    </cfRule>
  </conditionalFormatting>
  <conditionalFormatting sqref="T22:T29">
    <cfRule type="expression" dxfId="318" priority="29">
      <formula>ABS(T$25-T$28)&gt;=1000</formula>
    </cfRule>
  </conditionalFormatting>
  <conditionalFormatting sqref="U22:U29">
    <cfRule type="expression" dxfId="317" priority="28">
      <formula>ABS(U$25-U$28)&gt;=1000</formula>
    </cfRule>
  </conditionalFormatting>
  <conditionalFormatting sqref="V22:V29">
    <cfRule type="expression" dxfId="316" priority="27">
      <formula>ABS(V$25-V$28)&gt;=1000</formula>
    </cfRule>
  </conditionalFormatting>
  <conditionalFormatting sqref="W22:W29">
    <cfRule type="expression" dxfId="315" priority="26">
      <formula>ABS(W$25-W$28)&gt;=1000</formula>
    </cfRule>
  </conditionalFormatting>
  <conditionalFormatting sqref="X22:X29">
    <cfRule type="expression" dxfId="314" priority="25">
      <formula>ABS(X$25-X$28)&gt;=1000</formula>
    </cfRule>
  </conditionalFormatting>
  <conditionalFormatting sqref="Y22:Y29">
    <cfRule type="expression" dxfId="313" priority="24">
      <formula>ABS(Y$25-Y$28)&gt;=1000</formula>
    </cfRule>
  </conditionalFormatting>
  <conditionalFormatting sqref="I23">
    <cfRule type="expression" dxfId="312" priority="23">
      <formula>ABS(I$25-I$28)&gt;=1000</formula>
    </cfRule>
  </conditionalFormatting>
  <conditionalFormatting sqref="Q14">
    <cfRule type="expression" dxfId="311" priority="22">
      <formula>ABS(Q$16-Q$19)&gt;=1000</formula>
    </cfRule>
  </conditionalFormatting>
  <conditionalFormatting sqref="W14">
    <cfRule type="expression" dxfId="310" priority="21">
      <formula>ABS(W$16-W$19)&gt;=1000</formula>
    </cfRule>
  </conditionalFormatting>
  <conditionalFormatting sqref="X14">
    <cfRule type="expression" dxfId="309" priority="20">
      <formula>ABS(X$16-X$19)&gt;=1000</formula>
    </cfRule>
  </conditionalFormatting>
  <conditionalFormatting sqref="T10:Y10">
    <cfRule type="expression" dxfId="308" priority="19">
      <formula>ABS(T$7-T$10)&gt;=1000</formula>
    </cfRule>
  </conditionalFormatting>
  <conditionalFormatting sqref="W19">
    <cfRule type="expression" dxfId="307" priority="18">
      <formula>ABS(W$16-W$19)&gt;=1000</formula>
    </cfRule>
  </conditionalFormatting>
  <conditionalFormatting sqref="AC5">
    <cfRule type="expression" dxfId="306" priority="17">
      <formula>ABS(AC$7-AC$10)&gt;=1000</formula>
    </cfRule>
  </conditionalFormatting>
  <conditionalFormatting sqref="M14">
    <cfRule type="expression" dxfId="305" priority="16">
      <formula>ABS(M$16-M$19)&gt;=1000</formula>
    </cfRule>
  </conditionalFormatting>
  <conditionalFormatting sqref="M16">
    <cfRule type="expression" dxfId="304" priority="15">
      <formula>ABS(M$16-M$19)&gt;=1000</formula>
    </cfRule>
  </conditionalFormatting>
  <conditionalFormatting sqref="M19">
    <cfRule type="expression" dxfId="303" priority="14">
      <formula>ABS(M$16-M$19)&gt;=1000</formula>
    </cfRule>
  </conditionalFormatting>
  <conditionalFormatting sqref="K13:K20">
    <cfRule type="expression" dxfId="302" priority="13">
      <formula>ABS(K$16-K$19)&gt;=1000</formula>
    </cfRule>
  </conditionalFormatting>
  <conditionalFormatting sqref="E5">
    <cfRule type="expression" dxfId="301" priority="12">
      <formula>ABS(E$7-E$10)&gt;=1000</formula>
    </cfRule>
  </conditionalFormatting>
  <conditionalFormatting sqref="AB14:AC14">
    <cfRule type="expression" dxfId="300" priority="11">
      <formula>ABS(AB$16-AB$19)&gt;=1000</formula>
    </cfRule>
  </conditionalFormatting>
  <conditionalFormatting sqref="M5">
    <cfRule type="expression" dxfId="299" priority="10">
      <formula>ABS(M$7-M$10)&gt;=1000</formula>
    </cfRule>
  </conditionalFormatting>
  <conditionalFormatting sqref="N5">
    <cfRule type="expression" dxfId="298" priority="9">
      <formula>ABS(N$7-N$10)&gt;=1000</formula>
    </cfRule>
  </conditionalFormatting>
  <conditionalFormatting sqref="O5">
    <cfRule type="expression" dxfId="297" priority="8">
      <formula>ABS(O$7-O$10)&gt;=1000</formula>
    </cfRule>
  </conditionalFormatting>
  <conditionalFormatting sqref="P5">
    <cfRule type="expression" dxfId="296" priority="7">
      <formula>ABS(P$7-P$10)&gt;=1000</formula>
    </cfRule>
  </conditionalFormatting>
  <conditionalFormatting sqref="L23">
    <cfRule type="expression" dxfId="295" priority="6">
      <formula>ABS(L$25-L$28)&gt;=1000</formula>
    </cfRule>
  </conditionalFormatting>
  <conditionalFormatting sqref="Y14">
    <cfRule type="expression" dxfId="294" priority="5">
      <formula>ABS(Y$16-Y$19)&gt;=1000</formula>
    </cfRule>
  </conditionalFormatting>
  <conditionalFormatting sqref="F14">
    <cfRule type="expression" dxfId="293" priority="4">
      <formula>ABS(F$16-F$19)&gt;=1000</formula>
    </cfRule>
  </conditionalFormatting>
  <conditionalFormatting sqref="H14">
    <cfRule type="expression" dxfId="292" priority="3">
      <formula>ABS(H$16-H$19)&gt;=1000</formula>
    </cfRule>
  </conditionalFormatting>
  <conditionalFormatting sqref="AD5">
    <cfRule type="expression" dxfId="291" priority="2">
      <formula>ABS(AD$7-AD$10)&gt;=1000</formula>
    </cfRule>
  </conditionalFormatting>
  <conditionalFormatting sqref="AE5">
    <cfRule type="expression" dxfId="29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31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98">
    <pageSetUpPr fitToPage="1"/>
  </sheetPr>
  <dimension ref="A1:CU223"/>
  <sheetViews>
    <sheetView view="pageBreakPreview" topLeftCell="A4" zoomScale="70" zoomScaleNormal="100" zoomScaleSheetLayoutView="70" workbookViewId="0">
      <selection activeCell="Z6" sqref="Z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46170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2" t="s" ph="1">
        <v>177</v>
      </c>
      <c r="D6" s="71">
        <v>4296</v>
      </c>
      <c r="E6" s="71">
        <v>8178</v>
      </c>
      <c r="F6" s="71">
        <v>5846</v>
      </c>
      <c r="G6" s="71">
        <v>1669</v>
      </c>
      <c r="H6" s="71">
        <v>1735</v>
      </c>
      <c r="I6" s="71">
        <v>52.41</v>
      </c>
      <c r="J6" s="71">
        <v>6.21</v>
      </c>
      <c r="K6" s="71">
        <v>62.69</v>
      </c>
      <c r="L6" s="71">
        <v>6.87</v>
      </c>
      <c r="M6" s="71">
        <v>6396</v>
      </c>
      <c r="N6" s="71">
        <v>1344</v>
      </c>
      <c r="O6" s="71">
        <v>3547</v>
      </c>
      <c r="P6" s="71">
        <v>1596</v>
      </c>
      <c r="Q6" s="71">
        <v>7175</v>
      </c>
      <c r="R6" s="71">
        <v>6806</v>
      </c>
      <c r="S6" s="71">
        <v>5784</v>
      </c>
      <c r="T6" s="71">
        <v>777</v>
      </c>
      <c r="U6" s="71">
        <v>0</v>
      </c>
      <c r="V6" s="71">
        <v>0</v>
      </c>
      <c r="W6" s="71">
        <v>0</v>
      </c>
      <c r="X6" s="71">
        <v>0</v>
      </c>
      <c r="Y6" s="71">
        <v>2177</v>
      </c>
      <c r="Z6" s="71">
        <v>875</v>
      </c>
      <c r="AA6" s="71">
        <v>0</v>
      </c>
      <c r="AB6" s="71">
        <v>3760</v>
      </c>
      <c r="AC6" s="71">
        <v>4283</v>
      </c>
      <c r="AD6" s="71">
        <v>3916</v>
      </c>
      <c r="AE6" s="71">
        <v>5280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134561.15580024</v>
      </c>
      <c r="E7" s="73" ph="1">
        <f>E6*51.53*LOOKUP(E8,密度!$A$2:$A$50,密度!$B$2:$B$50)</f>
        <v>327100.25830800005</v>
      </c>
      <c r="F7" s="73" ph="1">
        <f>F6*33.183*LOOKUP(F8,密度!$A$2:$A$50,密度!$C$2:$C$50)</f>
        <v>214666.9193988</v>
      </c>
      <c r="G7" s="73" ph="1">
        <f xml:space="preserve"> (G6+2)*51.53*LOOKUP(G8,密度!$A$2:$A$50,密度!$B$2:$B$50)</f>
        <v>67051.232780999999</v>
      </c>
      <c r="H7" s="73" ph="1">
        <f>(H6)*51.53*LOOKUP(H8,密度!$A$2:$A$50,密度!$B$2:$B$50)</f>
        <v>69619.323084999996</v>
      </c>
      <c r="I7" s="73" ph="1">
        <f>I6*290.8*1.0267</f>
        <v>15647.758107599999</v>
      </c>
      <c r="J7" s="73" ph="1">
        <f>J6*290.8*0.7892</f>
        <v>1425.1910256000001</v>
      </c>
      <c r="K7" s="73" ph="1">
        <f>K6*290.8*1.1126</f>
        <v>20282.9783752</v>
      </c>
      <c r="L7" s="73" ph="1">
        <f>L6*290.8*0.777</f>
        <v>1552.2874920000002</v>
      </c>
      <c r="M7" s="73" ph="1">
        <f>M6*33.183*LOOKUP(M8,密度!$A$2:$A$50,密度!$D$2:$D$50)</f>
        <v>216907.71429599999</v>
      </c>
      <c r="N7" s="73" ph="1">
        <f>N6*33.183*LOOKUP(N8,密度!$A$2:$A$50,密度!$E$2:$E$50)</f>
        <v>34679.367475199993</v>
      </c>
      <c r="O7" s="73" ph="1">
        <f>O6*20.428*LOOKUP(O8,密度!$A$2:$A$50,密度!$C$2:$C$50)</f>
        <v>79848.843832000013</v>
      </c>
      <c r="P7" s="73" ph="1">
        <f>P6*51.53*LOOKUP(P8,密度!$A$2:$A$50,密度!$B$2:$B$50)</f>
        <v>63762.129564000003</v>
      </c>
      <c r="Q7" s="73" ph="1">
        <f>Q6*1.5*1.5*3.1416*LOOKUP(W8,密度!$A$2:$A$50,密度!$L$2:$L$50)</f>
        <v>47319.152265000004</v>
      </c>
      <c r="R7" s="73" ph="1">
        <f>R6*1.5*1.5*3.1416*LOOKUP(R8,密度!$A$2:$A$50,密度!$L$2:$L$50)</f>
        <v>44741.269188000006</v>
      </c>
      <c r="S7" s="73" ph="1">
        <f>S6*1.5*1.5*3.1416*LOOKUP(S8,密度!$A$2:$A$50,密度!$L$2:$L$50)</f>
        <v>38349.925891199993</v>
      </c>
      <c r="T7" s="73" ph="1">
        <f>T6*1.5*1.5*3.1416*LOOKUP(T8,密度!$A$2:$A$50,密度!$L$2:$L$50)</f>
        <v>5146.2871614000005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14341.934930400001</v>
      </c>
      <c r="Z7" s="73" ph="1">
        <f>Z6*33.183*LOOKUP(Z8,密度!$A$2:$A$50,密度!$L$2:$L$50)</f>
        <v>27176.877</v>
      </c>
      <c r="AA7" s="73" ph="1">
        <f>AA6*33.183*LOOKUP(AA8,密度!$A$2:$A$50,密度!$D$2:$D$50)</f>
        <v>0</v>
      </c>
      <c r="AB7" s="73" ph="1">
        <f>AB6*20.428*LOOKUP(AB8,密度!$A$2:$A$50,密度!$D$2:$D$50)</f>
        <v>79075.153760000001</v>
      </c>
      <c r="AC7" s="73" ph="1">
        <f>AC6*51.53*LOOKUP(AC8,密度!$A$2:$A$50,密度!$Q$2:$Q$50)</f>
        <v>208195.75155669998</v>
      </c>
      <c r="AD7" s="73" ph="1">
        <f>AD6*20.428*LOOKUP(AD8,密度!$A$2:$A$50,密度!$V$2:$V$50)</f>
        <v>76604.215564800004</v>
      </c>
      <c r="AE7" s="73" ph="1">
        <f>AE6*20.428</f>
        <v>107859.84000000001</v>
      </c>
    </row>
    <row r="8" spans="1:99" ph="1">
      <c r="B8" s="241" ph="1"/>
      <c r="C8" s="68" t="s" ph="1">
        <v>179</v>
      </c>
      <c r="D8" s="74">
        <v>29</v>
      </c>
      <c r="E8" s="74">
        <v>29</v>
      </c>
      <c r="F8" s="74">
        <v>28</v>
      </c>
      <c r="G8" s="74">
        <v>26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33</v>
      </c>
      <c r="P8" s="74">
        <v>30</v>
      </c>
      <c r="Q8" s="74">
        <v>31</v>
      </c>
      <c r="R8" s="74">
        <v>32</v>
      </c>
      <c r="S8" s="74">
        <v>24</v>
      </c>
      <c r="T8" s="74">
        <v>25</v>
      </c>
      <c r="U8" s="74">
        <v>28</v>
      </c>
      <c r="V8" s="74">
        <v>28</v>
      </c>
      <c r="W8" s="74">
        <v>29</v>
      </c>
      <c r="X8" s="74">
        <v>30</v>
      </c>
      <c r="Y8" s="74">
        <v>30</v>
      </c>
      <c r="Z8" s="74">
        <v>26</v>
      </c>
      <c r="AA8" s="74">
        <v>32</v>
      </c>
      <c r="AB8" s="74">
        <v>22</v>
      </c>
      <c r="AC8" s="74">
        <v>30</v>
      </c>
      <c r="AD8" s="74">
        <v>33</v>
      </c>
      <c r="AE8" s="74">
        <v>30</v>
      </c>
    </row>
    <row r="9" spans="1:99" ht="26.4" ph="1">
      <c r="B9" s="241" ph="1">
        <v>0.66666666666666663</v>
      </c>
      <c r="C9" s="162" t="s" ph="1">
        <v>180</v>
      </c>
      <c r="D9" s="71">
        <v>3386</v>
      </c>
      <c r="E9" s="71">
        <v>7829</v>
      </c>
      <c r="F9" s="71">
        <v>5848</v>
      </c>
      <c r="G9" s="71">
        <v>1669</v>
      </c>
      <c r="H9" s="71">
        <v>1434</v>
      </c>
      <c r="I9" s="71">
        <v>52.44</v>
      </c>
      <c r="J9" s="71">
        <v>6.26</v>
      </c>
      <c r="K9" s="71">
        <v>63.35</v>
      </c>
      <c r="L9" s="71">
        <v>38.54</v>
      </c>
      <c r="M9" s="71">
        <v>6399</v>
      </c>
      <c r="N9" s="71">
        <v>1348</v>
      </c>
      <c r="O9" s="71">
        <v>4331</v>
      </c>
      <c r="P9" s="71">
        <v>1544</v>
      </c>
      <c r="Q9" s="71">
        <v>5047</v>
      </c>
      <c r="R9" s="71">
        <v>6815</v>
      </c>
      <c r="S9" s="71">
        <v>5794</v>
      </c>
      <c r="T9" s="71">
        <v>6566</v>
      </c>
      <c r="U9" s="71">
        <v>2635</v>
      </c>
      <c r="V9" s="71">
        <v>0</v>
      </c>
      <c r="W9" s="71">
        <v>0</v>
      </c>
      <c r="X9" s="71">
        <v>0</v>
      </c>
      <c r="Y9" s="71">
        <v>0</v>
      </c>
      <c r="Z9" s="71">
        <v>1562</v>
      </c>
      <c r="AA9" s="71">
        <v>0</v>
      </c>
      <c r="AB9" s="71">
        <v>3706</v>
      </c>
      <c r="AC9" s="71">
        <v>4802</v>
      </c>
      <c r="AD9" s="71">
        <v>3916</v>
      </c>
      <c r="AE9" s="71">
        <v>5164</v>
      </c>
    </row>
    <row r="10" spans="1:99" s="72" customFormat="1" ht="22.2" ph="1">
      <c r="B10" s="241" ph="1"/>
      <c r="C10" s="162" t="s" ph="1">
        <v>178</v>
      </c>
      <c r="D10" s="73" ph="1">
        <f>D9*33.183*LOOKUP(D11,密度!$A$2:$A$50,密度!$Q$2:$Q$50)</f>
        <v>105609.43826172</v>
      </c>
      <c r="E10" s="73" ph="1">
        <f>E9*51.53*LOOKUP(E11,密度!$A$2:$A$50,密度!$B$2:$B$50)</f>
        <v>313141.10079399997</v>
      </c>
      <c r="F10" s="73" ph="1">
        <f>F9*33.183*LOOKUP(F11,密度!$A$2:$A$50,密度!$C$2:$C$50)</f>
        <v>214255.22455440002</v>
      </c>
      <c r="G10" s="73" ph="1">
        <f xml:space="preserve"> (G9+2)*51.53*LOOKUP(G11,密度!$A$2:$A$50,密度!$B$2:$B$50)</f>
        <v>66758.470239000002</v>
      </c>
      <c r="H10" s="73" ph="1">
        <f>(H9)*51.53*LOOKUP(H11,密度!$A$2:$A$50,密度!$B$2:$B$50)</f>
        <v>57290.033706000002</v>
      </c>
      <c r="I10" s="73" ph="1">
        <f>I9*290.8*1.0267</f>
        <v>15656.7150384</v>
      </c>
      <c r="J10" s="73" ph="1">
        <f>J9*290.8*0.7892</f>
        <v>1436.6659935999999</v>
      </c>
      <c r="K10" s="73" ph="1">
        <f>K9*290.8*1.1126</f>
        <v>20496.517468000002</v>
      </c>
      <c r="L10" s="73" ph="1">
        <f>L9*290.8*0.777</f>
        <v>8708.1746640000001</v>
      </c>
      <c r="M10" s="73" ph="1">
        <f>M9*33.183*LOOKUP(M11,密度!$A$2:$A$50,密度!$D$2:$D$50)</f>
        <v>214758.67039380001</v>
      </c>
      <c r="N10" s="73" ph="1">
        <f>N9*33.183*LOOKUP(N11,密度!$A$2:$A$50,密度!$E$2:$E$50)</f>
        <v>34528.95690012</v>
      </c>
      <c r="O10" s="73" ph="1">
        <f>O9*20.428*LOOKUP(O11,密度!$A$2:$A$50,密度!$C$2:$C$50)</f>
        <v>97214.866398400001</v>
      </c>
      <c r="P10" s="73" ph="1">
        <f>P9*51.53*LOOKUP(P11,密度!$A$2:$A$50,密度!$B$2:$B$50)</f>
        <v>61541.454519999999</v>
      </c>
      <c r="Q10" s="73" ph="1">
        <f>Q9*1.5*1.5*3.1416*LOOKUP(W11,密度!$A$2:$A$50,密度!$L$2:$L$50)</f>
        <v>32999.582385000002</v>
      </c>
      <c r="R10" s="73" ph="1">
        <f>R9*1.5*1.5*3.1416*LOOKUP(R11,密度!$A$2:$A$50,密度!$L$2:$L$50)</f>
        <v>44607.743333999999</v>
      </c>
      <c r="S10" s="73" ph="1">
        <f>S9*1.5*1.5*3.1416*LOOKUP(S11,密度!$A$2:$A$50,密度!$L$2:$L$50)</f>
        <v>38375.273890800003</v>
      </c>
      <c r="T10" s="73" ph="1">
        <f>T9*1.5*1.5*3.1416*LOOKUP(T11,密度!$A$2:$A$50,密度!$L$2:$L$50)</f>
        <v>43534.857088800003</v>
      </c>
      <c r="U10" s="73" ph="1">
        <f>U9*1.5*1.5*3.1416*LOOKUP(U11,密度!$A$2:$A$50,密度!$L$2:$L$50)</f>
        <v>17396.460773999999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47944.457549999999</v>
      </c>
      <c r="AA10" s="73" ph="1">
        <f>AA9*33.183*LOOKUP(AA11,密度!$A$2:$A$50,密度!$D$2:$D$50)</f>
        <v>0</v>
      </c>
      <c r="AB10" s="73" ph="1">
        <f>AB9*20.428*LOOKUP(AB11,密度!$A$2:$A$50,密度!$D$2:$D$50)</f>
        <v>77727.522685600008</v>
      </c>
      <c r="AC10" s="73" ph="1">
        <f>AC9*51.53*LOOKUP(AC11,密度!$A$2:$A$50,密度!$Q$2:$Q$50)</f>
        <v>233424.23510980001</v>
      </c>
      <c r="AD10" s="73" ph="1">
        <f>AD9*20.428*LOOKUP(AD11,密度!$A$2:$A$50,密度!$V$2:$V$50)</f>
        <v>76604.215564800004</v>
      </c>
      <c r="AE10" s="73" ph="1">
        <f>AE9*20.428</f>
        <v>105490.19200000001</v>
      </c>
    </row>
    <row r="11" spans="1:99" ph="1">
      <c r="A11" s="64" t="s" ph="1">
        <v>162</v>
      </c>
      <c r="B11" s="241" ph="1"/>
      <c r="C11" s="162" t="s" ph="1">
        <v>179</v>
      </c>
      <c r="D11" s="74">
        <v>35</v>
      </c>
      <c r="E11" s="74">
        <v>29</v>
      </c>
      <c r="F11" s="74">
        <v>31</v>
      </c>
      <c r="G11" s="74">
        <v>30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42</v>
      </c>
      <c r="N11" s="74">
        <v>35</v>
      </c>
      <c r="O11" s="74">
        <v>36</v>
      </c>
      <c r="P11" s="74">
        <v>32</v>
      </c>
      <c r="Q11" s="74">
        <v>33</v>
      </c>
      <c r="R11" s="74">
        <v>36</v>
      </c>
      <c r="S11" s="74">
        <v>25</v>
      </c>
      <c r="T11" s="74">
        <v>24</v>
      </c>
      <c r="U11" s="74">
        <v>28</v>
      </c>
      <c r="V11" s="74">
        <v>28</v>
      </c>
      <c r="W11" s="74">
        <v>37</v>
      </c>
      <c r="X11" s="74">
        <v>23</v>
      </c>
      <c r="Y11" s="74">
        <v>33</v>
      </c>
      <c r="Z11" s="74">
        <v>37</v>
      </c>
      <c r="AA11" s="74">
        <v>50</v>
      </c>
      <c r="AB11" s="74">
        <v>25</v>
      </c>
      <c r="AC11" s="74">
        <v>30</v>
      </c>
      <c r="AD11" s="74">
        <v>36</v>
      </c>
      <c r="AE11" s="74">
        <v>32</v>
      </c>
    </row>
    <row r="12" spans="1:99" ht="9.9" customHeight="1" ph="1"/>
    <row r="13" spans="1:99" s="72" customFormat="1" ht="29.25" customHeight="1" ph="1">
      <c r="B13" s="218" t="s" ph="1">
        <v>37</v>
      </c>
      <c r="C13" s="16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2" t="s" ph="1">
        <v>177</v>
      </c>
      <c r="D15" s="78">
        <v>3899</v>
      </c>
      <c r="E15" s="78">
        <v>5757</v>
      </c>
      <c r="F15" s="78">
        <v>3002</v>
      </c>
      <c r="G15" s="78">
        <v>4115</v>
      </c>
      <c r="H15" s="78">
        <v>0</v>
      </c>
      <c r="I15" s="78">
        <v>2594</v>
      </c>
      <c r="J15" s="78">
        <v>468</v>
      </c>
      <c r="K15" s="78">
        <v>2282</v>
      </c>
      <c r="L15" s="78">
        <v>3584</v>
      </c>
      <c r="M15" s="78">
        <v>5007</v>
      </c>
      <c r="N15" s="78">
        <v>676</v>
      </c>
      <c r="O15" s="78">
        <v>3759</v>
      </c>
      <c r="P15" s="78">
        <v>4686</v>
      </c>
      <c r="Q15" s="78">
        <v>783</v>
      </c>
      <c r="R15" s="78">
        <v>0</v>
      </c>
      <c r="S15" s="78">
        <v>0</v>
      </c>
      <c r="T15" s="78">
        <v>4097</v>
      </c>
      <c r="U15" s="78">
        <v>4882</v>
      </c>
      <c r="V15" s="78">
        <v>-254</v>
      </c>
      <c r="W15" s="71">
        <v>-133</v>
      </c>
      <c r="X15" s="78">
        <v>1390</v>
      </c>
      <c r="Y15" s="106">
        <v>-2366</v>
      </c>
      <c r="Z15" s="78">
        <v>1954</v>
      </c>
      <c r="AA15" s="78">
        <v>2602</v>
      </c>
      <c r="AB15" s="78" ph="1">
        <v>5362</v>
      </c>
      <c r="AC15" s="78" ph="1">
        <v>7331</v>
      </c>
      <c r="AD15" s="78">
        <v>5.38</v>
      </c>
      <c r="AE15" s="78">
        <v>59.66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2" t="s" ph="1">
        <v>178</v>
      </c>
      <c r="D16" s="73" ph="1">
        <f>D15*7.0686*LOOKUP(D17,密度!$A$2:$A$50,密度!$L$2:$L$50)</f>
        <v>25686.359344799999</v>
      </c>
      <c r="E16" s="73" ph="1">
        <f>E15*7.0686*LOOKUP(E17,密度!$A$2:$A$50,密度!$L$2:$L$50)</f>
        <v>37926.742946400002</v>
      </c>
      <c r="F16" s="73" ph="1">
        <f>F15*9.0746*LOOKUP(F17,密度!$A$2:$A$50,密度!$L$2:$L$50)</f>
        <v>25171.561060799999</v>
      </c>
      <c r="G16" s="73" ph="1">
        <f>G15*9.0746*LOOKUP(G17,密度!$A$2:$A$50,密度!$B$2:$B$50)</f>
        <v>28984.844099800001</v>
      </c>
      <c r="H16" s="73" ph="1">
        <f>H15*9.0746*LOOKUP(H17,密度!$A$2:$A$50,密度!$L$2:$L$50)</f>
        <v>0</v>
      </c>
      <c r="I16" s="73" ph="1">
        <f>I15*9.0746*LOOKUP(I17,密度!$A$2:$A$50,密度!$U$2:$U$50)</f>
        <v>24033.842160399996</v>
      </c>
      <c r="J16" s="73" ph="1">
        <f>J15*9.0746*LOOKUP(J17,密度!$A$2:$A$50,密度!$L$2:$L$50)</f>
        <v>3953.8758168000004</v>
      </c>
      <c r="K16" s="73" ph="1">
        <f>K15*9.0746*LOOKUP(K17,密度!$A$2:$A$50,密度!$C$2:$C$50)</f>
        <v>22884.67292972</v>
      </c>
      <c r="L16" s="73" ph="1">
        <f>L15*9.0746*LOOKUP(L17,密度!$A$2:$A$50,密度!$E$2:$E$50)</f>
        <v>25290.169712639999</v>
      </c>
      <c r="M16" s="73" ph="1">
        <f>M15*9.0746*LOOKUP(M17,密度!$A$2:$A$50,密度!$M$2:$M$50)</f>
        <v>39525.230661779999</v>
      </c>
      <c r="N16" s="73" ph="1">
        <f>N15*9.0746*LOOKUP(N17,密度!$A$2:$A$50,密度!$M$2:$M$50)</f>
        <v>5349.2226112000008</v>
      </c>
      <c r="O16" s="73" ph="1">
        <f>O15*9.0746*LOOKUP(O17,密度!$A$2:$A$50,密度!$G$2:$G$50)</f>
        <v>32566.174010579998</v>
      </c>
      <c r="P16" s="73" ph="1">
        <f ca="1">P15*9.0746*LOOKUP(P17,密度!$A$2:$A$51,密度!$Q$2:$Q$50)</f>
        <v>40113.764570748004</v>
      </c>
      <c r="Q16" s="73" ph="1">
        <f>Q15*9.0746*LOOKUP(Q17,密度!$A$2:$A$50,密度!$Q$2:$Q$50)</f>
        <v>6702.7481132940002</v>
      </c>
      <c r="R16" s="73" ph="1">
        <f>MAX(R15*9.0746*LOOKUP(R17,密度!$A$2:$A$50,密度!$B$2:$B$50),0)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34427.4171212</v>
      </c>
      <c r="U16" s="73" ph="1">
        <f>U15*9.0746*LOOKUP(U17,密度!$A$2:$A$50,密度!$H$2:$H$50)</f>
        <v>40403.603846400001</v>
      </c>
      <c r="V16" s="73" ph="1">
        <f>MAX(5600*LOOKUP(V17,密度!$A$2:$A$50,密度!$Q$2:$Q$50)+V15*9.0476*LOOKUP(V17,密度!$A$2:$A$50,密度!$Q$2:$Q$50),0)</f>
        <v>3110.0686522400001</v>
      </c>
      <c r="W16" s="73" ph="1">
        <f>MAX(5600*LOOKUP(W17,密度!$A$2:$A$50,密度!$Q$2:$Q$50)+W15*9.0476*LOOKUP(W17,密度!$A$2:$A$50,密度!$Q$2:$Q$50),0)</f>
        <v>4141.2227194799998</v>
      </c>
      <c r="X16" s="73" ph="1">
        <f>MAX(5600*LOOKUP(X17,密度!$A$2:$A$50,密度!$I$2:$I$50)+X15*9.0476*LOOKUP(X17,密度!$A$2:$A$50,密度!$I$2:$I$50),0)</f>
        <v>18843.229218799999</v>
      </c>
      <c r="Y16" s="107" ph="1">
        <v>0</v>
      </c>
      <c r="Z16" s="73" ph="1">
        <f>Z15*9.0746*LOOKUP(Z17,密度!$A$2:$A$50,密度!$D$2:$D$50)</f>
        <v>18121.867304800002</v>
      </c>
      <c r="AA16" s="73" ph="1">
        <f>AA15*9.0746*LOOKUP(AA17,密度!$A$2:$A$50,密度!$B$2:$B$50)</f>
        <v>18327.71916104</v>
      </c>
      <c r="AB16" s="73" ph="1">
        <f>AB15*9.0746*LOOKUP(AB17,密度!$A$2:$A$50,密度!$L$2:$L$50)</f>
        <v>45154.628825600004</v>
      </c>
      <c r="AC16" s="73" ph="1">
        <f>AC15*9.0746*LOOKUP(AC17,密度!$A$2:$A$50,密度!$L$2:$L$50)</f>
        <v>61935.606010600008</v>
      </c>
      <c r="AD16" s="73" ph="1">
        <f>AD15*268.68*LOOKUP(AD17,密度!$A$2:$A$50,密度!B2:B50)+IF(AD15&lt;=0,0,1566*LOOKUP(AD17,密度!$A$2:$A$50,密度!B2:B50))</f>
        <v>2347.7641526399998</v>
      </c>
      <c r="AE16" s="73" ph="1">
        <f>AE15*268.68*LOOKUP(AE17,密度!$A$2:$A$50,密度!B2:B50)+IF(AE15&lt;=0,0,1566*LOOKUP(AE17,密度!$A$2:$A$50,密度!B2:B50))</f>
        <v>13717.41188448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38</v>
      </c>
      <c r="G17" s="74">
        <v>29</v>
      </c>
      <c r="H17" s="74">
        <v>25</v>
      </c>
      <c r="I17" s="74">
        <v>29</v>
      </c>
      <c r="J17" s="74">
        <v>31</v>
      </c>
      <c r="K17" s="74">
        <v>30</v>
      </c>
      <c r="L17" s="74">
        <v>30</v>
      </c>
      <c r="M17" s="74">
        <v>30</v>
      </c>
      <c r="N17" s="74">
        <v>28</v>
      </c>
      <c r="O17" s="74">
        <v>30</v>
      </c>
      <c r="P17" s="74">
        <v>30</v>
      </c>
      <c r="Q17" s="74">
        <v>30</v>
      </c>
      <c r="R17" s="74">
        <v>30</v>
      </c>
      <c r="S17" s="74">
        <v>30</v>
      </c>
      <c r="T17" s="74">
        <v>29</v>
      </c>
      <c r="U17" s="74">
        <v>28</v>
      </c>
      <c r="V17" s="74">
        <v>32</v>
      </c>
      <c r="W17" s="74">
        <v>32</v>
      </c>
      <c r="X17" s="74">
        <v>30</v>
      </c>
      <c r="Y17" s="108">
        <v>30</v>
      </c>
      <c r="Z17" s="74">
        <v>30</v>
      </c>
      <c r="AA17" s="74">
        <v>29</v>
      </c>
      <c r="AB17" s="74">
        <v>34</v>
      </c>
      <c r="AC17" s="74">
        <v>31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1637</v>
      </c>
      <c r="E18" s="71">
        <v>5929</v>
      </c>
      <c r="F18" s="71">
        <v>3000</v>
      </c>
      <c r="G18" s="71">
        <v>4215</v>
      </c>
      <c r="H18" s="71">
        <v>0</v>
      </c>
      <c r="I18" s="71">
        <v>2596</v>
      </c>
      <c r="J18" s="71">
        <v>1259</v>
      </c>
      <c r="K18" s="71">
        <v>2283</v>
      </c>
      <c r="L18" s="71">
        <v>3592</v>
      </c>
      <c r="M18" s="71">
        <v>6131</v>
      </c>
      <c r="N18" s="71">
        <v>2259</v>
      </c>
      <c r="O18" s="71">
        <v>3763</v>
      </c>
      <c r="P18" s="71">
        <v>1292</v>
      </c>
      <c r="Q18" s="71">
        <v>0</v>
      </c>
      <c r="R18" s="71">
        <v>0</v>
      </c>
      <c r="S18" s="71">
        <v>0</v>
      </c>
      <c r="T18" s="71">
        <v>4101</v>
      </c>
      <c r="U18" s="71">
        <v>4886</v>
      </c>
      <c r="V18" s="71">
        <v>971</v>
      </c>
      <c r="W18" s="71">
        <v>902</v>
      </c>
      <c r="X18" s="71">
        <v>1388</v>
      </c>
      <c r="Y18" s="109">
        <v>-9909</v>
      </c>
      <c r="Z18" s="71">
        <v>1955</v>
      </c>
      <c r="AA18" s="71">
        <v>2602</v>
      </c>
      <c r="AB18" s="71">
        <v>5365</v>
      </c>
      <c r="AC18" s="71">
        <v>7336</v>
      </c>
      <c r="AD18" s="71">
        <v>36.04</v>
      </c>
      <c r="AE18" s="71">
        <v>84.66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2" t="s" ph="1">
        <v>178</v>
      </c>
      <c r="D19" s="73" ph="1">
        <f>D18*7.0686*LOOKUP(D20,密度!$A$2:$A$50,密度!$L$2:$L$50)</f>
        <v>10726.593431400001</v>
      </c>
      <c r="E19" s="73" ph="1">
        <f>E18*7.0686*LOOKUP(E20,密度!$A$2:$A$50,密度!$L$2:$L$50)</f>
        <v>38850.319153799996</v>
      </c>
      <c r="F19" s="73" ph="1">
        <f>F18*9.0746*LOOKUP(F20,密度!$A$2:$A$50,密度!$L$2:$L$50)</f>
        <v>25154.7912</v>
      </c>
      <c r="G19" s="73" ph="1">
        <f>G18*9.0746*LOOKUP(G20,密度!$A$2:$A$50,密度!$B$2:$B$50)</f>
        <v>29654.7900567</v>
      </c>
      <c r="H19" s="73" ph="1">
        <f>H18*9.0746*LOOKUP(H20,密度!$A$2:$A$50,密度!$L$2:$L$50)</f>
        <v>0</v>
      </c>
      <c r="I19" s="73" ph="1">
        <f>I18*9.0746*LOOKUP(I20,密度!$A$2:$A$50,密度!$U$2:$U$50)</f>
        <v>23835.64200688</v>
      </c>
      <c r="J19" s="73" ph="1">
        <f>J18*9.0746*LOOKUP(J20,密度!$A$2:$A$50,密度!$L$2:$L$50)</f>
        <v>10488.077845200001</v>
      </c>
      <c r="K19" s="73" ph="1">
        <f>K18*9.0746*LOOKUP(K20,密度!$A$2:$A$50,密度!$C$2:$C$50)</f>
        <v>22851.194915399999</v>
      </c>
      <c r="L19" s="73" ph="1">
        <f>L18*9.0746*LOOKUP(L20,密度!$A$2:$A$50,密度!$E$2:$E$50)</f>
        <v>25272.302188224003</v>
      </c>
      <c r="M19" s="73" ph="1">
        <f>M18*9.0746*LOOKUP(M20,密度!$A$2:$A$50,密度!$M$2:$M$50)</f>
        <v>48165.520487272006</v>
      </c>
      <c r="N19" s="73" ph="1">
        <f>N18*9.0746*LOOKUP(N20,密度!$A$2:$A$50,密度!$M$2:$M$50)</f>
        <v>17875.582660800002</v>
      </c>
      <c r="O19" s="73" ph="1">
        <f>O18*9.0746*LOOKUP(O20,密度!$A$2:$A$50,密度!$G$2:$G$50)</f>
        <v>32530.483790271999</v>
      </c>
      <c r="P19" s="73" ph="1">
        <f ca="1">P18*9.0746*LOOKUP(P20,密度!$A$2:$A$51,密度!$Q$2:$Q$50)</f>
        <v>11051.169116655999</v>
      </c>
      <c r="Q19" s="73" ph="1">
        <f>Q18*9.0746*LOOKUP(Q20,密度!$A$2:$A$50,密度!$Q$2:$Q$50)</f>
        <v>0</v>
      </c>
      <c r="R19" s="73" ph="1">
        <f>MAX(R18*9.0746*LOOKUP(R20,密度!$A$2:$A$50,密度!$B$2:$B$50),0)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34341.941648879998</v>
      </c>
      <c r="U19" s="73" ph="1">
        <f>U18*9.0746*LOOKUP(U20,密度!$A$2:$A$50,密度!$H$2:$H$50)</f>
        <v>40305.909425180005</v>
      </c>
      <c r="V19" s="73" ph="1">
        <f>MAX(5600*LOOKUP(V20,密度!$A$2:$A$50,密度!$Q$2:$Q$50)+V18*9.0476*LOOKUP(V20,密度!$A$2:$A$50,密度!$Q$2:$Q$50),0)</f>
        <v>13502.686377539998</v>
      </c>
      <c r="W19" s="73" ph="1">
        <f>MAX(5600*LOOKUP(W20,密度!$A$2:$A$50,密度!$Q$2:$Q$50)+W18*9.0476*LOOKUP(W20,密度!$A$2:$A$50,密度!$Q$2:$Q$50),0)</f>
        <v>12943.398039767999</v>
      </c>
      <c r="X19" s="73" ph="1">
        <f>MAX(5600*LOOKUP(X20,密度!$A$2:$A$50,密度!$I$2:$I$50)+X18*9.0476*LOOKUP(X20,密度!$A$2:$A$50,密度!$I$2:$I$50),0)</f>
        <v>18824.469924959998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18099.208028600002</v>
      </c>
      <c r="AA19" s="73" ph="1">
        <f>AA18*9.0746*LOOKUP(AA20,密度!$A$2:$A$50,密度!$B$2:$B$50)</f>
        <v>18306.468262759998</v>
      </c>
      <c r="AB19" s="73" ph="1">
        <f>AB18*9.0746*LOOKUP(AB20,密度!$A$2:$A$50,密度!$L$2:$L$50)</f>
        <v>45179.892511999999</v>
      </c>
      <c r="AC19" s="73" ph="1">
        <f>AC18*9.0746*LOOKUP(AC20,密度!$A$2:$A$50,密度!$L$2:$L$50)</f>
        <v>61911.277008000005</v>
      </c>
      <c r="AD19" s="73" ph="1">
        <f>AD18*268.68*LOOKUP(AD20,密度!$A$2:$A$50,密度!B5:B53)+IF(AD18&lt;=0,0,1566*LOOKUP(AD20,密度!$A$2:$A$50,密度!B5:B53))</f>
        <v>8740.6495343999995</v>
      </c>
      <c r="AE19" s="73" ph="1">
        <f>AE18*268.68*LOOKUP(AE20,密度!$A$2:$A$50,密度!B5:B53)+IF(AE18&lt;=0,0,1566*LOOKUP(AE20,密度!$A$2:$A$50,密度!B5:B53))</f>
        <v>18890.772717599997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35</v>
      </c>
      <c r="E20" s="81">
        <v>35</v>
      </c>
      <c r="F20" s="81">
        <v>38</v>
      </c>
      <c r="G20" s="81">
        <v>30</v>
      </c>
      <c r="H20" s="81">
        <v>29</v>
      </c>
      <c r="I20" s="81">
        <v>39</v>
      </c>
      <c r="J20" s="81">
        <v>44</v>
      </c>
      <c r="K20" s="81">
        <v>32</v>
      </c>
      <c r="L20" s="81">
        <v>32</v>
      </c>
      <c r="M20" s="81">
        <v>34</v>
      </c>
      <c r="N20" s="81">
        <v>28</v>
      </c>
      <c r="O20" s="81">
        <v>32</v>
      </c>
      <c r="P20" s="81">
        <v>31</v>
      </c>
      <c r="Q20" s="81">
        <v>35</v>
      </c>
      <c r="R20" s="81">
        <v>34</v>
      </c>
      <c r="S20" s="81">
        <v>35</v>
      </c>
      <c r="T20" s="81">
        <v>31</v>
      </c>
      <c r="U20" s="81">
        <v>31</v>
      </c>
      <c r="V20" s="81">
        <v>37</v>
      </c>
      <c r="W20" s="81">
        <v>34</v>
      </c>
      <c r="X20" s="81">
        <v>30</v>
      </c>
      <c r="Y20" s="110">
        <v>30</v>
      </c>
      <c r="Z20" s="81">
        <v>32</v>
      </c>
      <c r="AA20" s="81">
        <v>30</v>
      </c>
      <c r="AB20" s="81">
        <v>34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2" t="s" ph="1">
        <v>177</v>
      </c>
      <c r="D24" s="71">
        <v>3.45</v>
      </c>
      <c r="E24" s="71">
        <v>5.71</v>
      </c>
      <c r="F24" s="71">
        <v>1539</v>
      </c>
      <c r="G24" s="71">
        <v>3843</v>
      </c>
      <c r="H24" s="71">
        <v>3112</v>
      </c>
      <c r="I24" s="71">
        <v>996</v>
      </c>
      <c r="J24" s="71">
        <v>206</v>
      </c>
      <c r="K24" s="71">
        <v>247</v>
      </c>
      <c r="L24" s="71">
        <v>469</v>
      </c>
      <c r="M24" s="71">
        <v>358</v>
      </c>
      <c r="N24" s="71">
        <v>227</v>
      </c>
      <c r="O24" s="71">
        <v>613</v>
      </c>
      <c r="P24" s="71">
        <v>3241</v>
      </c>
      <c r="Q24" s="90">
        <v>1667</v>
      </c>
      <c r="R24" s="71">
        <v>4772</v>
      </c>
      <c r="S24" s="71">
        <v>5502</v>
      </c>
      <c r="T24" s="71">
        <v>502</v>
      </c>
      <c r="U24" s="71">
        <v>5449</v>
      </c>
      <c r="V24" s="71">
        <v>1016</v>
      </c>
      <c r="W24" s="71">
        <v>5805</v>
      </c>
      <c r="X24" s="71">
        <v>3855</v>
      </c>
      <c r="Y24" s="71">
        <v>5734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2360.1716960399999</v>
      </c>
      <c r="E25" s="91" ph="1">
        <f>E24*268.68*LOOKUP(E26,密度!$A$2:$A$50,密度!$C$2:$C$50)+IF(E24&lt;=0,0,1566*LOOKUP(E26,密度!$A$2:$A$50,密度!$C$2:$C$50))</f>
        <v>3437.7705289200003</v>
      </c>
      <c r="F25" s="91" ph="1">
        <f>F24*11.702*LOOKUP(F26,密度!$A$2:$A$50,密度!$Q$2:$Q$50)</f>
        <v>17024.625210960003</v>
      </c>
      <c r="G25" s="91" ph="1">
        <f>G24*18.322*LOOKUP(G26,密度!$A$2:$A$50,密度!$B$2:$B$50)</f>
        <v>54653.364385199995</v>
      </c>
      <c r="H25" s="91" ph="1">
        <f>H24*18.322*LOOKUP(H26,密度!$A$2:$A$50,密度!$B$2:$B$50)</f>
        <v>44257.4212768</v>
      </c>
      <c r="I25" s="91" ph="1">
        <f>I24*18.322*LOOKUP(I26,密度!$A$2:$A$50,密度!$Q$2:$Q$50)</f>
        <v>17263.829013359998</v>
      </c>
      <c r="J25" s="91" ph="1">
        <f>J24*18.322*LOOKUP(J26,密度!$A$2:$A$50,密度!$Q$2:$Q$50)</f>
        <v>3565.30949384</v>
      </c>
      <c r="K25" s="91" ph="1">
        <f>K24*18.322*LOOKUP(K26,密度!$A$2:$A$50,密度!$Q$2:$Q$50)</f>
        <v>4271.7873086199997</v>
      </c>
      <c r="L25" s="91" ph="1">
        <f>L24*18.322*LOOKUP(L26,密度!$A$2:$A$50,密度!$Q$2:$Q$50)</f>
        <v>8117.1366631600004</v>
      </c>
      <c r="M25" s="91" ph="1">
        <f>M24*18.322*LOOKUP(M26,密度!$A$2:$A$50,密度!$Q$2:$Q$50)</f>
        <v>6196.0232951199996</v>
      </c>
      <c r="N25" s="91" ph="1">
        <f>N24*18.322*LOOKUP(N26,密度!$A$2:$A$50,密度!$Q$2:$Q$50)</f>
        <v>3928.7633742800003</v>
      </c>
      <c r="O25" s="91" ph="1">
        <f>O24*18.322*LOOKUP(O26,密度!$A$2:$A$50,密度!$C$2:$C$50)</f>
        <v>12420.789777399999</v>
      </c>
      <c r="P25" s="91" ph="1">
        <f>P24*11.702*LOOKUP(P26,密度!$A$2:$A$50,密度!$B$2:$B$50)</f>
        <v>29502.7769778</v>
      </c>
      <c r="Q25" s="92" ph="1">
        <f>Q24*18.322*LOOKUP(Q26,密度!$A$2:$A$50,密度!$B$2:$B$50)</f>
        <v>23783.658113799996</v>
      </c>
      <c r="R25" s="91" ph="1">
        <f>R24*35.891*LOOKUP(R26,密度!$A$2:$A$50,密度!$C$2:$C$50)</f>
        <v>189529.43142319997</v>
      </c>
      <c r="S25" s="91" ph="1">
        <f>S24*35.891*LOOKUP(S26,密度!$A$2:$A$50,密度!$B$2:$B$50)</f>
        <v>153435.96311399998</v>
      </c>
      <c r="T25" s="91" ph="1">
        <f>T24*35.891*LOOKUP(T26,密度!$A$2:$A$50,密度!$Q$2:$Q$50)</f>
        <v>17007.052998260002</v>
      </c>
      <c r="U25" s="91" ph="1">
        <f>U24*35.891</f>
        <v>195570.05899999998</v>
      </c>
      <c r="V25" s="91" ph="1">
        <f>V24*47.051*LOOKUP(V26,密度!$A$2:$A$50,密度!$B$2:$B$50)</f>
        <v>37310.878387999997</v>
      </c>
      <c r="W25" s="91" ph="1">
        <f>W24*47.051*LOOKUP(W26,密度!$A$2:$A$50,密度!$B$2:$B$50)</f>
        <v>212932.97047799997</v>
      </c>
      <c r="X25" s="91" ph="1">
        <f>X24*47.051*LOOKUP(X26,密度!$A$2:$A$61,密度!$I$2:$I$61)</f>
        <v>188854.527126</v>
      </c>
      <c r="Y25" s="91" ph="1">
        <f>Y24*47.051*LOOKUP(Y26,密度!$A$2:$A$50,密度!$L$2:$L$50)</f>
        <v>251444.68448800003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27</v>
      </c>
      <c r="G26" s="74">
        <v>29</v>
      </c>
      <c r="H26" s="74">
        <v>29</v>
      </c>
      <c r="I26" s="74">
        <v>26</v>
      </c>
      <c r="J26" s="74">
        <v>28</v>
      </c>
      <c r="K26" s="74">
        <v>29</v>
      </c>
      <c r="L26" s="74">
        <v>28</v>
      </c>
      <c r="M26" s="74">
        <v>28</v>
      </c>
      <c r="N26" s="74">
        <v>28</v>
      </c>
      <c r="O26" s="74">
        <v>29</v>
      </c>
      <c r="P26" s="74">
        <v>27</v>
      </c>
      <c r="Q26" s="93">
        <v>26</v>
      </c>
      <c r="R26" s="74">
        <v>28</v>
      </c>
      <c r="S26" s="74">
        <v>28</v>
      </c>
      <c r="T26" s="74">
        <v>29</v>
      </c>
      <c r="U26" s="74">
        <v>25</v>
      </c>
      <c r="V26" s="74">
        <v>24</v>
      </c>
      <c r="W26" s="74">
        <v>25</v>
      </c>
      <c r="X26" s="74">
        <v>26</v>
      </c>
      <c r="Y26" s="74">
        <v>30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2" t="s" ph="1">
        <v>180</v>
      </c>
      <c r="D27" s="71">
        <v>3.16</v>
      </c>
      <c r="E27" s="71">
        <v>5.69</v>
      </c>
      <c r="F27" s="71">
        <v>1551</v>
      </c>
      <c r="G27" s="71">
        <v>3384</v>
      </c>
      <c r="H27" s="71">
        <v>2625</v>
      </c>
      <c r="I27" s="71">
        <v>1624</v>
      </c>
      <c r="J27" s="71">
        <v>202</v>
      </c>
      <c r="K27" s="71">
        <v>244</v>
      </c>
      <c r="L27" s="71">
        <v>466</v>
      </c>
      <c r="M27" s="71">
        <v>355</v>
      </c>
      <c r="N27" s="71">
        <v>223</v>
      </c>
      <c r="O27" s="71">
        <v>609</v>
      </c>
      <c r="P27" s="71">
        <v>3245</v>
      </c>
      <c r="Q27" s="90">
        <v>2133</v>
      </c>
      <c r="R27" s="71">
        <v>4228</v>
      </c>
      <c r="S27" s="71">
        <v>5502</v>
      </c>
      <c r="T27" s="71">
        <v>504</v>
      </c>
      <c r="U27" s="71">
        <v>5428</v>
      </c>
      <c r="V27" s="71">
        <v>1015</v>
      </c>
      <c r="W27" s="71">
        <v>7729</v>
      </c>
      <c r="X27" s="71">
        <v>3258</v>
      </c>
      <c r="Y27" s="71">
        <v>4122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2" t="s" ph="1">
        <v>178</v>
      </c>
      <c r="D28" s="91" ph="1">
        <f>D27*268.68*LOOKUP(D29,密度!$A$2:$A$50,密度!$Q$2:$Q$50)+IF(D27&lt;=0,0,1566*LOOKUP(D29,密度!$A$2:$A$50,密度!$Q$2:$Q$50))</f>
        <v>2286.4043661119999</v>
      </c>
      <c r="E28" s="91" ph="1">
        <f>E27*268.68*LOOKUP(E29,密度!$A$2:$A$50,密度!$C$2:$C$50)+IF(E27&lt;=0,0,1566*LOOKUP(E29,密度!$A$2:$A$50,密度!$C$2:$C$50))</f>
        <v>3431.81174388</v>
      </c>
      <c r="F28" s="91" ph="1">
        <f>F27*11.702*LOOKUP(F29,密度!$A$2:$A$50,密度!$Q$2:$Q$50)</f>
        <v>17121.252720659999</v>
      </c>
      <c r="G28" s="91" ph="1">
        <f>G27*18.322*LOOKUP(G29,密度!$A$2:$A$50,密度!$B$2:$B$50)</f>
        <v>47958.274727999989</v>
      </c>
      <c r="H28" s="91" ph="1">
        <f>H27*18.322*LOOKUP(H29,密度!$A$2:$A$50,密度!$B$2:$B$50)</f>
        <v>37201.675875000001</v>
      </c>
      <c r="I28" s="91" ph="1">
        <f>I27*18.322*LOOKUP(I29,密度!$A$2:$A$50,密度!$Q$2:$Q$50)</f>
        <v>28068.716230239999</v>
      </c>
      <c r="J28" s="91" ph="1">
        <f>J27*18.322*LOOKUP(J29,密度!$A$2:$A$50,密度!$Q$2:$Q$50)</f>
        <v>3467.21204008</v>
      </c>
      <c r="K28" s="91" ph="1">
        <f>K27*18.322*LOOKUP(K29,密度!$A$2:$A$50,密度!$Q$2:$Q$50)</f>
        <v>4210.8279991999998</v>
      </c>
      <c r="L28" s="91" ph="1">
        <f>L27*18.322*LOOKUP(L29,密度!$A$2:$A$50,密度!$Q$2:$Q$50)</f>
        <v>8054.2005931599997</v>
      </c>
      <c r="M28" s="91" ph="1">
        <f>M27*18.322*LOOKUP(M29,密度!$A$2:$A$50,密度!$Q$2:$Q$50)</f>
        <v>6097.1401939999996</v>
      </c>
      <c r="N28" s="91" ph="1">
        <f>N27*18.322*LOOKUP(N29,密度!$A$2:$A$50,密度!$Q$2:$Q$50)</f>
        <v>3845.7648975000002</v>
      </c>
      <c r="O28" s="91" ph="1">
        <f>O27*18.322*LOOKUP(O29,密度!$A$2:$A$50,密度!$C$2:$C$50)</f>
        <v>12339.740578200001</v>
      </c>
      <c r="P28" s="91" ph="1">
        <f>P27*11.702*LOOKUP(P29,密度!$A$2:$A$50,密度!$B$2:$B$50)</f>
        <v>29440.459146999998</v>
      </c>
      <c r="Q28" s="92" ph="1">
        <f>Q27*18.322*LOOKUP(Q29,密度!$A$2:$A$50,密度!$B$2:$B$50)</f>
        <v>30197.754250200003</v>
      </c>
      <c r="R28" s="91" ph="1">
        <f>R27*35.891*LOOKUP(R29,密度!$A$2:$A$50,密度!$C$2:$C$50)</f>
        <v>167544.02610680001</v>
      </c>
      <c r="S28" s="91" ph="1">
        <f>S27*35.891*LOOKUP(S29,密度!$A$2:$A$50,密度!$B$2:$B$50)</f>
        <v>153100.26023459999</v>
      </c>
      <c r="T28" s="91" ph="1">
        <f>T27*35.891*LOOKUP(T29,密度!$A$2:$A$50,密度!$Q$2:$Q$50)</f>
        <v>17038.089381599999</v>
      </c>
      <c r="U28" s="91" ph="1">
        <f>U27*35.891</f>
        <v>194816.348</v>
      </c>
      <c r="V28" s="91" ph="1">
        <f>V27*47.051*LOOKUP(V29,密度!$A$2:$A$50,密度!$B$2:$B$50)</f>
        <v>37188.1929055</v>
      </c>
      <c r="W28" s="91" ph="1">
        <f>W27*47.051*LOOKUP(W29,密度!$A$2:$A$50,密度!$B$2:$B$50)</f>
        <v>283834.42820949998</v>
      </c>
      <c r="X28" s="91" ph="1">
        <f>X27*47.051*LOOKUP(X29,密度!$A$2:$A$61,密度!$I$2:$I$61)</f>
        <v>159607.79490959999</v>
      </c>
      <c r="Y28" s="91" ph="1">
        <f>Y27*47.051*LOOKUP(Y29,密度!$A$2:$A$50,密度!$L$2:$L$50)</f>
        <v>179786.29379400003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2" t="s" ph="1">
        <v>179</v>
      </c>
      <c r="D29" s="74">
        <v>25</v>
      </c>
      <c r="E29" s="74">
        <v>25</v>
      </c>
      <c r="F29" s="74">
        <v>30</v>
      </c>
      <c r="G29" s="74">
        <v>32</v>
      </c>
      <c r="H29" s="74">
        <v>32</v>
      </c>
      <c r="I29" s="74">
        <v>30</v>
      </c>
      <c r="J29" s="74">
        <v>40</v>
      </c>
      <c r="K29" s="74">
        <v>32</v>
      </c>
      <c r="L29" s="74">
        <v>30</v>
      </c>
      <c r="M29" s="74">
        <v>39</v>
      </c>
      <c r="N29" s="74">
        <v>33</v>
      </c>
      <c r="O29" s="74">
        <v>29</v>
      </c>
      <c r="P29" s="74">
        <v>30</v>
      </c>
      <c r="Q29" s="93">
        <v>33</v>
      </c>
      <c r="R29" s="74">
        <v>31</v>
      </c>
      <c r="S29" s="74">
        <v>30</v>
      </c>
      <c r="T29" s="74">
        <v>32</v>
      </c>
      <c r="U29" s="74">
        <v>30</v>
      </c>
      <c r="V29" s="74">
        <v>26</v>
      </c>
      <c r="W29" s="74">
        <v>24</v>
      </c>
      <c r="X29" s="74">
        <v>26</v>
      </c>
      <c r="Y29" s="74">
        <v>35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2" t="s" ph="1">
        <v>5</v>
      </c>
      <c r="F32" s="161" t="s" ph="1">
        <v>43</v>
      </c>
      <c r="G32" s="97" t="s" ph="1">
        <v>4</v>
      </c>
      <c r="H32" s="162" t="s" ph="1">
        <v>5</v>
      </c>
      <c r="I32" s="161" t="s" ph="1">
        <v>43</v>
      </c>
      <c r="J32" s="97" t="s" ph="1">
        <v>4</v>
      </c>
      <c r="K32" s="162" t="s" ph="1">
        <v>5</v>
      </c>
      <c r="L32" s="161" t="s" ph="1">
        <v>43</v>
      </c>
      <c r="M32" s="97" t="s" ph="1">
        <v>4</v>
      </c>
      <c r="N32" s="162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1" t="s" ph="1">
        <v>43</v>
      </c>
      <c r="AB32" s="97" t="s" ph="1">
        <v>85</v>
      </c>
      <c r="AC32" s="162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95826.730714200006</v>
      </c>
      <c r="E33" s="190" ph="1">
        <f>M10+I10</f>
        <v>230415.38543220001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[[#This Row],[F25]]</f>
        <v>3880</v>
      </c>
      <c r="G33" s="216" ph="1">
        <f>N19</f>
        <v>17875.582660800002</v>
      </c>
      <c r="H33" s="190" ph="1">
        <f>M19</f>
        <v>48165.520487272006</v>
      </c>
      <c r="I33" s="194" ph="1">
        <v>0</v>
      </c>
      <c r="J33" s="198" ph="1">
        <f>F10+O28</f>
        <v>226594.96513260002</v>
      </c>
      <c r="K33" s="190" ph="1">
        <f>O10+K10+E28+R28</f>
        <v>288687.22171707998</v>
      </c>
      <c r="L33" s="200" ph="1">
        <f>K19</f>
        <v>22851.194915399999</v>
      </c>
      <c r="M33" s="198" ph="1">
        <f>G10+H10+W28+S28+V28+E10+R19+P28+Q28</f>
        <v>970950.69948579988</v>
      </c>
      <c r="N33" s="190" ph="1">
        <f>L10+P10++G28+H28+AD19+AE19</f>
        <v>183041.00203899998</v>
      </c>
      <c r="O33" s="194" ph="1">
        <f>G19</f>
        <v>29654.7900567</v>
      </c>
      <c r="P33" s="198" ph="1">
        <f>L19</f>
        <v>25272.302188224003</v>
      </c>
      <c r="Q33" s="190" ph="1">
        <f>J10+N10</f>
        <v>35965.622893719999</v>
      </c>
      <c r="R33" s="194" ph="1">
        <f>BE23</f>
        <v>890</v>
      </c>
      <c r="S33" s="198" ph="1">
        <f>X28</f>
        <v>159607.79490959999</v>
      </c>
      <c r="T33" s="190" ph="1">
        <f>X19</f>
        <v>18824.469924959998</v>
      </c>
      <c r="U33" s="179" ph="1">
        <f>BE21</f>
        <v>730</v>
      </c>
      <c r="V33" s="192" ph="1">
        <f ca="1">P19+Q19+S19+M28+N28+J28+D10+AC10+D19+E19+H19+J19+O19+V19+W19+K28+L28</f>
        <v>494801.54685009597</v>
      </c>
      <c r="W33" s="192" ph="1">
        <f>D28+F28+T28+I28</f>
        <v>64514.462698611998</v>
      </c>
      <c r="X33" s="194" ph="1">
        <f>BE29+BE31</f>
        <v>10200</v>
      </c>
      <c r="Y33" s="196" ph="1">
        <f>+Q10+R10+S10+T10+U10+V10+W10+X10+Y10</f>
        <v>176913.91747260001</v>
      </c>
      <c r="Z33" s="177" ph="1">
        <f>T19+U19+Y28+Z10</f>
        <v>302378.60241806001</v>
      </c>
      <c r="AA33" s="179" ph="1">
        <f>BE19</f>
        <v>1440</v>
      </c>
      <c r="AB33" s="181" ph="1">
        <f>I19</f>
        <v>23835.64200688</v>
      </c>
      <c r="AC33" s="183" ph="1">
        <f>AD10+AB19</f>
        <v>121784.10807680001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0" t="s" ph="1">
        <v>185</v>
      </c>
      <c r="AA36" s="160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6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0" t="s" ph="1">
        <v>342</v>
      </c>
      <c r="AI37" s="160" t="s" ph="1">
        <v>209</v>
      </c>
      <c r="AJ37" s="160" t="s" ph="1">
        <v>210</v>
      </c>
      <c r="AK37" s="160" t="s" ph="1">
        <v>211</v>
      </c>
      <c r="AM37" s="160" t="s" ph="1">
        <v>210</v>
      </c>
      <c r="AN37" s="160" t="s" ph="1">
        <v>211</v>
      </c>
      <c r="AO37" s="160" t="s" ph="1">
        <v>212</v>
      </c>
      <c r="AP37" s="160" t="s" ph="1">
        <v>210</v>
      </c>
      <c r="AQ37" s="160" t="s" ph="1">
        <v>211</v>
      </c>
      <c r="AR37" s="160" t="s" ph="1">
        <v>212</v>
      </c>
      <c r="AS37" s="160" t="s" ph="1">
        <v>210</v>
      </c>
      <c r="AT37" s="160" t="s" ph="1">
        <v>211</v>
      </c>
      <c r="AU37" s="160" t="s" ph="1">
        <v>212</v>
      </c>
      <c r="AV37" s="160" t="s" ph="1">
        <v>210</v>
      </c>
      <c r="AW37" s="160" t="s" ph="1">
        <v>211</v>
      </c>
      <c r="AX37" s="160" t="s" ph="1">
        <v>212</v>
      </c>
      <c r="AY37" s="160" t="s" ph="1">
        <v>211</v>
      </c>
      <c r="AZ37" s="160" t="s" ph="1">
        <v>213</v>
      </c>
      <c r="BD37" s="160" t="s" ph="1">
        <v>305</v>
      </c>
      <c r="BE37" s="16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59" priority="100">
      <formula>ABS(D$7-D$10)&gt;=1000</formula>
    </cfRule>
  </conditionalFormatting>
  <conditionalFormatting sqref="E4 E6:E11">
    <cfRule type="expression" dxfId="258" priority="99">
      <formula>ABS(E$7-E$10)&gt;=1000</formula>
    </cfRule>
  </conditionalFormatting>
  <conditionalFormatting sqref="F4:F11">
    <cfRule type="expression" dxfId="257" priority="98">
      <formula>ABS(F$7-F$10)&gt;=1000</formula>
    </cfRule>
  </conditionalFormatting>
  <conditionalFormatting sqref="G4:G11">
    <cfRule type="expression" dxfId="256" priority="97">
      <formula>ABS(G$7-G$10)&gt;=1000</formula>
    </cfRule>
  </conditionalFormatting>
  <conditionalFormatting sqref="H4:H11">
    <cfRule type="expression" dxfId="255" priority="96">
      <formula>ABS(H$7-H$10)&gt;=1000</formula>
    </cfRule>
  </conditionalFormatting>
  <conditionalFormatting sqref="I4:I11">
    <cfRule type="expression" dxfId="254" priority="95">
      <formula>ABS(I$7-I$10)&gt;=1000</formula>
    </cfRule>
  </conditionalFormatting>
  <conditionalFormatting sqref="J4:J11">
    <cfRule type="expression" dxfId="253" priority="94">
      <formula>ABS(J$7-J$10)&gt;=1000</formula>
    </cfRule>
  </conditionalFormatting>
  <conditionalFormatting sqref="K4:K11">
    <cfRule type="expression" dxfId="252" priority="93">
      <formula>ABS(K$7-K$10)&gt;=1000</formula>
    </cfRule>
  </conditionalFormatting>
  <conditionalFormatting sqref="L4:L11">
    <cfRule type="expression" dxfId="251" priority="92">
      <formula>ABS(L$7-L$10)&gt;=1000</formula>
    </cfRule>
  </conditionalFormatting>
  <conditionalFormatting sqref="M4 M6:M11">
    <cfRule type="expression" dxfId="250" priority="91">
      <formula>ABS(M$7-M$10)&gt;=1000</formula>
    </cfRule>
  </conditionalFormatting>
  <conditionalFormatting sqref="N4 N6:N11">
    <cfRule type="expression" dxfId="249" priority="90">
      <formula>ABS(N$7-N$10)&gt;=1000</formula>
    </cfRule>
  </conditionalFormatting>
  <conditionalFormatting sqref="O4 O6:O11">
    <cfRule type="expression" dxfId="248" priority="89">
      <formula>ABS(O$7-O$10)&gt;=1000</formula>
    </cfRule>
  </conditionalFormatting>
  <conditionalFormatting sqref="P4 P6:P11">
    <cfRule type="expression" dxfId="247" priority="88">
      <formula>ABS(P$7-P$10)&gt;=1000</formula>
    </cfRule>
  </conditionalFormatting>
  <conditionalFormatting sqref="Q4:Q11">
    <cfRule type="expression" dxfId="246" priority="87">
      <formula>ABS(Q$7-Q$10)&gt;=1000</formula>
    </cfRule>
  </conditionalFormatting>
  <conditionalFormatting sqref="R4:R11">
    <cfRule type="expression" dxfId="245" priority="86">
      <formula>ABS(R$7-R$10)&gt;=1000</formula>
    </cfRule>
  </conditionalFormatting>
  <conditionalFormatting sqref="S4:S11">
    <cfRule type="expression" dxfId="244" priority="85">
      <formula>ABS(S$7-S$10)&gt;=1000</formula>
    </cfRule>
  </conditionalFormatting>
  <conditionalFormatting sqref="T4:T9 T11">
    <cfRule type="expression" dxfId="243" priority="84">
      <formula>ABS(T$7-T$10)&gt;=1000</formula>
    </cfRule>
  </conditionalFormatting>
  <conditionalFormatting sqref="U4:U9 U11">
    <cfRule type="expression" dxfId="242" priority="83">
      <formula>ABS(U$7-U$10)&gt;=1000</formula>
    </cfRule>
  </conditionalFormatting>
  <conditionalFormatting sqref="V4:V9 V11">
    <cfRule type="expression" dxfId="241" priority="82">
      <formula>ABS(V$7-V$10)&gt;=1000</formula>
    </cfRule>
  </conditionalFormatting>
  <conditionalFormatting sqref="W4:W9 W11">
    <cfRule type="expression" dxfId="240" priority="81">
      <formula>ABS(W$7-W$10)&gt;=1000</formula>
    </cfRule>
  </conditionalFormatting>
  <conditionalFormatting sqref="X4:X9 X11">
    <cfRule type="expression" dxfId="239" priority="80">
      <formula>ABS(X$7-X$10)&gt;=1000</formula>
    </cfRule>
  </conditionalFormatting>
  <conditionalFormatting sqref="Y4:Y9 Y11">
    <cfRule type="expression" dxfId="238" priority="79">
      <formula>ABS(Y$7-Y$10)&gt;=1000</formula>
    </cfRule>
  </conditionalFormatting>
  <conditionalFormatting sqref="Z4:Z11">
    <cfRule type="expression" dxfId="237" priority="78">
      <formula>ABS(Z$7-Z$10)&gt;=1000</formula>
    </cfRule>
  </conditionalFormatting>
  <conditionalFormatting sqref="AA4:AA11">
    <cfRule type="expression" dxfId="236" priority="77">
      <formula>ABS(AA$7-AA$10)&gt;=1000</formula>
    </cfRule>
  </conditionalFormatting>
  <conditionalFormatting sqref="AB4:AB11">
    <cfRule type="expression" dxfId="235" priority="76">
      <formula>ABS(AB$7-AB$10)&gt;=1000</formula>
    </cfRule>
  </conditionalFormatting>
  <conditionalFormatting sqref="AC4 AC6:AC11">
    <cfRule type="expression" dxfId="234" priority="75">
      <formula>ABS(AC$7-AC$10)&gt;=1000</formula>
    </cfRule>
  </conditionalFormatting>
  <conditionalFormatting sqref="AD4 AD6:AD11">
    <cfRule type="expression" dxfId="233" priority="74">
      <formula>ABS(AD$7-AD$10)&gt;=1000</formula>
    </cfRule>
  </conditionalFormatting>
  <conditionalFormatting sqref="AE4 AE6:AE11">
    <cfRule type="expression" dxfId="232" priority="73">
      <formula>ABS(AE$7-AE$10)&gt;=1000</formula>
    </cfRule>
  </conditionalFormatting>
  <conditionalFormatting sqref="D13:D20">
    <cfRule type="expression" dxfId="231" priority="72">
      <formula>ABS(D$16-D$19)&gt;=1000</formula>
    </cfRule>
  </conditionalFormatting>
  <conditionalFormatting sqref="E13:E20">
    <cfRule type="expression" dxfId="230" priority="71">
      <formula>ABS(E$16-E$19)&gt;=1000</formula>
    </cfRule>
  </conditionalFormatting>
  <conditionalFormatting sqref="F13 F15:F20">
    <cfRule type="expression" dxfId="229" priority="70">
      <formula>ABS(F$16-F$19)&gt;=1000</formula>
    </cfRule>
  </conditionalFormatting>
  <conditionalFormatting sqref="G13:G20">
    <cfRule type="expression" dxfId="228" priority="69">
      <formula>ABS(G$16-G$19)&gt;=1000</formula>
    </cfRule>
  </conditionalFormatting>
  <conditionalFormatting sqref="H13 H15:H20">
    <cfRule type="expression" dxfId="227" priority="68">
      <formula>ABS(H$16-H$19)&gt;=1000</formula>
    </cfRule>
  </conditionalFormatting>
  <conditionalFormatting sqref="I13:I20">
    <cfRule type="expression" dxfId="226" priority="67">
      <formula>ABS(I$16-I$19)&gt;=1000</formula>
    </cfRule>
  </conditionalFormatting>
  <conditionalFormatting sqref="J13:J20">
    <cfRule type="expression" dxfId="225" priority="66">
      <formula>ABS(J$16-J$19)&gt;=1000</formula>
    </cfRule>
  </conditionalFormatting>
  <conditionalFormatting sqref="L13:L20">
    <cfRule type="expression" dxfId="224" priority="65">
      <formula>ABS(L$16-L$19)&gt;=1000</formula>
    </cfRule>
  </conditionalFormatting>
  <conditionalFormatting sqref="M13 M15 M17:M18 M20">
    <cfRule type="expression" dxfId="223" priority="64">
      <formula>ABS(M$16-M$19)&gt;=1000</formula>
    </cfRule>
  </conditionalFormatting>
  <conditionalFormatting sqref="N13:N20">
    <cfRule type="expression" dxfId="222" priority="63">
      <formula>ABS(N$16-N$19)&gt;=1000</formula>
    </cfRule>
  </conditionalFormatting>
  <conditionalFormatting sqref="O13:O20">
    <cfRule type="expression" dxfId="221" priority="62">
      <formula>ABS(O$16-O$19)&gt;=1000</formula>
    </cfRule>
  </conditionalFormatting>
  <conditionalFormatting sqref="P13:P20">
    <cfRule type="expression" dxfId="220" priority="61">
      <formula>ABS(P$16-P$19)&gt;=1000</formula>
    </cfRule>
  </conditionalFormatting>
  <conditionalFormatting sqref="Q13 Q15:Q20">
    <cfRule type="expression" dxfId="219" priority="60">
      <formula>ABS(Q$16-Q$19)&gt;=1000</formula>
    </cfRule>
  </conditionalFormatting>
  <conditionalFormatting sqref="R13:R20">
    <cfRule type="expression" dxfId="218" priority="59">
      <formula>ABS(R$16-R$19)&gt;=1000</formula>
    </cfRule>
  </conditionalFormatting>
  <conditionalFormatting sqref="S13:S20">
    <cfRule type="expression" dxfId="217" priority="58">
      <formula>ABS(S$16-S$19)&gt;=1000</formula>
    </cfRule>
  </conditionalFormatting>
  <conditionalFormatting sqref="T13:T20">
    <cfRule type="expression" dxfId="216" priority="57">
      <formula>ABS(T$16-T$19)&gt;=1000</formula>
    </cfRule>
  </conditionalFormatting>
  <conditionalFormatting sqref="U13:U20">
    <cfRule type="expression" dxfId="215" priority="56">
      <formula>ABS(U$16-U$19)&gt;=1000</formula>
    </cfRule>
  </conditionalFormatting>
  <conditionalFormatting sqref="V13:V20">
    <cfRule type="expression" dxfId="214" priority="55">
      <formula>ABS(V$16-V$19)&gt;=1000</formula>
    </cfRule>
  </conditionalFormatting>
  <conditionalFormatting sqref="W13 W20 W15:W18">
    <cfRule type="expression" dxfId="213" priority="54">
      <formula>ABS(W$16-W$19)&gt;=1000</formula>
    </cfRule>
  </conditionalFormatting>
  <conditionalFormatting sqref="X13 X15:X20 Y19">
    <cfRule type="expression" dxfId="212" priority="53">
      <formula>ABS(X$16-X$19)&gt;=1000</formula>
    </cfRule>
  </conditionalFormatting>
  <conditionalFormatting sqref="Y13 Y15:Y18 Y20">
    <cfRule type="expression" dxfId="211" priority="52">
      <formula>ABS(Y$16-Y$19)&gt;=1000</formula>
    </cfRule>
  </conditionalFormatting>
  <conditionalFormatting sqref="Z13:Z20">
    <cfRule type="expression" dxfId="210" priority="51">
      <formula>ABS(Z$16-Z$19)&gt;=1000</formula>
    </cfRule>
  </conditionalFormatting>
  <conditionalFormatting sqref="AA13:AA20">
    <cfRule type="expression" dxfId="209" priority="50">
      <formula>ABS(AA$16-AA$19)&gt;=1000</formula>
    </cfRule>
  </conditionalFormatting>
  <conditionalFormatting sqref="AB13 AB15:AB20">
    <cfRule type="expression" dxfId="208" priority="49">
      <formula>ABS(AB$16-AB$19)&gt;=1000</formula>
    </cfRule>
  </conditionalFormatting>
  <conditionalFormatting sqref="AC13 AC15:AC20">
    <cfRule type="expression" dxfId="207" priority="48">
      <formula>ABS(AC$16-AC$19)&gt;=1000</formula>
    </cfRule>
  </conditionalFormatting>
  <conditionalFormatting sqref="AD13:AD20">
    <cfRule type="expression" dxfId="206" priority="47">
      <formula>ABS(AD$16-AD$19)&gt;=1000</formula>
    </cfRule>
  </conditionalFormatting>
  <conditionalFormatting sqref="AE13:AE20">
    <cfRule type="expression" dxfId="205" priority="46">
      <formula>ABS(AE$16-AE$19)&gt;=1000</formula>
    </cfRule>
  </conditionalFormatting>
  <conditionalFormatting sqref="D22:D29">
    <cfRule type="expression" dxfId="204" priority="45">
      <formula>ABS(D$25-D$28)&gt;=1000</formula>
    </cfRule>
  </conditionalFormatting>
  <conditionalFormatting sqref="E22:E29">
    <cfRule type="expression" dxfId="203" priority="44">
      <formula>ABS(E$25-E$28)&gt;=1000</formula>
    </cfRule>
  </conditionalFormatting>
  <conditionalFormatting sqref="F22:F29">
    <cfRule type="expression" dxfId="202" priority="43">
      <formula>ABS(F$25-F$28)&gt;=1000</formula>
    </cfRule>
  </conditionalFormatting>
  <conditionalFormatting sqref="G22:G29">
    <cfRule type="expression" dxfId="201" priority="42">
      <formula>ABS(G$25-G$28)&gt;=1000</formula>
    </cfRule>
  </conditionalFormatting>
  <conditionalFormatting sqref="H22:H29">
    <cfRule type="expression" dxfId="200" priority="41">
      <formula>ABS(H$25-H$28)&gt;=1000</formula>
    </cfRule>
  </conditionalFormatting>
  <conditionalFormatting sqref="I22 I24:I29">
    <cfRule type="expression" dxfId="199" priority="40">
      <formula>ABS(I$25-I$28)&gt;=1000</formula>
    </cfRule>
  </conditionalFormatting>
  <conditionalFormatting sqref="J22:J29 K22">
    <cfRule type="expression" dxfId="198" priority="39">
      <formula>ABS(J$25-J$28)&gt;=1000</formula>
    </cfRule>
  </conditionalFormatting>
  <conditionalFormatting sqref="K23:K29 L25 L28">
    <cfRule type="expression" dxfId="197" priority="38">
      <formula>ABS(K$25-K$28)&gt;=1000</formula>
    </cfRule>
  </conditionalFormatting>
  <conditionalFormatting sqref="L22 L26:L27 L29 L24">
    <cfRule type="expression" dxfId="196" priority="37">
      <formula>ABS(L$25-L$28)&gt;=1000</formula>
    </cfRule>
  </conditionalFormatting>
  <conditionalFormatting sqref="M22:M29">
    <cfRule type="expression" dxfId="195" priority="36">
      <formula>ABS(M$25-M$28)&gt;=1000</formula>
    </cfRule>
  </conditionalFormatting>
  <conditionalFormatting sqref="N22:N29">
    <cfRule type="expression" dxfId="194" priority="35">
      <formula>ABS(N$25-N$28)&gt;=1000</formula>
    </cfRule>
  </conditionalFormatting>
  <conditionalFormatting sqref="O22:O29">
    <cfRule type="expression" dxfId="193" priority="34">
      <formula>ABS(O$25-O$28)&gt;=1000</formula>
    </cfRule>
  </conditionalFormatting>
  <conditionalFormatting sqref="P22:P29">
    <cfRule type="expression" dxfId="192" priority="33">
      <formula>ABS(P$25-P$28)&gt;=1000</formula>
    </cfRule>
  </conditionalFormatting>
  <conditionalFormatting sqref="Q22:Q29">
    <cfRule type="expression" dxfId="191" priority="32">
      <formula>ABS(Q$25-Q$28)&gt;=1000</formula>
    </cfRule>
  </conditionalFormatting>
  <conditionalFormatting sqref="R22:R29">
    <cfRule type="expression" dxfId="190" priority="31">
      <formula>ABS(R$25-R$28)&gt;=1000</formula>
    </cfRule>
  </conditionalFormatting>
  <conditionalFormatting sqref="S22:S29">
    <cfRule type="expression" dxfId="189" priority="30">
      <formula>ABS(S$25-S$28)&gt;=1000</formula>
    </cfRule>
  </conditionalFormatting>
  <conditionalFormatting sqref="T22:T29">
    <cfRule type="expression" dxfId="188" priority="29">
      <formula>ABS(T$25-T$28)&gt;=1000</formula>
    </cfRule>
  </conditionalFormatting>
  <conditionalFormatting sqref="U22:U29">
    <cfRule type="expression" dxfId="187" priority="28">
      <formula>ABS(U$25-U$28)&gt;=1000</formula>
    </cfRule>
  </conditionalFormatting>
  <conditionalFormatting sqref="V22:V29">
    <cfRule type="expression" dxfId="186" priority="27">
      <formula>ABS(V$25-V$28)&gt;=1000</formula>
    </cfRule>
  </conditionalFormatting>
  <conditionalFormatting sqref="W22:W29">
    <cfRule type="expression" dxfId="185" priority="26">
      <formula>ABS(W$25-W$28)&gt;=1000</formula>
    </cfRule>
  </conditionalFormatting>
  <conditionalFormatting sqref="X22:X29">
    <cfRule type="expression" dxfId="184" priority="25">
      <formula>ABS(X$25-X$28)&gt;=1000</formula>
    </cfRule>
  </conditionalFormatting>
  <conditionalFormatting sqref="Y22:Y29">
    <cfRule type="expression" dxfId="183" priority="24">
      <formula>ABS(Y$25-Y$28)&gt;=1000</formula>
    </cfRule>
  </conditionalFormatting>
  <conditionalFormatting sqref="I23">
    <cfRule type="expression" dxfId="182" priority="23">
      <formula>ABS(I$25-I$28)&gt;=1000</formula>
    </cfRule>
  </conditionalFormatting>
  <conditionalFormatting sqref="Q14">
    <cfRule type="expression" dxfId="181" priority="22">
      <formula>ABS(Q$16-Q$19)&gt;=1000</formula>
    </cfRule>
  </conditionalFormatting>
  <conditionalFormatting sqref="W14">
    <cfRule type="expression" dxfId="180" priority="21">
      <formula>ABS(W$16-W$19)&gt;=1000</formula>
    </cfRule>
  </conditionalFormatting>
  <conditionalFormatting sqref="X14">
    <cfRule type="expression" dxfId="179" priority="20">
      <formula>ABS(X$16-X$19)&gt;=1000</formula>
    </cfRule>
  </conditionalFormatting>
  <conditionalFormatting sqref="T10:Y10">
    <cfRule type="expression" dxfId="178" priority="19">
      <formula>ABS(T$7-T$10)&gt;=1000</formula>
    </cfRule>
  </conditionalFormatting>
  <conditionalFormatting sqref="W19">
    <cfRule type="expression" dxfId="177" priority="18">
      <formula>ABS(W$16-W$19)&gt;=1000</formula>
    </cfRule>
  </conditionalFormatting>
  <conditionalFormatting sqref="AC5">
    <cfRule type="expression" dxfId="176" priority="17">
      <formula>ABS(AC$7-AC$10)&gt;=1000</formula>
    </cfRule>
  </conditionalFormatting>
  <conditionalFormatting sqref="M14">
    <cfRule type="expression" dxfId="175" priority="16">
      <formula>ABS(M$16-M$19)&gt;=1000</formula>
    </cfRule>
  </conditionalFormatting>
  <conditionalFormatting sqref="M16">
    <cfRule type="expression" dxfId="174" priority="15">
      <formula>ABS(M$16-M$19)&gt;=1000</formula>
    </cfRule>
  </conditionalFormatting>
  <conditionalFormatting sqref="M19">
    <cfRule type="expression" dxfId="173" priority="14">
      <formula>ABS(M$16-M$19)&gt;=1000</formula>
    </cfRule>
  </conditionalFormatting>
  <conditionalFormatting sqref="K13:K20">
    <cfRule type="expression" dxfId="172" priority="13">
      <formula>ABS(K$16-K$19)&gt;=1000</formula>
    </cfRule>
  </conditionalFormatting>
  <conditionalFormatting sqref="E5">
    <cfRule type="expression" dxfId="171" priority="12">
      <formula>ABS(E$7-E$10)&gt;=1000</formula>
    </cfRule>
  </conditionalFormatting>
  <conditionalFormatting sqref="AB14:AC14">
    <cfRule type="expression" dxfId="170" priority="11">
      <formula>ABS(AB$16-AB$19)&gt;=1000</formula>
    </cfRule>
  </conditionalFormatting>
  <conditionalFormatting sqref="M5">
    <cfRule type="expression" dxfId="169" priority="10">
      <formula>ABS(M$7-M$10)&gt;=1000</formula>
    </cfRule>
  </conditionalFormatting>
  <conditionalFormatting sqref="N5">
    <cfRule type="expression" dxfId="168" priority="9">
      <formula>ABS(N$7-N$10)&gt;=1000</formula>
    </cfRule>
  </conditionalFormatting>
  <conditionalFormatting sqref="O5">
    <cfRule type="expression" dxfId="167" priority="8">
      <formula>ABS(O$7-O$10)&gt;=1000</formula>
    </cfRule>
  </conditionalFormatting>
  <conditionalFormatting sqref="P5">
    <cfRule type="expression" dxfId="166" priority="7">
      <formula>ABS(P$7-P$10)&gt;=1000</formula>
    </cfRule>
  </conditionalFormatting>
  <conditionalFormatting sqref="L23">
    <cfRule type="expression" dxfId="165" priority="6">
      <formula>ABS(L$25-L$28)&gt;=1000</formula>
    </cfRule>
  </conditionalFormatting>
  <conditionalFormatting sqref="Y14">
    <cfRule type="expression" dxfId="164" priority="5">
      <formula>ABS(Y$16-Y$19)&gt;=1000</formula>
    </cfRule>
  </conditionalFormatting>
  <conditionalFormatting sqref="F14">
    <cfRule type="expression" dxfId="163" priority="4">
      <formula>ABS(F$16-F$19)&gt;=1000</formula>
    </cfRule>
  </conditionalFormatting>
  <conditionalFormatting sqref="H14">
    <cfRule type="expression" dxfId="162" priority="3">
      <formula>ABS(H$16-H$19)&gt;=1000</formula>
    </cfRule>
  </conditionalFormatting>
  <conditionalFormatting sqref="AD5">
    <cfRule type="expression" dxfId="161" priority="2">
      <formula>ABS(AD$7-AD$10)&gt;=1000</formula>
    </cfRule>
  </conditionalFormatting>
  <conditionalFormatting sqref="AE5">
    <cfRule type="expression" dxfId="16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41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99">
    <pageSetUpPr fitToPage="1"/>
  </sheetPr>
  <dimension ref="A1:CU223"/>
  <sheetViews>
    <sheetView tabSelected="1" view="pageBreakPreview" topLeftCell="A4" zoomScale="70" zoomScaleNormal="100" zoomScaleSheetLayoutView="70" workbookViewId="0">
      <selection activeCell="Z6" sqref="Z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46171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2120</v>
      </c>
      <c r="E6" s="71">
        <v>7829</v>
      </c>
      <c r="F6" s="71">
        <v>5847</v>
      </c>
      <c r="G6" s="71">
        <v>1665</v>
      </c>
      <c r="H6" s="71">
        <v>1190</v>
      </c>
      <c r="I6" s="71">
        <v>52.43</v>
      </c>
      <c r="J6" s="71">
        <v>6.27</v>
      </c>
      <c r="K6" s="71">
        <v>7.52</v>
      </c>
      <c r="L6" s="71">
        <v>6.95</v>
      </c>
      <c r="M6" s="71">
        <v>6399</v>
      </c>
      <c r="N6" s="71">
        <v>1347</v>
      </c>
      <c r="O6" s="71">
        <v>5121</v>
      </c>
      <c r="P6" s="71">
        <v>1923</v>
      </c>
      <c r="Q6" s="71">
        <v>0</v>
      </c>
      <c r="R6" s="71">
        <v>4330</v>
      </c>
      <c r="S6" s="71">
        <v>5792</v>
      </c>
      <c r="T6" s="71">
        <v>7070</v>
      </c>
      <c r="U6" s="71">
        <v>5328</v>
      </c>
      <c r="V6" s="71">
        <v>0</v>
      </c>
      <c r="W6" s="71">
        <v>0</v>
      </c>
      <c r="X6" s="71">
        <v>0</v>
      </c>
      <c r="Y6" s="71">
        <v>0</v>
      </c>
      <c r="Z6" s="71">
        <v>3107</v>
      </c>
      <c r="AA6" s="71">
        <v>0</v>
      </c>
      <c r="AB6" s="71">
        <v>3705</v>
      </c>
      <c r="AC6" s="71">
        <v>4963</v>
      </c>
      <c r="AD6" s="71">
        <v>3909</v>
      </c>
      <c r="AE6" s="71">
        <v>5167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66501.333547200004</v>
      </c>
      <c r="E7" s="73" ph="1">
        <f>E6*51.53*LOOKUP(E8,密度!$A$2:$A$50,密度!$B$2:$B$50)</f>
        <v>313826.929023</v>
      </c>
      <c r="F7" s="73" ph="1">
        <f>F6*33.183*LOOKUP(F8,密度!$A$2:$A$50,密度!$C$2:$C$50)</f>
        <v>214858.85650739996</v>
      </c>
      <c r="G7" s="73" ph="1">
        <f xml:space="preserve"> (G6+2)*51.53*LOOKUP(G8,密度!$A$2:$A$50,密度!$B$2:$B$50)</f>
        <v>66968.037595999995</v>
      </c>
      <c r="H7" s="73" ph="1">
        <f>(H6)*51.53*LOOKUP(H8,密度!$A$2:$A$50,密度!$B$2:$B$50)</f>
        <v>47805.617720000002</v>
      </c>
      <c r="I7" s="73" ph="1">
        <f>I6*290.8*1.0267</f>
        <v>15653.729394799999</v>
      </c>
      <c r="J7" s="73" ph="1">
        <f>J6*290.8*0.7892</f>
        <v>1438.9609872000001</v>
      </c>
      <c r="K7" s="73" ph="1">
        <f>K6*290.8*1.1126</f>
        <v>2433.0514816</v>
      </c>
      <c r="L7" s="73" ph="1">
        <f>L6*290.8*0.777</f>
        <v>1570.3636200000001</v>
      </c>
      <c r="M7" s="73" ph="1">
        <f>M6*33.183*LOOKUP(M8,密度!$A$2:$A$50,密度!$D$2:$D$50)</f>
        <v>217200.55758929998</v>
      </c>
      <c r="N7" s="73" ph="1">
        <f>N6*33.183*LOOKUP(N8,密度!$A$2:$A$50,密度!$E$2:$E$50)</f>
        <v>34756.776777599996</v>
      </c>
      <c r="O7" s="73" ph="1">
        <f>O6*20.428*LOOKUP(O8,密度!$A$2:$A$50,密度!$C$2:$C$50)</f>
        <v>115386.80216399999</v>
      </c>
      <c r="P7" s="73" ph="1">
        <f>P6*51.53*LOOKUP(P8,密度!$A$2:$A$50,密度!$B$2:$B$50)</f>
        <v>76915.357877999995</v>
      </c>
      <c r="Q7" s="73" ph="1">
        <f>Q6*1.5*1.5*3.1416*LOOKUP(W8,密度!$A$2:$A$50,密度!$L$2:$L$50)</f>
        <v>0</v>
      </c>
      <c r="R7" s="73" ph="1">
        <f>R6*1.5*1.5*3.1416*LOOKUP(R8,密度!$A$2:$A$50,密度!$L$2:$L$50)</f>
        <v>28433.938302000002</v>
      </c>
      <c r="S7" s="73" ph="1">
        <f>S6*1.5*1.5*3.1416*LOOKUP(S8,密度!$A$2:$A$50,密度!$L$2:$L$50)</f>
        <v>38402.968665599998</v>
      </c>
      <c r="T7" s="73" ph="1">
        <f>T6*1.5*1.5*3.1416*LOOKUP(T8,密度!$A$2:$A$50,密度!$L$2:$L$50)</f>
        <v>46926.526877999997</v>
      </c>
      <c r="U7" s="73" ph="1">
        <f>U6*1.5*1.5*3.1416*LOOKUP(U8,密度!$A$2:$A$50,密度!$L$2:$L$50)</f>
        <v>35213.503248000001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96501.207816000009</v>
      </c>
      <c r="AA7" s="73" ph="1">
        <f>AA6*33.183*LOOKUP(AA8,密度!$A$2:$A$50,密度!$D$2:$D$50)</f>
        <v>0</v>
      </c>
      <c r="AB7" s="73" ph="1">
        <f>AB6*20.428*LOOKUP(AB8,密度!$A$2:$A$50,密度!$D$2:$D$50)</f>
        <v>77918.469330000007</v>
      </c>
      <c r="AC7" s="73" ph="1">
        <f>AC6*51.53*LOOKUP(AC8,密度!$A$2:$A$50,密度!$Q$2:$Q$50)</f>
        <v>241250.41208870002</v>
      </c>
      <c r="AD7" s="73" ph="1">
        <f>AD6*20.428*LOOKUP(AD8,密度!$A$2:$A$50,密度!$V$2:$V$50)</f>
        <v>76467.282595199998</v>
      </c>
      <c r="AE7" s="73" ph="1">
        <f>AE6*20.428</f>
        <v>105551.47600000001</v>
      </c>
    </row>
    <row r="8" spans="1:99" ph="1">
      <c r="B8" s="241" ph="1"/>
      <c r="C8" s="68" t="s" ph="1">
        <v>179</v>
      </c>
      <c r="D8" s="74">
        <v>27</v>
      </c>
      <c r="E8" s="74">
        <v>27</v>
      </c>
      <c r="F8" s="74">
        <v>27</v>
      </c>
      <c r="G8" s="74">
        <v>25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32</v>
      </c>
      <c r="P8" s="74">
        <v>29</v>
      </c>
      <c r="Q8" s="74">
        <v>29</v>
      </c>
      <c r="R8" s="74">
        <v>33</v>
      </c>
      <c r="S8" s="74">
        <v>24</v>
      </c>
      <c r="T8" s="74">
        <v>23</v>
      </c>
      <c r="U8" s="74">
        <v>27</v>
      </c>
      <c r="V8" s="74">
        <v>28</v>
      </c>
      <c r="W8" s="74">
        <v>27</v>
      </c>
      <c r="X8" s="74">
        <v>29</v>
      </c>
      <c r="Y8" s="74">
        <v>26</v>
      </c>
      <c r="Z8" s="74">
        <v>26</v>
      </c>
      <c r="AA8" s="74">
        <v>32</v>
      </c>
      <c r="AB8" s="74">
        <v>22</v>
      </c>
      <c r="AC8" s="74">
        <v>30</v>
      </c>
      <c r="AD8" s="74">
        <v>31</v>
      </c>
      <c r="AE8" s="74">
        <v>28</v>
      </c>
    </row>
    <row r="9" spans="1:99" ht="26.4" ph="1">
      <c r="B9" s="241" ph="1">
        <v>0.66666666666666663</v>
      </c>
      <c r="C9" s="163" t="s" ph="1">
        <v>180</v>
      </c>
      <c r="D9" s="71">
        <v>1418</v>
      </c>
      <c r="E9" s="71">
        <v>7829</v>
      </c>
      <c r="F9" s="71">
        <v>5848</v>
      </c>
      <c r="G9" s="71">
        <v>1665</v>
      </c>
      <c r="H9" s="71">
        <v>1196</v>
      </c>
      <c r="I9" s="71">
        <v>52.43</v>
      </c>
      <c r="J9" s="71">
        <v>6.26</v>
      </c>
      <c r="K9" s="71">
        <v>8.15</v>
      </c>
      <c r="L9" s="71">
        <v>68</v>
      </c>
      <c r="M9" s="71">
        <v>6400</v>
      </c>
      <c r="N9" s="71">
        <v>1344</v>
      </c>
      <c r="O9" s="71">
        <v>5122</v>
      </c>
      <c r="P9" s="71">
        <v>1916</v>
      </c>
      <c r="Q9" s="71">
        <v>0</v>
      </c>
      <c r="R9" s="71">
        <v>0</v>
      </c>
      <c r="S9" s="71">
        <v>5401</v>
      </c>
      <c r="T9" s="71">
        <v>7076</v>
      </c>
      <c r="U9" s="71">
        <v>7020</v>
      </c>
      <c r="V9" s="71">
        <v>3789</v>
      </c>
      <c r="W9" s="71">
        <v>0</v>
      </c>
      <c r="X9" s="71">
        <v>0</v>
      </c>
      <c r="Y9" s="71">
        <v>0</v>
      </c>
      <c r="Z9" s="71">
        <v>4160</v>
      </c>
      <c r="AA9" s="71">
        <v>0</v>
      </c>
      <c r="AB9" s="71">
        <v>3706</v>
      </c>
      <c r="AC9" s="71">
        <v>5240</v>
      </c>
      <c r="AD9" s="71">
        <v>3908</v>
      </c>
      <c r="AE9" s="71">
        <v>5067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44386.972495019996</v>
      </c>
      <c r="E10" s="73" ph="1">
        <f>E9*51.53*LOOKUP(E11,密度!$A$2:$A$50,密度!$B$2:$B$50)</f>
        <v>312778.01526099996</v>
      </c>
      <c r="F10" s="73" ph="1">
        <f>F9*33.183*LOOKUP(F11,密度!$A$2:$A$50,密度!$C$2:$C$50)</f>
        <v>214604.52208560004</v>
      </c>
      <c r="G10" s="73" ph="1">
        <f xml:space="preserve"> (G9+2)*51.53*LOOKUP(G11,密度!$A$2:$A$50,密度!$B$2:$B$50)</f>
        <v>66744.69627</v>
      </c>
      <c r="H10" s="73" ph="1">
        <f>(H9)*51.53*LOOKUP(H11,密度!$A$2:$A$50,密度!$B$2:$B$50)</f>
        <v>47886.416760000007</v>
      </c>
      <c r="I10" s="73" ph="1">
        <f>I9*290.8*1.0267</f>
        <v>15653.729394799999</v>
      </c>
      <c r="J10" s="73" ph="1">
        <f>J9*290.8*0.7892</f>
        <v>1436.6659935999999</v>
      </c>
      <c r="K10" s="73" ph="1">
        <f>K9*290.8*1.1126</f>
        <v>2636.8842519999998</v>
      </c>
      <c r="L10" s="73" ph="1">
        <f>L9*290.8*0.777</f>
        <v>15364.708800000002</v>
      </c>
      <c r="M10" s="73" ph="1">
        <f>M9*33.183*LOOKUP(M11,密度!$A$2:$A$50,密度!$D$2:$D$50)</f>
        <v>217043.36640000003</v>
      </c>
      <c r="N10" s="73" ph="1">
        <f>N9*33.183*LOOKUP(N11,密度!$A$2:$A$50,密度!$E$2:$E$50)</f>
        <v>34577.684144639999</v>
      </c>
      <c r="O10" s="73" ph="1">
        <f>O9*20.428*LOOKUP(O11,密度!$A$2:$A$50,密度!$C$2:$C$50)</f>
        <v>114969.8789408</v>
      </c>
      <c r="P10" s="73" ph="1">
        <f>P9*51.53*LOOKUP(P11,密度!$A$2:$A$50,密度!$B$2:$B$50)</f>
        <v>76546.516443999993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35772.325558200006</v>
      </c>
      <c r="T10" s="73" ph="1">
        <f>T9*1.5*1.5*3.1416*LOOKUP(T11,密度!$A$2:$A$50,密度!$L$2:$L$50)</f>
        <v>46866.316543200002</v>
      </c>
      <c r="U10" s="73" ph="1">
        <f>U9*1.5*1.5*3.1416*LOOKUP(U11,密度!$A$2:$A$50,密度!$L$2:$L$50)</f>
        <v>46396.169820000003</v>
      </c>
      <c r="V10" s="73" ph="1">
        <f>V9*1.5*1.5*3.1416*LOOKUP(V11,密度!$A$2:$A$50,密度!$L$2:$L$50)</f>
        <v>25015.252323600002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128240.34912</v>
      </c>
      <c r="AA10" s="73" ph="1">
        <f>AA9*33.183*LOOKUP(AA11,密度!$A$2:$A$50,密度!$D$2:$D$50)</f>
        <v>0</v>
      </c>
      <c r="AB10" s="73" ph="1">
        <f>AB9*20.428*LOOKUP(AB11,密度!$A$2:$A$50,密度!$D$2:$D$50)</f>
        <v>77795.658236800009</v>
      </c>
      <c r="AC10" s="73" ph="1">
        <f>AC9*51.53*LOOKUP(AC11,密度!$A$2:$A$50,密度!$Q$2:$Q$50)</f>
        <v>254715.32527600002</v>
      </c>
      <c r="AD10" s="73" ph="1">
        <f>AD9*20.428*LOOKUP(AD11,密度!$A$2:$A$50,密度!$V$2:$V$50)</f>
        <v>76447.720742399993</v>
      </c>
      <c r="AE10" s="73" ph="1">
        <f>AE9*20.428</f>
        <v>103508.67600000001</v>
      </c>
    </row>
    <row r="11" spans="1:99" ph="1">
      <c r="A11" s="64" t="s" ph="1">
        <v>162</v>
      </c>
      <c r="B11" s="241" ph="1"/>
      <c r="C11" s="163" t="s" ph="1">
        <v>179</v>
      </c>
      <c r="D11" s="74">
        <v>30</v>
      </c>
      <c r="E11" s="74">
        <v>30</v>
      </c>
      <c r="F11" s="74">
        <v>29</v>
      </c>
      <c r="G11" s="74">
        <v>28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32</v>
      </c>
      <c r="O11" s="74">
        <v>36</v>
      </c>
      <c r="P11" s="74">
        <v>30</v>
      </c>
      <c r="Q11" s="74">
        <v>39</v>
      </c>
      <c r="R11" s="74">
        <v>37</v>
      </c>
      <c r="S11" s="74">
        <v>25</v>
      </c>
      <c r="T11" s="74">
        <v>25</v>
      </c>
      <c r="U11" s="74">
        <v>27</v>
      </c>
      <c r="V11" s="74">
        <v>28</v>
      </c>
      <c r="W11" s="74">
        <v>29</v>
      </c>
      <c r="X11" s="74">
        <v>25</v>
      </c>
      <c r="Y11" s="74">
        <v>30</v>
      </c>
      <c r="Z11" s="74">
        <v>33</v>
      </c>
      <c r="AA11" s="74">
        <v>45</v>
      </c>
      <c r="AB11" s="74">
        <v>24</v>
      </c>
      <c r="AC11" s="74">
        <v>30</v>
      </c>
      <c r="AD11" s="74">
        <v>36</v>
      </c>
      <c r="AE11" s="74">
        <v>30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638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277</v>
      </c>
      <c r="E15" s="78">
        <v>6210</v>
      </c>
      <c r="F15" s="78">
        <v>3011</v>
      </c>
      <c r="G15" s="78">
        <v>4350</v>
      </c>
      <c r="H15" s="78">
        <v>0</v>
      </c>
      <c r="I15" s="78">
        <v>2595</v>
      </c>
      <c r="J15" s="78">
        <v>2470</v>
      </c>
      <c r="K15" s="78">
        <v>2282</v>
      </c>
      <c r="L15" s="78">
        <v>3585</v>
      </c>
      <c r="M15" s="78">
        <v>6521</v>
      </c>
      <c r="N15" s="78">
        <v>1836</v>
      </c>
      <c r="O15" s="78">
        <v>3760</v>
      </c>
      <c r="P15" s="78">
        <v>1048</v>
      </c>
      <c r="Q15" s="78">
        <v>0</v>
      </c>
      <c r="R15" s="78">
        <v>0</v>
      </c>
      <c r="S15" s="78">
        <v>0</v>
      </c>
      <c r="T15" s="78">
        <v>4098</v>
      </c>
      <c r="U15" s="78">
        <v>4883</v>
      </c>
      <c r="V15" s="78">
        <v>2025</v>
      </c>
      <c r="W15" s="71">
        <v>931</v>
      </c>
      <c r="X15" s="78">
        <v>1391</v>
      </c>
      <c r="Y15" s="106">
        <v>-2370</v>
      </c>
      <c r="Z15" s="78">
        <v>1955</v>
      </c>
      <c r="AA15" s="78">
        <v>2598</v>
      </c>
      <c r="AB15" s="78" ph="1">
        <v>5357</v>
      </c>
      <c r="AC15" s="78" ph="1">
        <v>7324</v>
      </c>
      <c r="AD15" s="78">
        <v>5.54</v>
      </c>
      <c r="AE15" s="78">
        <v>67.430000000000007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1832.6900592</v>
      </c>
      <c r="E16" s="73" ph="1">
        <f>E15*7.0686*LOOKUP(E17,密度!$A$2:$A$50,密度!$L$2:$L$50)</f>
        <v>41086.661616000005</v>
      </c>
      <c r="F16" s="73" ph="1">
        <f>F15*9.0746*LOOKUP(F17,密度!$A$2:$A$50,密度!$L$2:$L$50)</f>
        <v>25410.967158000003</v>
      </c>
      <c r="G16" s="73" ph="1">
        <f>G15*9.0746*LOOKUP(G17,密度!$A$2:$A$50,密度!$B$2:$B$50)</f>
        <v>30640.114662</v>
      </c>
      <c r="H16" s="73" ph="1">
        <f>H15*9.0746*LOOKUP(H17,密度!$A$2:$A$50,密度!$L$2:$L$50)</f>
        <v>0</v>
      </c>
      <c r="I16" s="73" ph="1">
        <f>I15*9.0746*LOOKUP(I17,密度!$A$2:$A$50,密度!$U$2:$U$50)</f>
        <v>24137.301674999999</v>
      </c>
      <c r="J16" s="73" ph="1">
        <f>J15*9.0746*LOOKUP(J17,密度!$A$2:$A$50,密度!$L$2:$L$50)</f>
        <v>20710.778087999999</v>
      </c>
      <c r="K16" s="73" ph="1">
        <f>K15*9.0746*LOOKUP(K17,密度!$A$2:$A$50,密度!$C$2:$C$50)</f>
        <v>22884.67292972</v>
      </c>
      <c r="L16" s="73" ph="1">
        <f>L15*9.0746*LOOKUP(L17,密度!$A$2:$A$50,密度!$E$2:$E$50)</f>
        <v>25297.226121600001</v>
      </c>
      <c r="M16" s="73" ph="1">
        <f>M15*9.0746*LOOKUP(M17,密度!$A$2:$A$50,密度!$M$2:$M$50)</f>
        <v>51476.738395339999</v>
      </c>
      <c r="N16" s="73" ph="1">
        <f>N15*9.0746*LOOKUP(N17,密度!$A$2:$A$50,密度!$M$2:$M$50)</f>
        <v>14563.350030959999</v>
      </c>
      <c r="O16" s="73" ph="1">
        <f>O15*9.0746*LOOKUP(O17,密度!$A$2:$A$50,密度!$G$2:$G$50)</f>
        <v>32574.837531199999</v>
      </c>
      <c r="P16" s="73" ph="1">
        <f ca="1">P15*9.0746*LOOKUP(P17,密度!$A$2:$A$51,密度!$Q$2:$Q$50)</f>
        <v>8996.9163422239999</v>
      </c>
      <c r="Q16" s="73" ph="1">
        <f>Q15*9.0746*LOOKUP(Q17,密度!$A$2:$A$50,密度!$Q$2:$Q$50)</f>
        <v>0</v>
      </c>
      <c r="R16" s="73" ph="1">
        <f>MAX(R15*9.0746*LOOKUP(R17,密度!$A$2:$A$50,密度!$B$2:$B$50),0)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34435.820200800001</v>
      </c>
      <c r="U16" s="73" ph="1">
        <f>U15*9.0746*LOOKUP(U17,密度!$A$2:$A$50,密度!$H$2:$H$50)</f>
        <v>40451.760026220007</v>
      </c>
      <c r="V16" s="73" ph="1">
        <f>MAX(5600*LOOKUP(V17,密度!$A$2:$A$50,密度!$Q$2:$Q$50)+V15*9.0476*LOOKUP(V17,密度!$A$2:$A$50,密度!$Q$2:$Q$50),0)</f>
        <v>22565.764828700001</v>
      </c>
      <c r="W16" s="73" ph="1">
        <f>MAX(5600*LOOKUP(W17,密度!$A$2:$A$50,密度!$Q$2:$Q$50)+W15*9.0476*LOOKUP(W17,密度!$A$2:$A$50,密度!$Q$2:$Q$50),0)</f>
        <v>13228.614304948</v>
      </c>
      <c r="X16" s="73" ph="1">
        <f>MAX(5600*LOOKUP(X17,密度!$A$2:$A$50,密度!$I$2:$I$50)+X15*9.0476*LOOKUP(X17,密度!$A$2:$A$50,密度!$I$2:$I$50),0)</f>
        <v>18852.608865719998</v>
      </c>
      <c r="Y16" s="107" ph="1">
        <v>0</v>
      </c>
      <c r="Z16" s="73" ph="1">
        <f>Z15*9.0746*LOOKUP(Z17,密度!$A$2:$A$50,密度!$D$2:$D$50)</f>
        <v>18131.141546000003</v>
      </c>
      <c r="AA16" s="73" ph="1">
        <f>AA15*9.0746*LOOKUP(AA17,密度!$A$2:$A$50,密度!$B$2:$B$50)</f>
        <v>18299.544342959998</v>
      </c>
      <c r="AB16" s="73" ph="1">
        <f>AB15*9.0746*LOOKUP(AB17,密度!$A$2:$A$50,密度!$L$2:$L$50)</f>
        <v>45161.135313800005</v>
      </c>
      <c r="AC16" s="73" ph="1">
        <f>AC15*9.0746*LOOKUP(AC17,密度!$A$2:$A$50,密度!$L$2:$L$50)</f>
        <v>62009.391583200006</v>
      </c>
      <c r="AD16" s="73" ph="1">
        <f>AD15*268.68*LOOKUP(AD17,密度!$A$2:$A$50,密度!B2:B50)+IF(AD15&lt;=0,0,1566*LOOKUP(AD17,密度!$A$2:$A$50,密度!B2:B50))</f>
        <v>2381.2782211200001</v>
      </c>
      <c r="AE16" s="73" ph="1">
        <f>AE15*268.68*LOOKUP(AE17,密度!$A$2:$A$50,密度!B2:B50)+IF(AE15&lt;=0,0,1566*LOOKUP(AE17,密度!$A$2:$A$50,密度!B2:B50))</f>
        <v>15344.93883504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26</v>
      </c>
      <c r="E17" s="74">
        <v>26</v>
      </c>
      <c r="F17" s="74">
        <v>32</v>
      </c>
      <c r="G17" s="74">
        <v>29</v>
      </c>
      <c r="H17" s="74">
        <v>22</v>
      </c>
      <c r="I17" s="74">
        <v>25</v>
      </c>
      <c r="J17" s="74">
        <v>38</v>
      </c>
      <c r="K17" s="74">
        <v>30</v>
      </c>
      <c r="L17" s="74">
        <v>30</v>
      </c>
      <c r="M17" s="74">
        <v>30</v>
      </c>
      <c r="N17" s="74">
        <v>26</v>
      </c>
      <c r="O17" s="74">
        <v>30</v>
      </c>
      <c r="P17" s="74">
        <v>26</v>
      </c>
      <c r="Q17" s="74">
        <v>26</v>
      </c>
      <c r="R17" s="74">
        <v>26</v>
      </c>
      <c r="S17" s="74">
        <v>27</v>
      </c>
      <c r="T17" s="74">
        <v>29</v>
      </c>
      <c r="U17" s="74">
        <v>27</v>
      </c>
      <c r="V17" s="74">
        <v>30</v>
      </c>
      <c r="W17" s="74">
        <v>30</v>
      </c>
      <c r="X17" s="74">
        <v>30</v>
      </c>
      <c r="Y17" s="108">
        <v>30</v>
      </c>
      <c r="Z17" s="74">
        <v>30</v>
      </c>
      <c r="AA17" s="74">
        <v>29</v>
      </c>
      <c r="AB17" s="74">
        <v>33</v>
      </c>
      <c r="AC17" s="74">
        <v>29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1902</v>
      </c>
      <c r="E18" s="71">
        <v>3758</v>
      </c>
      <c r="F18" s="71">
        <v>3018</v>
      </c>
      <c r="G18" s="71">
        <v>4423</v>
      </c>
      <c r="H18" s="71">
        <v>0</v>
      </c>
      <c r="I18" s="71">
        <v>5174</v>
      </c>
      <c r="J18" s="71">
        <v>3138</v>
      </c>
      <c r="K18" s="71">
        <v>2283</v>
      </c>
      <c r="L18" s="71">
        <v>3587</v>
      </c>
      <c r="M18" s="71">
        <v>3567</v>
      </c>
      <c r="N18" s="71">
        <v>1837</v>
      </c>
      <c r="O18" s="71">
        <v>3761</v>
      </c>
      <c r="P18" s="71">
        <v>1046</v>
      </c>
      <c r="Q18" s="71">
        <v>0</v>
      </c>
      <c r="R18" s="71">
        <v>0</v>
      </c>
      <c r="S18" s="71">
        <v>0</v>
      </c>
      <c r="T18" s="71">
        <v>4099</v>
      </c>
      <c r="U18" s="71">
        <v>4884</v>
      </c>
      <c r="V18" s="71">
        <v>2636</v>
      </c>
      <c r="W18" s="71">
        <v>997</v>
      </c>
      <c r="X18" s="71">
        <v>1389</v>
      </c>
      <c r="Y18" s="109">
        <v>-9908</v>
      </c>
      <c r="Z18" s="71">
        <v>1954</v>
      </c>
      <c r="AA18" s="71">
        <v>2600</v>
      </c>
      <c r="AB18" s="71">
        <v>5357</v>
      </c>
      <c r="AC18" s="71">
        <v>7324</v>
      </c>
      <c r="AD18" s="71">
        <v>40</v>
      </c>
      <c r="AE18" s="71">
        <v>84.89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12476.4748416</v>
      </c>
      <c r="E19" s="73" ph="1">
        <f>E18*7.0686*LOOKUP(E20,密度!$A$2:$A$50,密度!$L$2:$L$50)</f>
        <v>24651.205286400003</v>
      </c>
      <c r="F19" s="73" ph="1">
        <f>F18*9.0746*LOOKUP(F20,密度!$A$2:$A$50,密度!$L$2:$L$50)</f>
        <v>25415.268518400004</v>
      </c>
      <c r="G19" s="73" ph="1">
        <f>G18*9.0746*LOOKUP(G20,密度!$A$2:$A$50,密度!$B$2:$B$50)</f>
        <v>31154.305091960003</v>
      </c>
      <c r="H19" s="73" ph="1">
        <f>H18*9.0746*LOOKUP(H20,密度!$A$2:$A$50,密度!$L$2:$L$50)</f>
        <v>0</v>
      </c>
      <c r="I19" s="73" ph="1">
        <f>I18*9.0746*LOOKUP(I20,密度!$A$2:$A$50,密度!$U$2:$U$50)</f>
        <v>47543.575353039996</v>
      </c>
      <c r="J19" s="73" ph="1">
        <f>J18*9.0746*LOOKUP(J20,密度!$A$2:$A$50,密度!$L$2:$L$50)</f>
        <v>26254.959405599999</v>
      </c>
      <c r="K19" s="73" ph="1">
        <f>K18*9.0746*LOOKUP(K20,密度!$A$2:$A$50,密度!$C$2:$C$50)</f>
        <v>22894.701270179998</v>
      </c>
      <c r="L19" s="73" ph="1">
        <f>L18*9.0746*LOOKUP(L20,密度!$A$2:$A$50,密度!$E$2:$E$50)</f>
        <v>25273.905760789999</v>
      </c>
      <c r="M19" s="73" ph="1">
        <f>M18*9.0746*LOOKUP(M20,密度!$A$2:$A$50,密度!$M$2:$M$50)</f>
        <v>28124.538353034</v>
      </c>
      <c r="N19" s="73" ph="1">
        <f>N18*9.0746*LOOKUP(N20,密度!$A$2:$A$50,密度!$M$2:$M$50)</f>
        <v>14536.275054399999</v>
      </c>
      <c r="O19" s="73" ph="1">
        <f>O18*9.0746*LOOKUP(O20,密度!$A$2:$A$50,密度!$G$2:$G$50)</f>
        <v>32583.50105182</v>
      </c>
      <c r="P19" s="73" ph="1">
        <f ca="1">P18*9.0746*LOOKUP(P20,密度!$A$2:$A$51,密度!$Q$2:$Q$50)</f>
        <v>8928.1100026439999</v>
      </c>
      <c r="Q19" s="73" ph="1">
        <f>Q18*9.0746*LOOKUP(Q20,密度!$A$2:$A$50,密度!$Q$2:$Q$50)</f>
        <v>0</v>
      </c>
      <c r="R19" s="73" ph="1">
        <f>MAX(R18*9.0746*LOOKUP(R20,密度!$A$2:$A$50,密度!$B$2:$B$50),0)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34325.193567119997</v>
      </c>
      <c r="U19" s="73" ph="1">
        <f>U18*9.0746*LOOKUP(U20,密度!$A$2:$A$50,密度!$H$2:$H$50)</f>
        <v>40331.515224000002</v>
      </c>
      <c r="V19" s="73" ph="1">
        <f>MAX(5600*LOOKUP(V20,密度!$A$2:$A$50,密度!$Q$2:$Q$50)+V18*9.0476*LOOKUP(V20,密度!$A$2:$A$50,密度!$Q$2:$Q$50),0)</f>
        <v>27699.880373423999</v>
      </c>
      <c r="W19" s="73" ph="1">
        <f>MAX(5600*LOOKUP(W20,密度!$A$2:$A$50,密度!$Q$2:$Q$50)+W18*9.0476*LOOKUP(W20,密度!$A$2:$A$50,密度!$Q$2:$Q$50),0)</f>
        <v>13751.855837747999</v>
      </c>
      <c r="X19" s="73" ph="1">
        <f>MAX(5600*LOOKUP(X20,密度!$A$2:$A$50,密度!$I$2:$I$50)+X18*9.0476*LOOKUP(X20,密度!$A$2:$A$50,密度!$I$2:$I$50),0)</f>
        <v>18833.849571879997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18105.908713239998</v>
      </c>
      <c r="AA19" s="73" ph="1">
        <f>AA18*9.0746*LOOKUP(AA20,密度!$A$2:$A$50,密度!$B$2:$B$50)</f>
        <v>18292.397187999999</v>
      </c>
      <c r="AB19" s="73" ph="1">
        <f>AB18*9.0746*LOOKUP(AB20,密度!$A$2:$A$50,密度!$L$2:$L$50)</f>
        <v>45209.747946000003</v>
      </c>
      <c r="AC19" s="73" ph="1">
        <f>AC18*9.0746*LOOKUP(AC20,密度!$A$2:$A$50,密度!$L$2:$L$50)</f>
        <v>61942.929212800002</v>
      </c>
      <c r="AD19" s="73" ph="1">
        <f>AD18*268.68*LOOKUP(AD20,密度!$A$2:$A$50,密度!B5:B53)+IF(AD18&lt;=0,0,1566*LOOKUP(AD20,密度!$A$2:$A$50,密度!B5:B53))</f>
        <v>9567.3564000000006</v>
      </c>
      <c r="AE19" s="73" ph="1">
        <f>AE18*268.68*LOOKUP(AE20,密度!$A$2:$A$50,密度!B5:B53)+IF(AE18&lt;=0,0,1566*LOOKUP(AE20,密度!$A$2:$A$50,密度!B5:B53))</f>
        <v>18938.788520400001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34</v>
      </c>
      <c r="E20" s="81">
        <v>34</v>
      </c>
      <c r="F20" s="81">
        <v>34</v>
      </c>
      <c r="G20" s="81">
        <v>29</v>
      </c>
      <c r="H20" s="81">
        <v>26</v>
      </c>
      <c r="I20" s="81">
        <v>38</v>
      </c>
      <c r="J20" s="81">
        <v>40</v>
      </c>
      <c r="K20" s="81">
        <v>30</v>
      </c>
      <c r="L20" s="81">
        <v>31</v>
      </c>
      <c r="M20" s="81">
        <v>31</v>
      </c>
      <c r="N20" s="81">
        <v>28</v>
      </c>
      <c r="O20" s="81">
        <v>30</v>
      </c>
      <c r="P20" s="81">
        <v>34</v>
      </c>
      <c r="Q20" s="81">
        <v>34</v>
      </c>
      <c r="R20" s="81">
        <v>31</v>
      </c>
      <c r="S20" s="81">
        <v>32</v>
      </c>
      <c r="T20" s="81">
        <v>31</v>
      </c>
      <c r="U20" s="81">
        <v>30</v>
      </c>
      <c r="V20" s="81">
        <v>34</v>
      </c>
      <c r="W20" s="81">
        <v>34</v>
      </c>
      <c r="X20" s="81">
        <v>30</v>
      </c>
      <c r="Y20" s="110">
        <v>30</v>
      </c>
      <c r="Z20" s="81">
        <v>31</v>
      </c>
      <c r="AA20" s="81">
        <v>30</v>
      </c>
      <c r="AB20" s="81">
        <v>32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639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3.13</v>
      </c>
      <c r="E24" s="71">
        <v>0</v>
      </c>
      <c r="F24" s="71">
        <v>1549</v>
      </c>
      <c r="G24" s="71">
        <v>3577</v>
      </c>
      <c r="H24" s="71">
        <v>3046</v>
      </c>
      <c r="I24" s="71">
        <v>2798</v>
      </c>
      <c r="J24" s="71">
        <v>209</v>
      </c>
      <c r="K24" s="71">
        <v>248</v>
      </c>
      <c r="L24" s="71">
        <v>471</v>
      </c>
      <c r="M24" s="71">
        <v>360</v>
      </c>
      <c r="N24" s="71">
        <v>227</v>
      </c>
      <c r="O24" s="71">
        <v>1674</v>
      </c>
      <c r="P24" s="71">
        <v>1965</v>
      </c>
      <c r="Q24" s="90">
        <v>2389</v>
      </c>
      <c r="R24" s="71">
        <v>4229</v>
      </c>
      <c r="S24" s="71">
        <v>5506</v>
      </c>
      <c r="T24" s="71">
        <v>506</v>
      </c>
      <c r="U24" s="71">
        <v>5555</v>
      </c>
      <c r="V24" s="71">
        <v>1017</v>
      </c>
      <c r="W24" s="71">
        <v>8683</v>
      </c>
      <c r="X24" s="71">
        <v>3259</v>
      </c>
      <c r="Y24" s="71">
        <v>4095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2278.7732630159999</v>
      </c>
      <c r="E25" s="91" ph="1">
        <f>E24*268.68*LOOKUP(E26,密度!$A$2:$A$50,密度!$C$2:$C$50)+IF(E24&lt;=0,0,1566*LOOKUP(E26,密度!$A$2:$A$50,密度!$C$2:$C$50))</f>
        <v>0</v>
      </c>
      <c r="F25" s="91" ph="1">
        <f>F24*11.702*LOOKUP(F26,密度!$A$2:$A$50,密度!$Q$2:$Q$50)</f>
        <v>17135.246557360002</v>
      </c>
      <c r="G25" s="91" ph="1">
        <f>G24*18.322*LOOKUP(G26,密度!$A$2:$A$50,密度!$B$2:$B$50)</f>
        <v>50922.865937999995</v>
      </c>
      <c r="H25" s="91" ph="1">
        <f>H24*18.322*LOOKUP(H26,密度!$A$2:$A$50,密度!$B$2:$B$50)</f>
        <v>43363.446923999996</v>
      </c>
      <c r="I25" s="91" ph="1">
        <f>I24*18.322*LOOKUP(I26,密度!$A$2:$A$50,密度!$Q$2:$Q$50)</f>
        <v>48498.186324679999</v>
      </c>
      <c r="J25" s="91" ph="1">
        <f>J24*18.322*LOOKUP(J26,密度!$A$2:$A$50,密度!$Q$2:$Q$50)</f>
        <v>3617.2314767599996</v>
      </c>
      <c r="K25" s="91" ph="1">
        <f>K24*18.322*LOOKUP(K26,密度!$A$2:$A$50,密度!$Q$2:$Q$50)</f>
        <v>4289.0819940800002</v>
      </c>
      <c r="L25" s="91" ph="1">
        <f>L24*18.322*LOOKUP(L26,密度!$A$2:$A$50,密度!$Q$2:$Q$50)</f>
        <v>8151.7513184400004</v>
      </c>
      <c r="M25" s="91" ph="1">
        <f>M24*18.322*LOOKUP(M26,密度!$A$2:$A$50,密度!$Q$2:$Q$50)</f>
        <v>6230.6379504000006</v>
      </c>
      <c r="N25" s="91" ph="1">
        <f>N24*18.322*LOOKUP(N26,密度!$A$2:$A$50,密度!$Q$2:$Q$50)</f>
        <v>3931.6747400800004</v>
      </c>
      <c r="O25" s="91" ph="1">
        <f>O24*18.322*LOOKUP(O26,密度!$A$2:$A$50,密度!$C$2:$C$50)</f>
        <v>33940.559584800001</v>
      </c>
      <c r="P25" s="91" ph="1">
        <f>P24*11.702*LOOKUP(P26,密度!$A$2:$A$50,密度!$B$2:$B$50)</f>
        <v>17887.367097000002</v>
      </c>
      <c r="Q25" s="92" ph="1">
        <f>Q24*18.322*LOOKUP(Q26,密度!$A$2:$A$50,密度!$B$2:$B$50)</f>
        <v>34084.678604599998</v>
      </c>
      <c r="R25" s="91" ph="1">
        <f>R24*35.891*LOOKUP(R26,密度!$A$2:$A$50,密度!$C$2:$C$50)</f>
        <v>168084.53738859997</v>
      </c>
      <c r="S25" s="91" ph="1">
        <f>S24*35.891*LOOKUP(S26,密度!$A$2:$A$50,密度!$B$2:$B$50)</f>
        <v>153725.36660340001</v>
      </c>
      <c r="T25" s="91" ph="1">
        <f>T24*35.891*LOOKUP(T26,密度!$A$2:$A$50,密度!$Q$2:$Q$50)</f>
        <v>17142.567364779999</v>
      </c>
      <c r="U25" s="91" ph="1">
        <f>U24*35.891</f>
        <v>199374.505</v>
      </c>
      <c r="V25" s="91" ph="1">
        <f>V24*47.051*LOOKUP(V26,密度!$A$2:$A$50,密度!$B$2:$B$50)</f>
        <v>37347.601693500001</v>
      </c>
      <c r="W25" s="91" ph="1">
        <f>W24*47.051*LOOKUP(W26,密度!$A$2:$A$50,密度!$B$2:$B$50)</f>
        <v>318500.7722068</v>
      </c>
      <c r="X25" s="91" ph="1">
        <f>X24*47.051*LOOKUP(X26,密度!$A$2:$A$61,密度!$I$2:$I$61)</f>
        <v>159656.7844108</v>
      </c>
      <c r="Y25" s="91" ph="1">
        <f>Y24*47.051*LOOKUP(Y26,密度!$A$2:$A$50,密度!$L$2:$L$50)</f>
        <v>179572.02354000002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27</v>
      </c>
      <c r="G26" s="74">
        <v>28</v>
      </c>
      <c r="H26" s="74">
        <v>28</v>
      </c>
      <c r="I26" s="74">
        <v>26</v>
      </c>
      <c r="J26" s="74">
        <v>28</v>
      </c>
      <c r="K26" s="74">
        <v>29</v>
      </c>
      <c r="L26" s="74">
        <v>28</v>
      </c>
      <c r="M26" s="74">
        <v>28</v>
      </c>
      <c r="N26" s="74">
        <v>27</v>
      </c>
      <c r="O26" s="74">
        <v>28</v>
      </c>
      <c r="P26" s="74">
        <v>27</v>
      </c>
      <c r="Q26" s="93">
        <v>26</v>
      </c>
      <c r="R26" s="74">
        <v>27</v>
      </c>
      <c r="S26" s="74">
        <v>27</v>
      </c>
      <c r="T26" s="74">
        <v>29</v>
      </c>
      <c r="U26" s="74">
        <v>25</v>
      </c>
      <c r="V26" s="74">
        <v>24</v>
      </c>
      <c r="W26" s="74">
        <v>25</v>
      </c>
      <c r="X26" s="74">
        <v>26</v>
      </c>
      <c r="Y26" s="74">
        <v>30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3.11</v>
      </c>
      <c r="E27" s="71">
        <v>11.34</v>
      </c>
      <c r="F27" s="71">
        <v>1549</v>
      </c>
      <c r="G27" s="71">
        <v>2802</v>
      </c>
      <c r="H27" s="71">
        <v>2589</v>
      </c>
      <c r="I27" s="71">
        <v>1630</v>
      </c>
      <c r="J27" s="71">
        <v>202</v>
      </c>
      <c r="K27" s="71">
        <v>244</v>
      </c>
      <c r="L27" s="71">
        <v>466</v>
      </c>
      <c r="M27" s="71">
        <v>356</v>
      </c>
      <c r="N27" s="71">
        <v>224</v>
      </c>
      <c r="O27" s="71">
        <v>1669</v>
      </c>
      <c r="P27" s="71">
        <v>729</v>
      </c>
      <c r="Q27" s="90">
        <v>2693</v>
      </c>
      <c r="R27" s="71">
        <v>4576</v>
      </c>
      <c r="S27" s="71">
        <v>5502</v>
      </c>
      <c r="T27" s="71">
        <v>504</v>
      </c>
      <c r="U27" s="71">
        <v>5612</v>
      </c>
      <c r="V27" s="71">
        <v>1014</v>
      </c>
      <c r="W27" s="71">
        <v>8684</v>
      </c>
      <c r="X27" s="71">
        <v>3134</v>
      </c>
      <c r="Y27" s="71">
        <v>2487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2273.685860952</v>
      </c>
      <c r="E28" s="91" ph="1">
        <f>E27*268.68*LOOKUP(E29,密度!$A$2:$A$50,密度!$C$2:$C$50)+IF(E27&lt;=0,0,1566*LOOKUP(E29,密度!$A$2:$A$50,密度!$C$2:$C$50))</f>
        <v>5115.1685176800001</v>
      </c>
      <c r="F28" s="91" ph="1">
        <f>F27*11.702*LOOKUP(F29,密度!$A$2:$A$50,密度!$Q$2:$Q$50)</f>
        <v>17099.175025340002</v>
      </c>
      <c r="G28" s="91" ph="1">
        <f>G27*18.322*LOOKUP(G29,密度!$A$2:$A$50,密度!$B$2:$B$50)</f>
        <v>39710.131733999995</v>
      </c>
      <c r="H28" s="91" ph="1">
        <f>H27*18.322*LOOKUP(H29,密度!$A$2:$A$50,密度!$B$2:$B$50)</f>
        <v>36691.481462999996</v>
      </c>
      <c r="I28" s="91" ph="1">
        <f>I27*18.322*LOOKUP(I29,密度!$A$2:$A$50,密度!$Q$2:$Q$50)</f>
        <v>28172.418383799995</v>
      </c>
      <c r="J28" s="91" ph="1">
        <f>J27*18.322*LOOKUP(J29,密度!$A$2:$A$50,密度!$Q$2:$Q$50)</f>
        <v>3467.21204008</v>
      </c>
      <c r="K28" s="91" ph="1">
        <f>K27*18.322*LOOKUP(K29,密度!$A$2:$A$50,密度!$Q$2:$Q$50)</f>
        <v>4210.8279991999998</v>
      </c>
      <c r="L28" s="91" ph="1">
        <f>L27*18.322*LOOKUP(L29,密度!$A$2:$A$50,密度!$Q$2:$Q$50)</f>
        <v>8054.2005931599997</v>
      </c>
      <c r="M28" s="91" ph="1">
        <f>M27*18.322*LOOKUP(M29,密度!$A$2:$A$50,密度!$Q$2:$Q$50)</f>
        <v>6114.3152368000001</v>
      </c>
      <c r="N28" s="91" ph="1">
        <f>N27*18.322*LOOKUP(N29,密度!$A$2:$A$50,密度!$Q$2:$Q$50)</f>
        <v>3863.0104799999999</v>
      </c>
      <c r="O28" s="91" ph="1">
        <f>O27*18.322*LOOKUP(O29,密度!$A$2:$A$50,密度!$C$2:$C$50)</f>
        <v>33817.7783662</v>
      </c>
      <c r="P28" s="91" ph="1">
        <f>P27*11.702*LOOKUP(P29,密度!$A$2:$A$50,密度!$B$2:$B$50)</f>
        <v>6613.8966774</v>
      </c>
      <c r="Q28" s="92" ph="1">
        <f>Q27*18.322*LOOKUP(Q29,密度!$A$2:$A$50,密度!$B$2:$B$50)</f>
        <v>38125.903514200007</v>
      </c>
      <c r="R28" s="91" ph="1">
        <f>R27*35.891*LOOKUP(R29,密度!$A$2:$A$50,密度!$C$2:$C$50)</f>
        <v>181334.31018559998</v>
      </c>
      <c r="S28" s="91" ph="1">
        <f>S27*35.891*LOOKUP(S29,密度!$A$2:$A$50,密度!$B$2:$B$50)</f>
        <v>153100.26023459999</v>
      </c>
      <c r="T28" s="91" ph="1">
        <f>T27*35.891*LOOKUP(T29,密度!$A$2:$A$50,密度!$Q$2:$Q$50)</f>
        <v>17038.089381599999</v>
      </c>
      <c r="U28" s="91" ph="1">
        <f>U27*35.891</f>
        <v>201420.29199999999</v>
      </c>
      <c r="V28" s="91" ph="1">
        <f>V27*47.051*LOOKUP(V29,密度!$A$2:$A$50,密度!$B$2:$B$50)</f>
        <v>37151.554291799999</v>
      </c>
      <c r="W28" s="91" ph="1">
        <f>W27*47.051*LOOKUP(W29,密度!$A$2:$A$50,密度!$B$2:$B$50)</f>
        <v>318905.184962</v>
      </c>
      <c r="X28" s="91" ph="1">
        <f>X27*47.051*LOOKUP(X29,密度!$A$2:$A$61,密度!$I$2:$I$61)</f>
        <v>153533.09676079999</v>
      </c>
      <c r="Y28" s="91" ph="1">
        <f>Y27*47.051*LOOKUP(Y29,密度!$A$2:$A$50,密度!$L$2:$L$50)</f>
        <v>108473.680899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30</v>
      </c>
      <c r="G29" s="74">
        <v>32</v>
      </c>
      <c r="H29" s="74">
        <v>32</v>
      </c>
      <c r="I29" s="74">
        <v>30</v>
      </c>
      <c r="J29" s="74">
        <v>40</v>
      </c>
      <c r="K29" s="74">
        <v>32</v>
      </c>
      <c r="L29" s="74">
        <v>30</v>
      </c>
      <c r="M29" s="74">
        <v>39</v>
      </c>
      <c r="N29" s="74">
        <v>33</v>
      </c>
      <c r="O29" s="74">
        <v>29</v>
      </c>
      <c r="P29" s="74">
        <v>30</v>
      </c>
      <c r="Q29" s="93">
        <v>33</v>
      </c>
      <c r="R29" s="74">
        <v>31</v>
      </c>
      <c r="S29" s="74">
        <v>30</v>
      </c>
      <c r="T29" s="74">
        <v>32</v>
      </c>
      <c r="U29" s="74">
        <v>30</v>
      </c>
      <c r="V29" s="74">
        <v>26</v>
      </c>
      <c r="W29" s="74">
        <v>24</v>
      </c>
      <c r="X29" s="74">
        <v>26</v>
      </c>
      <c r="Y29" s="74">
        <v>35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95901.566950040011</v>
      </c>
      <c r="E33" s="190" ph="1">
        <f>M10+I10</f>
        <v>232697.09579480003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[[#This Row],[F25]]</f>
        <v>3880</v>
      </c>
      <c r="G33" s="216" ph="1">
        <f>N19</f>
        <v>14536.275054399999</v>
      </c>
      <c r="H33" s="190" ph="1">
        <f>M19</f>
        <v>28124.538353034</v>
      </c>
      <c r="I33" s="194" ph="1">
        <v>0</v>
      </c>
      <c r="J33" s="198" ph="1">
        <f>F10+O28</f>
        <v>248422.30045180005</v>
      </c>
      <c r="K33" s="190" ph="1">
        <f>O10+K10+E28+R28</f>
        <v>304056.24189607997</v>
      </c>
      <c r="L33" s="200" ph="1">
        <f>K19</f>
        <v>22894.701270179998</v>
      </c>
      <c r="M33" s="198" ph="1">
        <f>G10+H10+W28+S28+V28+E10+R19+P28+Q28</f>
        <v>981305.92797099997</v>
      </c>
      <c r="N33" s="190" ph="1">
        <f>L10+P10++G28+H28+AD19+AE19</f>
        <v>196818.98336139999</v>
      </c>
      <c r="O33" s="194" ph="1">
        <f>G19</f>
        <v>31154.305091960003</v>
      </c>
      <c r="P33" s="198" ph="1">
        <f>L19</f>
        <v>25273.905760789999</v>
      </c>
      <c r="Q33" s="190" ph="1">
        <f>J10+N10</f>
        <v>36014.350138239999</v>
      </c>
      <c r="R33" s="194" ph="1">
        <f>BE23</f>
        <v>890</v>
      </c>
      <c r="S33" s="198" ph="1">
        <f>X28</f>
        <v>153533.09676079999</v>
      </c>
      <c r="T33" s="190" ph="1">
        <f>X19</f>
        <v>18833.849571879997</v>
      </c>
      <c r="U33" s="179" ph="1">
        <f>BE21</f>
        <v>730</v>
      </c>
      <c r="V33" s="192" ph="1">
        <f ca="1">P19+Q19+S19+M28+N28+J28+D10+AC10+D19+E19+H19+J19+O19+V19+W19+K28+L28</f>
        <v>471157.85091949592</v>
      </c>
      <c r="W33" s="192" ph="1">
        <f>D28+F28+T28+I28</f>
        <v>64583.368651691992</v>
      </c>
      <c r="X33" s="194" ph="1">
        <f>BE29+BE31</f>
        <v>10200</v>
      </c>
      <c r="Y33" s="196" ph="1">
        <f>+Q10+R10+S10+T10+U10+V10+W10+X10+Y10</f>
        <v>154050.06424500002</v>
      </c>
      <c r="Z33" s="177" ph="1">
        <f>T19+U19+Y28+Z10</f>
        <v>311370.73881012003</v>
      </c>
      <c r="AA33" s="179" ph="1">
        <f>BE19</f>
        <v>1440</v>
      </c>
      <c r="AB33" s="181" ph="1">
        <f>I19</f>
        <v>47543.575353039996</v>
      </c>
      <c r="AC33" s="183" ph="1">
        <f>AD10+AB19</f>
        <v>121657.4686884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640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29" priority="100">
      <formula>ABS(D$7-D$10)&gt;=1000</formula>
    </cfRule>
  </conditionalFormatting>
  <conditionalFormatting sqref="E4 E6:E11">
    <cfRule type="expression" dxfId="128" priority="99">
      <formula>ABS(E$7-E$10)&gt;=1000</formula>
    </cfRule>
  </conditionalFormatting>
  <conditionalFormatting sqref="F4:F11">
    <cfRule type="expression" dxfId="127" priority="98">
      <formula>ABS(F$7-F$10)&gt;=1000</formula>
    </cfRule>
  </conditionalFormatting>
  <conditionalFormatting sqref="G4:G11">
    <cfRule type="expression" dxfId="126" priority="97">
      <formula>ABS(G$7-G$10)&gt;=1000</formula>
    </cfRule>
  </conditionalFormatting>
  <conditionalFormatting sqref="H4:H11">
    <cfRule type="expression" dxfId="125" priority="96">
      <formula>ABS(H$7-H$10)&gt;=1000</formula>
    </cfRule>
  </conditionalFormatting>
  <conditionalFormatting sqref="I4:I11">
    <cfRule type="expression" dxfId="124" priority="95">
      <formula>ABS(I$7-I$10)&gt;=1000</formula>
    </cfRule>
  </conditionalFormatting>
  <conditionalFormatting sqref="J4:J11">
    <cfRule type="expression" dxfId="123" priority="94">
      <formula>ABS(J$7-J$10)&gt;=1000</formula>
    </cfRule>
  </conditionalFormatting>
  <conditionalFormatting sqref="K4:K11">
    <cfRule type="expression" dxfId="122" priority="93">
      <formula>ABS(K$7-K$10)&gt;=1000</formula>
    </cfRule>
  </conditionalFormatting>
  <conditionalFormatting sqref="L4:L11">
    <cfRule type="expression" dxfId="121" priority="92">
      <formula>ABS(L$7-L$10)&gt;=1000</formula>
    </cfRule>
  </conditionalFormatting>
  <conditionalFormatting sqref="M4 M6:M11">
    <cfRule type="expression" dxfId="120" priority="91">
      <formula>ABS(M$7-M$10)&gt;=1000</formula>
    </cfRule>
  </conditionalFormatting>
  <conditionalFormatting sqref="N4 N6:N11">
    <cfRule type="expression" dxfId="119" priority="90">
      <formula>ABS(N$7-N$10)&gt;=1000</formula>
    </cfRule>
  </conditionalFormatting>
  <conditionalFormatting sqref="O4 O6:O11">
    <cfRule type="expression" dxfId="118" priority="89">
      <formula>ABS(O$7-O$10)&gt;=1000</formula>
    </cfRule>
  </conditionalFormatting>
  <conditionalFormatting sqref="P4 P6:P11">
    <cfRule type="expression" dxfId="117" priority="88">
      <formula>ABS(P$7-P$10)&gt;=1000</formula>
    </cfRule>
  </conditionalFormatting>
  <conditionalFormatting sqref="Q4:Q11">
    <cfRule type="expression" dxfId="116" priority="87">
      <formula>ABS(Q$7-Q$10)&gt;=1000</formula>
    </cfRule>
  </conditionalFormatting>
  <conditionalFormatting sqref="R4:R11">
    <cfRule type="expression" dxfId="115" priority="86">
      <formula>ABS(R$7-R$10)&gt;=1000</formula>
    </cfRule>
  </conditionalFormatting>
  <conditionalFormatting sqref="S4:S11">
    <cfRule type="expression" dxfId="114" priority="85">
      <formula>ABS(S$7-S$10)&gt;=1000</formula>
    </cfRule>
  </conditionalFormatting>
  <conditionalFormatting sqref="T4:T9 T11">
    <cfRule type="expression" dxfId="113" priority="84">
      <formula>ABS(T$7-T$10)&gt;=1000</formula>
    </cfRule>
  </conditionalFormatting>
  <conditionalFormatting sqref="U4:U9 U11">
    <cfRule type="expression" dxfId="112" priority="83">
      <formula>ABS(U$7-U$10)&gt;=1000</formula>
    </cfRule>
  </conditionalFormatting>
  <conditionalFormatting sqref="V4:V9 V11">
    <cfRule type="expression" dxfId="111" priority="82">
      <formula>ABS(V$7-V$10)&gt;=1000</formula>
    </cfRule>
  </conditionalFormatting>
  <conditionalFormatting sqref="W4:W9 W11">
    <cfRule type="expression" dxfId="110" priority="81">
      <formula>ABS(W$7-W$10)&gt;=1000</formula>
    </cfRule>
  </conditionalFormatting>
  <conditionalFormatting sqref="X4:X9 X11">
    <cfRule type="expression" dxfId="109" priority="80">
      <formula>ABS(X$7-X$10)&gt;=1000</formula>
    </cfRule>
  </conditionalFormatting>
  <conditionalFormatting sqref="Y4:Y9 Y11">
    <cfRule type="expression" dxfId="108" priority="79">
      <formula>ABS(Y$7-Y$10)&gt;=1000</formula>
    </cfRule>
  </conditionalFormatting>
  <conditionalFormatting sqref="Z4:Z11">
    <cfRule type="expression" dxfId="107" priority="78">
      <formula>ABS(Z$7-Z$10)&gt;=1000</formula>
    </cfRule>
  </conditionalFormatting>
  <conditionalFormatting sqref="AA4:AA11">
    <cfRule type="expression" dxfId="106" priority="77">
      <formula>ABS(AA$7-AA$10)&gt;=1000</formula>
    </cfRule>
  </conditionalFormatting>
  <conditionalFormatting sqref="AB4:AB11">
    <cfRule type="expression" dxfId="105" priority="76">
      <formula>ABS(AB$7-AB$10)&gt;=1000</formula>
    </cfRule>
  </conditionalFormatting>
  <conditionalFormatting sqref="AC4 AC6:AC11">
    <cfRule type="expression" dxfId="104" priority="75">
      <formula>ABS(AC$7-AC$10)&gt;=1000</formula>
    </cfRule>
  </conditionalFormatting>
  <conditionalFormatting sqref="AD4 AD6:AD11">
    <cfRule type="expression" dxfId="103" priority="74">
      <formula>ABS(AD$7-AD$10)&gt;=1000</formula>
    </cfRule>
  </conditionalFormatting>
  <conditionalFormatting sqref="AE4 AE6:AE11">
    <cfRule type="expression" dxfId="102" priority="73">
      <formula>ABS(AE$7-AE$10)&gt;=1000</formula>
    </cfRule>
  </conditionalFormatting>
  <conditionalFormatting sqref="D13:D20">
    <cfRule type="expression" dxfId="101" priority="72">
      <formula>ABS(D$16-D$19)&gt;=1000</formula>
    </cfRule>
  </conditionalFormatting>
  <conditionalFormatting sqref="E13:E20">
    <cfRule type="expression" dxfId="100" priority="71">
      <formula>ABS(E$16-E$19)&gt;=1000</formula>
    </cfRule>
  </conditionalFormatting>
  <conditionalFormatting sqref="F13 F15:F20">
    <cfRule type="expression" dxfId="99" priority="70">
      <formula>ABS(F$16-F$19)&gt;=1000</formula>
    </cfRule>
  </conditionalFormatting>
  <conditionalFormatting sqref="G13:G20">
    <cfRule type="expression" dxfId="98" priority="69">
      <formula>ABS(G$16-G$19)&gt;=1000</formula>
    </cfRule>
  </conditionalFormatting>
  <conditionalFormatting sqref="H13 H15:H20">
    <cfRule type="expression" dxfId="97" priority="68">
      <formula>ABS(H$16-H$19)&gt;=1000</formula>
    </cfRule>
  </conditionalFormatting>
  <conditionalFormatting sqref="I13:I20">
    <cfRule type="expression" dxfId="96" priority="67">
      <formula>ABS(I$16-I$19)&gt;=1000</formula>
    </cfRule>
  </conditionalFormatting>
  <conditionalFormatting sqref="J13:J20">
    <cfRule type="expression" dxfId="95" priority="66">
      <formula>ABS(J$16-J$19)&gt;=1000</formula>
    </cfRule>
  </conditionalFormatting>
  <conditionalFormatting sqref="L13:L20">
    <cfRule type="expression" dxfId="94" priority="65">
      <formula>ABS(L$16-L$19)&gt;=1000</formula>
    </cfRule>
  </conditionalFormatting>
  <conditionalFormatting sqref="M13 M15 M17:M18 M20">
    <cfRule type="expression" dxfId="93" priority="64">
      <formula>ABS(M$16-M$19)&gt;=1000</formula>
    </cfRule>
  </conditionalFormatting>
  <conditionalFormatting sqref="N13:N20">
    <cfRule type="expression" dxfId="92" priority="63">
      <formula>ABS(N$16-N$19)&gt;=1000</formula>
    </cfRule>
  </conditionalFormatting>
  <conditionalFormatting sqref="O13:O20">
    <cfRule type="expression" dxfId="91" priority="62">
      <formula>ABS(O$16-O$19)&gt;=1000</formula>
    </cfRule>
  </conditionalFormatting>
  <conditionalFormatting sqref="P13:P20">
    <cfRule type="expression" dxfId="90" priority="61">
      <formula>ABS(P$16-P$19)&gt;=1000</formula>
    </cfRule>
  </conditionalFormatting>
  <conditionalFormatting sqref="Q13 Q15:Q20">
    <cfRule type="expression" dxfId="89" priority="60">
      <formula>ABS(Q$16-Q$19)&gt;=1000</formula>
    </cfRule>
  </conditionalFormatting>
  <conditionalFormatting sqref="R13:R20">
    <cfRule type="expression" dxfId="88" priority="59">
      <formula>ABS(R$16-R$19)&gt;=1000</formula>
    </cfRule>
  </conditionalFormatting>
  <conditionalFormatting sqref="S13:S20">
    <cfRule type="expression" dxfId="87" priority="58">
      <formula>ABS(S$16-S$19)&gt;=1000</formula>
    </cfRule>
  </conditionalFormatting>
  <conditionalFormatting sqref="T13:T20">
    <cfRule type="expression" dxfId="86" priority="57">
      <formula>ABS(T$16-T$19)&gt;=1000</formula>
    </cfRule>
  </conditionalFormatting>
  <conditionalFormatting sqref="U13:U20">
    <cfRule type="expression" dxfId="85" priority="56">
      <formula>ABS(U$16-U$19)&gt;=1000</formula>
    </cfRule>
  </conditionalFormatting>
  <conditionalFormatting sqref="V13:V20">
    <cfRule type="expression" dxfId="84" priority="55">
      <formula>ABS(V$16-V$19)&gt;=1000</formula>
    </cfRule>
  </conditionalFormatting>
  <conditionalFormatting sqref="W13 W20 W15:W18">
    <cfRule type="expression" dxfId="83" priority="54">
      <formula>ABS(W$16-W$19)&gt;=1000</formula>
    </cfRule>
  </conditionalFormatting>
  <conditionalFormatting sqref="X13 X15:X20 Y19">
    <cfRule type="expression" dxfId="82" priority="53">
      <formula>ABS(X$16-X$19)&gt;=1000</formula>
    </cfRule>
  </conditionalFormatting>
  <conditionalFormatting sqref="Y13 Y15:Y18 Y20">
    <cfRule type="expression" dxfId="81" priority="52">
      <formula>ABS(Y$16-Y$19)&gt;=1000</formula>
    </cfRule>
  </conditionalFormatting>
  <conditionalFormatting sqref="Z13:Z20">
    <cfRule type="expression" dxfId="80" priority="51">
      <formula>ABS(Z$16-Z$19)&gt;=1000</formula>
    </cfRule>
  </conditionalFormatting>
  <conditionalFormatting sqref="AA13:AA20">
    <cfRule type="expression" dxfId="79" priority="50">
      <formula>ABS(AA$16-AA$19)&gt;=1000</formula>
    </cfRule>
  </conditionalFormatting>
  <conditionalFormatting sqref="AB13 AB15:AB20">
    <cfRule type="expression" dxfId="78" priority="49">
      <formula>ABS(AB$16-AB$19)&gt;=1000</formula>
    </cfRule>
  </conditionalFormatting>
  <conditionalFormatting sqref="AC13 AC15:AC20">
    <cfRule type="expression" dxfId="77" priority="48">
      <formula>ABS(AC$16-AC$19)&gt;=1000</formula>
    </cfRule>
  </conditionalFormatting>
  <conditionalFormatting sqref="AD13:AD20">
    <cfRule type="expression" dxfId="76" priority="47">
      <formula>ABS(AD$16-AD$19)&gt;=1000</formula>
    </cfRule>
  </conditionalFormatting>
  <conditionalFormatting sqref="AE13:AE20">
    <cfRule type="expression" dxfId="75" priority="46">
      <formula>ABS(AE$16-AE$19)&gt;=1000</formula>
    </cfRule>
  </conditionalFormatting>
  <conditionalFormatting sqref="D22:D29">
    <cfRule type="expression" dxfId="74" priority="45">
      <formula>ABS(D$25-D$28)&gt;=1000</formula>
    </cfRule>
  </conditionalFormatting>
  <conditionalFormatting sqref="E22:E29">
    <cfRule type="expression" dxfId="73" priority="44">
      <formula>ABS(E$25-E$28)&gt;=1000</formula>
    </cfRule>
  </conditionalFormatting>
  <conditionalFormatting sqref="F22:F29">
    <cfRule type="expression" dxfId="72" priority="43">
      <formula>ABS(F$25-F$28)&gt;=1000</formula>
    </cfRule>
  </conditionalFormatting>
  <conditionalFormatting sqref="G22:G29">
    <cfRule type="expression" dxfId="71" priority="42">
      <formula>ABS(G$25-G$28)&gt;=1000</formula>
    </cfRule>
  </conditionalFormatting>
  <conditionalFormatting sqref="H22:H29">
    <cfRule type="expression" dxfId="70" priority="41">
      <formula>ABS(H$25-H$28)&gt;=1000</formula>
    </cfRule>
  </conditionalFormatting>
  <conditionalFormatting sqref="I22 I24:I29">
    <cfRule type="expression" dxfId="69" priority="40">
      <formula>ABS(I$25-I$28)&gt;=1000</formula>
    </cfRule>
  </conditionalFormatting>
  <conditionalFormatting sqref="J22:J29 K22">
    <cfRule type="expression" dxfId="68" priority="39">
      <formula>ABS(J$25-J$28)&gt;=1000</formula>
    </cfRule>
  </conditionalFormatting>
  <conditionalFormatting sqref="K23:K29 L25 L28">
    <cfRule type="expression" dxfId="67" priority="38">
      <formula>ABS(K$25-K$28)&gt;=1000</formula>
    </cfRule>
  </conditionalFormatting>
  <conditionalFormatting sqref="L22 L26:L27 L29 L24">
    <cfRule type="expression" dxfId="66" priority="37">
      <formula>ABS(L$25-L$28)&gt;=1000</formula>
    </cfRule>
  </conditionalFormatting>
  <conditionalFormatting sqref="M22:M29">
    <cfRule type="expression" dxfId="65" priority="36">
      <formula>ABS(M$25-M$28)&gt;=1000</formula>
    </cfRule>
  </conditionalFormatting>
  <conditionalFormatting sqref="N22:N29">
    <cfRule type="expression" dxfId="64" priority="35">
      <formula>ABS(N$25-N$28)&gt;=1000</formula>
    </cfRule>
  </conditionalFormatting>
  <conditionalFormatting sqref="O22:O29">
    <cfRule type="expression" dxfId="63" priority="34">
      <formula>ABS(O$25-O$28)&gt;=1000</formula>
    </cfRule>
  </conditionalFormatting>
  <conditionalFormatting sqref="P22:P29">
    <cfRule type="expression" dxfId="62" priority="33">
      <formula>ABS(P$25-P$28)&gt;=1000</formula>
    </cfRule>
  </conditionalFormatting>
  <conditionalFormatting sqref="Q22:Q29">
    <cfRule type="expression" dxfId="61" priority="32">
      <formula>ABS(Q$25-Q$28)&gt;=1000</formula>
    </cfRule>
  </conditionalFormatting>
  <conditionalFormatting sqref="R22:R29">
    <cfRule type="expression" dxfId="60" priority="31">
      <formula>ABS(R$25-R$28)&gt;=1000</formula>
    </cfRule>
  </conditionalFormatting>
  <conditionalFormatting sqref="S22:S29">
    <cfRule type="expression" dxfId="59" priority="30">
      <formula>ABS(S$25-S$28)&gt;=1000</formula>
    </cfRule>
  </conditionalFormatting>
  <conditionalFormatting sqref="T22:T29">
    <cfRule type="expression" dxfId="58" priority="29">
      <formula>ABS(T$25-T$28)&gt;=1000</formula>
    </cfRule>
  </conditionalFormatting>
  <conditionalFormatting sqref="U22:U29">
    <cfRule type="expression" dxfId="57" priority="28">
      <formula>ABS(U$25-U$28)&gt;=1000</formula>
    </cfRule>
  </conditionalFormatting>
  <conditionalFormatting sqref="V22:V29">
    <cfRule type="expression" dxfId="56" priority="27">
      <formula>ABS(V$25-V$28)&gt;=1000</formula>
    </cfRule>
  </conditionalFormatting>
  <conditionalFormatting sqref="W22:W29">
    <cfRule type="expression" dxfId="55" priority="26">
      <formula>ABS(W$25-W$28)&gt;=1000</formula>
    </cfRule>
  </conditionalFormatting>
  <conditionalFormatting sqref="X22:X29">
    <cfRule type="expression" dxfId="54" priority="25">
      <formula>ABS(X$25-X$28)&gt;=1000</formula>
    </cfRule>
  </conditionalFormatting>
  <conditionalFormatting sqref="Y22:Y29">
    <cfRule type="expression" dxfId="53" priority="24">
      <formula>ABS(Y$25-Y$28)&gt;=1000</formula>
    </cfRule>
  </conditionalFormatting>
  <conditionalFormatting sqref="I23">
    <cfRule type="expression" dxfId="52" priority="23">
      <formula>ABS(I$25-I$28)&gt;=1000</formula>
    </cfRule>
  </conditionalFormatting>
  <conditionalFormatting sqref="Q14">
    <cfRule type="expression" dxfId="51" priority="22">
      <formula>ABS(Q$16-Q$19)&gt;=1000</formula>
    </cfRule>
  </conditionalFormatting>
  <conditionalFormatting sqref="W14">
    <cfRule type="expression" dxfId="50" priority="21">
      <formula>ABS(W$16-W$19)&gt;=1000</formula>
    </cfRule>
  </conditionalFormatting>
  <conditionalFormatting sqref="X14">
    <cfRule type="expression" dxfId="49" priority="20">
      <formula>ABS(X$16-X$19)&gt;=1000</formula>
    </cfRule>
  </conditionalFormatting>
  <conditionalFormatting sqref="T10:Y10">
    <cfRule type="expression" dxfId="48" priority="19">
      <formula>ABS(T$7-T$10)&gt;=1000</formula>
    </cfRule>
  </conditionalFormatting>
  <conditionalFormatting sqref="W19">
    <cfRule type="expression" dxfId="47" priority="18">
      <formula>ABS(W$16-W$19)&gt;=1000</formula>
    </cfRule>
  </conditionalFormatting>
  <conditionalFormatting sqref="AC5">
    <cfRule type="expression" dxfId="46" priority="17">
      <formula>ABS(AC$7-AC$10)&gt;=1000</formula>
    </cfRule>
  </conditionalFormatting>
  <conditionalFormatting sqref="M14">
    <cfRule type="expression" dxfId="45" priority="16">
      <formula>ABS(M$16-M$19)&gt;=1000</formula>
    </cfRule>
  </conditionalFormatting>
  <conditionalFormatting sqref="M16">
    <cfRule type="expression" dxfId="44" priority="15">
      <formula>ABS(M$16-M$19)&gt;=1000</formula>
    </cfRule>
  </conditionalFormatting>
  <conditionalFormatting sqref="M19">
    <cfRule type="expression" dxfId="43" priority="14">
      <formula>ABS(M$16-M$19)&gt;=1000</formula>
    </cfRule>
  </conditionalFormatting>
  <conditionalFormatting sqref="K13:K20">
    <cfRule type="expression" dxfId="42" priority="13">
      <formula>ABS(K$16-K$19)&gt;=1000</formula>
    </cfRule>
  </conditionalFormatting>
  <conditionalFormatting sqref="E5">
    <cfRule type="expression" dxfId="41" priority="12">
      <formula>ABS(E$7-E$10)&gt;=1000</formula>
    </cfRule>
  </conditionalFormatting>
  <conditionalFormatting sqref="AB14:AC14">
    <cfRule type="expression" dxfId="40" priority="11">
      <formula>ABS(AB$16-AB$19)&gt;=1000</formula>
    </cfRule>
  </conditionalFormatting>
  <conditionalFormatting sqref="M5">
    <cfRule type="expression" dxfId="39" priority="10">
      <formula>ABS(M$7-M$10)&gt;=1000</formula>
    </cfRule>
  </conditionalFormatting>
  <conditionalFormatting sqref="N5">
    <cfRule type="expression" dxfId="38" priority="9">
      <formula>ABS(N$7-N$10)&gt;=1000</formula>
    </cfRule>
  </conditionalFormatting>
  <conditionalFormatting sqref="O5">
    <cfRule type="expression" dxfId="37" priority="8">
      <formula>ABS(O$7-O$10)&gt;=1000</formula>
    </cfRule>
  </conditionalFormatting>
  <conditionalFormatting sqref="P5">
    <cfRule type="expression" dxfId="36" priority="7">
      <formula>ABS(P$7-P$10)&gt;=1000</formula>
    </cfRule>
  </conditionalFormatting>
  <conditionalFormatting sqref="L23">
    <cfRule type="expression" dxfId="35" priority="6">
      <formula>ABS(L$25-L$28)&gt;=1000</formula>
    </cfRule>
  </conditionalFormatting>
  <conditionalFormatting sqref="Y14">
    <cfRule type="expression" dxfId="34" priority="5">
      <formula>ABS(Y$16-Y$19)&gt;=1000</formula>
    </cfRule>
  </conditionalFormatting>
  <conditionalFormatting sqref="F14">
    <cfRule type="expression" dxfId="33" priority="4">
      <formula>ABS(F$16-F$19)&gt;=1000</formula>
    </cfRule>
  </conditionalFormatting>
  <conditionalFormatting sqref="H14">
    <cfRule type="expression" dxfId="32" priority="3">
      <formula>ABS(H$16-H$19)&gt;=1000</formula>
    </cfRule>
  </conditionalFormatting>
  <conditionalFormatting sqref="AD5">
    <cfRule type="expression" dxfId="31" priority="2">
      <formula>ABS(AD$7-AD$10)&gt;=1000</formula>
    </cfRule>
  </conditionalFormatting>
  <conditionalFormatting sqref="AE5">
    <cfRule type="expression" dxfId="3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61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24</vt:i4>
      </vt:variant>
      <vt:variant>
        <vt:lpstr>已命名的範圍</vt:lpstr>
      </vt:variant>
      <vt:variant>
        <vt:i4>24</vt:i4>
      </vt:variant>
    </vt:vector>
  </HeadingPairs>
  <TitlesOfParts>
    <vt:vector size="48" baseType="lpstr">
      <vt:lpstr>新增</vt:lpstr>
      <vt:lpstr>密度</vt:lpstr>
      <vt:lpstr>4.30</vt:lpstr>
      <vt:lpstr>5.1</vt:lpstr>
      <vt:lpstr>5.4</vt:lpstr>
      <vt:lpstr>5.5</vt:lpstr>
      <vt:lpstr>5.6</vt:lpstr>
      <vt:lpstr>5.7</vt:lpstr>
      <vt:lpstr>5.8</vt:lpstr>
      <vt:lpstr>5.11</vt:lpstr>
      <vt:lpstr>5.12</vt:lpstr>
      <vt:lpstr>5.13</vt:lpstr>
      <vt:lpstr>5.14</vt:lpstr>
      <vt:lpstr>5.15</vt:lpstr>
      <vt:lpstr>5.18</vt:lpstr>
      <vt:lpstr>5.19</vt:lpstr>
      <vt:lpstr>5.20</vt:lpstr>
      <vt:lpstr>5.21</vt:lpstr>
      <vt:lpstr>5.22</vt:lpstr>
      <vt:lpstr>5.25</vt:lpstr>
      <vt:lpstr>5.26</vt:lpstr>
      <vt:lpstr>5.27</vt:lpstr>
      <vt:lpstr>5.28</vt:lpstr>
      <vt:lpstr>5.29</vt:lpstr>
      <vt:lpstr>'4.30'!Print_Area</vt:lpstr>
      <vt:lpstr>'5.1'!Print_Area</vt:lpstr>
      <vt:lpstr>'5.11'!Print_Area</vt:lpstr>
      <vt:lpstr>'5.12'!Print_Area</vt:lpstr>
      <vt:lpstr>'5.13'!Print_Area</vt:lpstr>
      <vt:lpstr>'5.14'!Print_Area</vt:lpstr>
      <vt:lpstr>'5.15'!Print_Area</vt:lpstr>
      <vt:lpstr>'5.18'!Print_Area</vt:lpstr>
      <vt:lpstr>'5.19'!Print_Area</vt:lpstr>
      <vt:lpstr>'5.20'!Print_Area</vt:lpstr>
      <vt:lpstr>'5.21'!Print_Area</vt:lpstr>
      <vt:lpstr>'5.22'!Print_Area</vt:lpstr>
      <vt:lpstr>'5.25'!Print_Area</vt:lpstr>
      <vt:lpstr>'5.26'!Print_Area</vt:lpstr>
      <vt:lpstr>'5.27'!Print_Area</vt:lpstr>
      <vt:lpstr>'5.28'!Print_Area</vt:lpstr>
      <vt:lpstr>'5.29'!Print_Area</vt:lpstr>
      <vt:lpstr>'5.4'!Print_Area</vt:lpstr>
      <vt:lpstr>'5.5'!Print_Area</vt:lpstr>
      <vt:lpstr>'5.6'!Print_Area</vt:lpstr>
      <vt:lpstr>'5.7'!Print_Area</vt:lpstr>
      <vt:lpstr>'5.8'!Print_Area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2026-05-29T07:49:32Z</cp:lastPrinted>
  <dcterms:created xsi:type="dcterms:W3CDTF">2006-09-16T00:00:00Z</dcterms:created>
  <dcterms:modified xsi:type="dcterms:W3CDTF">2026-05-29T07:49:35Z</dcterms:modified>
</cp:coreProperties>
</file>