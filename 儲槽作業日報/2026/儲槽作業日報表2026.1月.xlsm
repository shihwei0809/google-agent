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0" firstSheet="12" activeTab="24"/>
  </bookViews>
  <sheets>
    <sheet name="新增" sheetId="1727" r:id="rId1"/>
    <sheet name="密度" sheetId="13" r:id="rId2"/>
    <sheet name="12.31" sheetId="2057" r:id="rId3"/>
    <sheet name="1.1" sheetId="2059" r:id="rId4"/>
    <sheet name="1.2" sheetId="2060" r:id="rId5"/>
    <sheet name="1.5" sheetId="2061" r:id="rId6"/>
    <sheet name="1.6" sheetId="2062" r:id="rId7"/>
    <sheet name="1.7" sheetId="2063" r:id="rId8"/>
    <sheet name="1.8" sheetId="2064" r:id="rId9"/>
    <sheet name="1.9" sheetId="2065" r:id="rId10"/>
    <sheet name="1.12" sheetId="2066" r:id="rId11"/>
    <sheet name="1.13" sheetId="2067" r:id="rId12"/>
    <sheet name="1.14" sheetId="2068" r:id="rId13"/>
    <sheet name="1.15" sheetId="2069" r:id="rId14"/>
    <sheet name="1.16" sheetId="2070" r:id="rId15"/>
    <sheet name="1.19" sheetId="2071" r:id="rId16"/>
    <sheet name="1.20" sheetId="2072" r:id="rId17"/>
    <sheet name="1.21" sheetId="2073" r:id="rId18"/>
    <sheet name="1.22" sheetId="2074" r:id="rId19"/>
    <sheet name="1.23" sheetId="2075" r:id="rId20"/>
    <sheet name="1.26" sheetId="2076" r:id="rId21"/>
    <sheet name="1.27" sheetId="2077" r:id="rId22"/>
    <sheet name="1.28" sheetId="2078" r:id="rId23"/>
    <sheet name="1.29" sheetId="2079" r:id="rId24"/>
    <sheet name="1.30" sheetId="2080" r:id="rId25"/>
  </sheets>
  <definedNames>
    <definedName name="_xlnm.Print_Area" localSheetId="3">'1.1'!$B$1:$AE$36</definedName>
    <definedName name="_xlnm.Print_Area" localSheetId="10">'1.12'!$B$1:$AE$36</definedName>
    <definedName name="_xlnm.Print_Area" localSheetId="11">'1.13'!$B$1:$AE$36</definedName>
    <definedName name="_xlnm.Print_Area" localSheetId="12">'1.14'!$B$1:$AE$36</definedName>
    <definedName name="_xlnm.Print_Area" localSheetId="13">'1.15'!$B$1:$AE$36</definedName>
    <definedName name="_xlnm.Print_Area" localSheetId="14">'1.16'!$B$1:$AE$36</definedName>
    <definedName name="_xlnm.Print_Area" localSheetId="15">'1.19'!$B$1:$AE$36</definedName>
    <definedName name="_xlnm.Print_Area" localSheetId="4">'1.2'!$B$1:$AE$36</definedName>
    <definedName name="_xlnm.Print_Area" localSheetId="16">'1.20'!$B$1:$AE$36</definedName>
    <definedName name="_xlnm.Print_Area" localSheetId="17">'1.21'!$B$1:$AE$36</definedName>
    <definedName name="_xlnm.Print_Area" localSheetId="18">'1.22'!$B$1:$AE$36</definedName>
    <definedName name="_xlnm.Print_Area" localSheetId="19">'1.23'!$B$1:$AE$36</definedName>
    <definedName name="_xlnm.Print_Area" localSheetId="20">'1.26'!$B$1:$AE$36</definedName>
    <definedName name="_xlnm.Print_Area" localSheetId="21">'1.27'!$B$1:$AE$36</definedName>
    <definedName name="_xlnm.Print_Area" localSheetId="22">'1.28'!$B$1:$AE$36</definedName>
    <definedName name="_xlnm.Print_Area" localSheetId="23">'1.29'!$B$1:$AE$36</definedName>
    <definedName name="_xlnm.Print_Area" localSheetId="24">'1.30'!$B$1:$AE$36</definedName>
    <definedName name="_xlnm.Print_Area" localSheetId="5">'1.5'!$B$1:$AE$36</definedName>
    <definedName name="_xlnm.Print_Area" localSheetId="6">'1.6'!$B$1:$AE$36</definedName>
    <definedName name="_xlnm.Print_Area" localSheetId="7">'1.7'!$B$1:$AE$36</definedName>
    <definedName name="_xlnm.Print_Area" localSheetId="8">'1.8'!$B$1:$AE$36</definedName>
    <definedName name="_xlnm.Print_Area" localSheetId="9">'1.9'!$B$1:$AE$36</definedName>
    <definedName name="_xlnm.Print_Area" localSheetId="2">'12.31'!$B$1:$AE$36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3" hidden="1">'1.1'!$B$3:$AE$36</definedName>
    <definedName name="Z_512059F6_F0DC_4056_8FD0_37088AB81F9E_.wvu.PrintArea" localSheetId="10" hidden="1">'1.12'!$B$3:$AE$36</definedName>
    <definedName name="Z_512059F6_F0DC_4056_8FD0_37088AB81F9E_.wvu.PrintArea" localSheetId="11" hidden="1">'1.13'!$B$3:$AE$36</definedName>
    <definedName name="Z_512059F6_F0DC_4056_8FD0_37088AB81F9E_.wvu.PrintArea" localSheetId="12" hidden="1">'1.14'!$B$3:$AE$36</definedName>
    <definedName name="Z_512059F6_F0DC_4056_8FD0_37088AB81F9E_.wvu.PrintArea" localSheetId="13" hidden="1">'1.15'!$B$3:$AE$36</definedName>
    <definedName name="Z_512059F6_F0DC_4056_8FD0_37088AB81F9E_.wvu.PrintArea" localSheetId="14" hidden="1">'1.16'!$B$3:$AE$36</definedName>
    <definedName name="Z_512059F6_F0DC_4056_8FD0_37088AB81F9E_.wvu.PrintArea" localSheetId="15" hidden="1">'1.19'!$B$3:$AE$36</definedName>
    <definedName name="Z_512059F6_F0DC_4056_8FD0_37088AB81F9E_.wvu.PrintArea" localSheetId="4" hidden="1">'1.2'!$B$3:$AE$36</definedName>
    <definedName name="Z_512059F6_F0DC_4056_8FD0_37088AB81F9E_.wvu.PrintArea" localSheetId="16" hidden="1">'1.20'!$B$3:$AE$36</definedName>
    <definedName name="Z_512059F6_F0DC_4056_8FD0_37088AB81F9E_.wvu.PrintArea" localSheetId="17" hidden="1">'1.21'!$B$3:$AE$36</definedName>
    <definedName name="Z_512059F6_F0DC_4056_8FD0_37088AB81F9E_.wvu.PrintArea" localSheetId="18" hidden="1">'1.22'!$B$3:$AE$36</definedName>
    <definedName name="Z_512059F6_F0DC_4056_8FD0_37088AB81F9E_.wvu.PrintArea" localSheetId="19" hidden="1">'1.23'!$B$3:$AE$36</definedName>
    <definedName name="Z_512059F6_F0DC_4056_8FD0_37088AB81F9E_.wvu.PrintArea" localSheetId="20" hidden="1">'1.26'!$B$3:$AE$36</definedName>
    <definedName name="Z_512059F6_F0DC_4056_8FD0_37088AB81F9E_.wvu.PrintArea" localSheetId="21" hidden="1">'1.27'!$B$3:$AE$36</definedName>
    <definedName name="Z_512059F6_F0DC_4056_8FD0_37088AB81F9E_.wvu.PrintArea" localSheetId="22" hidden="1">'1.28'!$B$3:$AE$36</definedName>
    <definedName name="Z_512059F6_F0DC_4056_8FD0_37088AB81F9E_.wvu.PrintArea" localSheetId="23" hidden="1">'1.29'!$B$3:$AE$36</definedName>
    <definedName name="Z_512059F6_F0DC_4056_8FD0_37088AB81F9E_.wvu.PrintArea" localSheetId="24" hidden="1">'1.30'!$B$3:$AE$36</definedName>
    <definedName name="Z_512059F6_F0DC_4056_8FD0_37088AB81F9E_.wvu.PrintArea" localSheetId="5" hidden="1">'1.5'!$B$3:$AE$36</definedName>
    <definedName name="Z_512059F6_F0DC_4056_8FD0_37088AB81F9E_.wvu.PrintArea" localSheetId="6" hidden="1">'1.6'!$B$3:$AE$36</definedName>
    <definedName name="Z_512059F6_F0DC_4056_8FD0_37088AB81F9E_.wvu.PrintArea" localSheetId="7" hidden="1">'1.7'!$B$3:$AE$36</definedName>
    <definedName name="Z_512059F6_F0DC_4056_8FD0_37088AB81F9E_.wvu.PrintArea" localSheetId="8" hidden="1">'1.8'!$B$3:$AE$36</definedName>
    <definedName name="Z_512059F6_F0DC_4056_8FD0_37088AB81F9E_.wvu.PrintArea" localSheetId="9" hidden="1">'1.9'!$B$3:$AE$36</definedName>
    <definedName name="Z_512059F6_F0DC_4056_8FD0_37088AB81F9E_.wvu.PrintArea" localSheetId="2" hidden="1">'12.31'!$B$3:$AE$36</definedName>
    <definedName name="Z_68643476_8805_447E_8170_A582EA1D0343_.wvu.PrintArea" localSheetId="3" hidden="1">'1.1'!$B$3:$AE$36</definedName>
    <definedName name="Z_68643476_8805_447E_8170_A582EA1D0343_.wvu.PrintArea" localSheetId="10" hidden="1">'1.12'!$B$3:$AE$36</definedName>
    <definedName name="Z_68643476_8805_447E_8170_A582EA1D0343_.wvu.PrintArea" localSheetId="11" hidden="1">'1.13'!$B$3:$AE$36</definedName>
    <definedName name="Z_68643476_8805_447E_8170_A582EA1D0343_.wvu.PrintArea" localSheetId="12" hidden="1">'1.14'!$B$3:$AE$36</definedName>
    <definedName name="Z_68643476_8805_447E_8170_A582EA1D0343_.wvu.PrintArea" localSheetId="13" hidden="1">'1.15'!$B$3:$AE$36</definedName>
    <definedName name="Z_68643476_8805_447E_8170_A582EA1D0343_.wvu.PrintArea" localSheetId="14" hidden="1">'1.16'!$B$3:$AE$36</definedName>
    <definedName name="Z_68643476_8805_447E_8170_A582EA1D0343_.wvu.PrintArea" localSheetId="15" hidden="1">'1.19'!$B$3:$AE$36</definedName>
    <definedName name="Z_68643476_8805_447E_8170_A582EA1D0343_.wvu.PrintArea" localSheetId="4" hidden="1">'1.2'!$B$3:$AE$36</definedName>
    <definedName name="Z_68643476_8805_447E_8170_A582EA1D0343_.wvu.PrintArea" localSheetId="16" hidden="1">'1.20'!$B$3:$AE$36</definedName>
    <definedName name="Z_68643476_8805_447E_8170_A582EA1D0343_.wvu.PrintArea" localSheetId="17" hidden="1">'1.21'!$B$3:$AE$36</definedName>
    <definedName name="Z_68643476_8805_447E_8170_A582EA1D0343_.wvu.PrintArea" localSheetId="18" hidden="1">'1.22'!$B$3:$AE$36</definedName>
    <definedName name="Z_68643476_8805_447E_8170_A582EA1D0343_.wvu.PrintArea" localSheetId="19" hidden="1">'1.23'!$B$3:$AE$36</definedName>
    <definedName name="Z_68643476_8805_447E_8170_A582EA1D0343_.wvu.PrintArea" localSheetId="20" hidden="1">'1.26'!$B$3:$AE$36</definedName>
    <definedName name="Z_68643476_8805_447E_8170_A582EA1D0343_.wvu.PrintArea" localSheetId="21" hidden="1">'1.27'!$B$3:$AE$36</definedName>
    <definedName name="Z_68643476_8805_447E_8170_A582EA1D0343_.wvu.PrintArea" localSheetId="22" hidden="1">'1.28'!$B$3:$AE$36</definedName>
    <definedName name="Z_68643476_8805_447E_8170_A582EA1D0343_.wvu.PrintArea" localSheetId="23" hidden="1">'1.29'!$B$3:$AE$36</definedName>
    <definedName name="Z_68643476_8805_447E_8170_A582EA1D0343_.wvu.PrintArea" localSheetId="24" hidden="1">'1.30'!$B$3:$AE$36</definedName>
    <definedName name="Z_68643476_8805_447E_8170_A582EA1D0343_.wvu.PrintArea" localSheetId="5" hidden="1">'1.5'!$B$3:$AE$36</definedName>
    <definedName name="Z_68643476_8805_447E_8170_A582EA1D0343_.wvu.PrintArea" localSheetId="6" hidden="1">'1.6'!$B$3:$AE$36</definedName>
    <definedName name="Z_68643476_8805_447E_8170_A582EA1D0343_.wvu.PrintArea" localSheetId="7" hidden="1">'1.7'!$B$3:$AE$36</definedName>
    <definedName name="Z_68643476_8805_447E_8170_A582EA1D0343_.wvu.PrintArea" localSheetId="8" hidden="1">'1.8'!$B$3:$AE$36</definedName>
    <definedName name="Z_68643476_8805_447E_8170_A582EA1D0343_.wvu.PrintArea" localSheetId="9" hidden="1">'1.9'!$B$3:$AE$36</definedName>
    <definedName name="Z_68643476_8805_447E_8170_A582EA1D0343_.wvu.PrintArea" localSheetId="2" hidden="1">'12.31'!$B$3:$AE$36</definedName>
    <definedName name="Z_8E5926ED_4EBD_4129_B8FF_799CC47580D7_.wvu.PrintArea" localSheetId="3" hidden="1">'1.1'!$B$3:$AE$36</definedName>
    <definedName name="Z_8E5926ED_4EBD_4129_B8FF_799CC47580D7_.wvu.PrintArea" localSheetId="10" hidden="1">'1.12'!$B$3:$AE$36</definedName>
    <definedName name="Z_8E5926ED_4EBD_4129_B8FF_799CC47580D7_.wvu.PrintArea" localSheetId="11" hidden="1">'1.13'!$B$3:$AE$36</definedName>
    <definedName name="Z_8E5926ED_4EBD_4129_B8FF_799CC47580D7_.wvu.PrintArea" localSheetId="12" hidden="1">'1.14'!$B$3:$AE$36</definedName>
    <definedName name="Z_8E5926ED_4EBD_4129_B8FF_799CC47580D7_.wvu.PrintArea" localSheetId="13" hidden="1">'1.15'!$B$3:$AE$36</definedName>
    <definedName name="Z_8E5926ED_4EBD_4129_B8FF_799CC47580D7_.wvu.PrintArea" localSheetId="14" hidden="1">'1.16'!$B$3:$AE$36</definedName>
    <definedName name="Z_8E5926ED_4EBD_4129_B8FF_799CC47580D7_.wvu.PrintArea" localSheetId="15" hidden="1">'1.19'!$B$3:$AE$36</definedName>
    <definedName name="Z_8E5926ED_4EBD_4129_B8FF_799CC47580D7_.wvu.PrintArea" localSheetId="4" hidden="1">'1.2'!$B$3:$AE$36</definedName>
    <definedName name="Z_8E5926ED_4EBD_4129_B8FF_799CC47580D7_.wvu.PrintArea" localSheetId="16" hidden="1">'1.20'!$B$3:$AE$36</definedName>
    <definedName name="Z_8E5926ED_4EBD_4129_B8FF_799CC47580D7_.wvu.PrintArea" localSheetId="17" hidden="1">'1.21'!$B$3:$AE$36</definedName>
    <definedName name="Z_8E5926ED_4EBD_4129_B8FF_799CC47580D7_.wvu.PrintArea" localSheetId="18" hidden="1">'1.22'!$B$3:$AE$36</definedName>
    <definedName name="Z_8E5926ED_4EBD_4129_B8FF_799CC47580D7_.wvu.PrintArea" localSheetId="19" hidden="1">'1.23'!$B$3:$AE$36</definedName>
    <definedName name="Z_8E5926ED_4EBD_4129_B8FF_799CC47580D7_.wvu.PrintArea" localSheetId="20" hidden="1">'1.26'!$B$3:$AE$36</definedName>
    <definedName name="Z_8E5926ED_4EBD_4129_B8FF_799CC47580D7_.wvu.PrintArea" localSheetId="21" hidden="1">'1.27'!$B$3:$AE$36</definedName>
    <definedName name="Z_8E5926ED_4EBD_4129_B8FF_799CC47580D7_.wvu.PrintArea" localSheetId="22" hidden="1">'1.28'!$B$3:$AE$36</definedName>
    <definedName name="Z_8E5926ED_4EBD_4129_B8FF_799CC47580D7_.wvu.PrintArea" localSheetId="23" hidden="1">'1.29'!$B$3:$AE$36</definedName>
    <definedName name="Z_8E5926ED_4EBD_4129_B8FF_799CC47580D7_.wvu.PrintArea" localSheetId="24" hidden="1">'1.30'!$B$3:$AE$36</definedName>
    <definedName name="Z_8E5926ED_4EBD_4129_B8FF_799CC47580D7_.wvu.PrintArea" localSheetId="5" hidden="1">'1.5'!$B$3:$AE$36</definedName>
    <definedName name="Z_8E5926ED_4EBD_4129_B8FF_799CC47580D7_.wvu.PrintArea" localSheetId="6" hidden="1">'1.6'!$B$3:$AE$36</definedName>
    <definedName name="Z_8E5926ED_4EBD_4129_B8FF_799CC47580D7_.wvu.PrintArea" localSheetId="7" hidden="1">'1.7'!$B$3:$AE$36</definedName>
    <definedName name="Z_8E5926ED_4EBD_4129_B8FF_799CC47580D7_.wvu.PrintArea" localSheetId="8" hidden="1">'1.8'!$B$3:$AE$36</definedName>
    <definedName name="Z_8E5926ED_4EBD_4129_B8FF_799CC47580D7_.wvu.PrintArea" localSheetId="9" hidden="1">'1.9'!$B$3:$AE$36</definedName>
    <definedName name="Z_8E5926ED_4EBD_4129_B8FF_799CC47580D7_.wvu.PrintArea" localSheetId="2" hidden="1">'12.31'!$B$3:$AE$36</definedName>
    <definedName name="Z_8FA8B620_C56C_11DB_A857_00055D5FD5FF_.wvu.PrintArea" localSheetId="3" hidden="1">'1.1'!$B$3:$AE$36</definedName>
    <definedName name="Z_8FA8B620_C56C_11DB_A857_00055D5FD5FF_.wvu.PrintArea" localSheetId="10" hidden="1">'1.12'!$B$3:$AE$36</definedName>
    <definedName name="Z_8FA8B620_C56C_11DB_A857_00055D5FD5FF_.wvu.PrintArea" localSheetId="11" hidden="1">'1.13'!$B$3:$AE$36</definedName>
    <definedName name="Z_8FA8B620_C56C_11DB_A857_00055D5FD5FF_.wvu.PrintArea" localSheetId="12" hidden="1">'1.14'!$B$3:$AE$36</definedName>
    <definedName name="Z_8FA8B620_C56C_11DB_A857_00055D5FD5FF_.wvu.PrintArea" localSheetId="13" hidden="1">'1.15'!$B$3:$AE$36</definedName>
    <definedName name="Z_8FA8B620_C56C_11DB_A857_00055D5FD5FF_.wvu.PrintArea" localSheetId="14" hidden="1">'1.16'!$B$3:$AE$36</definedName>
    <definedName name="Z_8FA8B620_C56C_11DB_A857_00055D5FD5FF_.wvu.PrintArea" localSheetId="15" hidden="1">'1.19'!$B$3:$AE$36</definedName>
    <definedName name="Z_8FA8B620_C56C_11DB_A857_00055D5FD5FF_.wvu.PrintArea" localSheetId="4" hidden="1">'1.2'!$B$3:$AE$36</definedName>
    <definedName name="Z_8FA8B620_C56C_11DB_A857_00055D5FD5FF_.wvu.PrintArea" localSheetId="16" hidden="1">'1.20'!$B$3:$AE$36</definedName>
    <definedName name="Z_8FA8B620_C56C_11DB_A857_00055D5FD5FF_.wvu.PrintArea" localSheetId="17" hidden="1">'1.21'!$B$3:$AE$36</definedName>
    <definedName name="Z_8FA8B620_C56C_11DB_A857_00055D5FD5FF_.wvu.PrintArea" localSheetId="18" hidden="1">'1.22'!$B$3:$AE$36</definedName>
    <definedName name="Z_8FA8B620_C56C_11DB_A857_00055D5FD5FF_.wvu.PrintArea" localSheetId="19" hidden="1">'1.23'!$B$3:$AE$36</definedName>
    <definedName name="Z_8FA8B620_C56C_11DB_A857_00055D5FD5FF_.wvu.PrintArea" localSheetId="20" hidden="1">'1.26'!$B$3:$AE$36</definedName>
    <definedName name="Z_8FA8B620_C56C_11DB_A857_00055D5FD5FF_.wvu.PrintArea" localSheetId="21" hidden="1">'1.27'!$B$3:$AE$36</definedName>
    <definedName name="Z_8FA8B620_C56C_11DB_A857_00055D5FD5FF_.wvu.PrintArea" localSheetId="22" hidden="1">'1.28'!$B$3:$AE$36</definedName>
    <definedName name="Z_8FA8B620_C56C_11DB_A857_00055D5FD5FF_.wvu.PrintArea" localSheetId="23" hidden="1">'1.29'!$B$3:$AE$36</definedName>
    <definedName name="Z_8FA8B620_C56C_11DB_A857_00055D5FD5FF_.wvu.PrintArea" localSheetId="24" hidden="1">'1.30'!$B$3:$AE$36</definedName>
    <definedName name="Z_8FA8B620_C56C_11DB_A857_00055D5FD5FF_.wvu.PrintArea" localSheetId="5" hidden="1">'1.5'!$B$3:$AE$36</definedName>
    <definedName name="Z_8FA8B620_C56C_11DB_A857_00055D5FD5FF_.wvu.PrintArea" localSheetId="6" hidden="1">'1.6'!$B$3:$AE$36</definedName>
    <definedName name="Z_8FA8B620_C56C_11DB_A857_00055D5FD5FF_.wvu.PrintArea" localSheetId="7" hidden="1">'1.7'!$B$3:$AE$36</definedName>
    <definedName name="Z_8FA8B620_C56C_11DB_A857_00055D5FD5FF_.wvu.PrintArea" localSheetId="8" hidden="1">'1.8'!$B$3:$AE$36</definedName>
    <definedName name="Z_8FA8B620_C56C_11DB_A857_00055D5FD5FF_.wvu.PrintArea" localSheetId="9" hidden="1">'1.9'!$B$3:$AE$36</definedName>
    <definedName name="Z_8FA8B620_C56C_11DB_A857_00055D5FD5FF_.wvu.PrintArea" localSheetId="2" hidden="1">'12.31'!$B$3:$AE$36</definedName>
    <definedName name="Z_A3DB5619_047E_4CE2_8C39_700CFD25F2CB_.wvu.PrintArea" localSheetId="3" hidden="1">'1.1'!$B$3:$AE$36</definedName>
    <definedName name="Z_A3DB5619_047E_4CE2_8C39_700CFD25F2CB_.wvu.PrintArea" localSheetId="10" hidden="1">'1.12'!$B$3:$AE$36</definedName>
    <definedName name="Z_A3DB5619_047E_4CE2_8C39_700CFD25F2CB_.wvu.PrintArea" localSheetId="11" hidden="1">'1.13'!$B$3:$AE$36</definedName>
    <definedName name="Z_A3DB5619_047E_4CE2_8C39_700CFD25F2CB_.wvu.PrintArea" localSheetId="12" hidden="1">'1.14'!$B$3:$AE$36</definedName>
    <definedName name="Z_A3DB5619_047E_4CE2_8C39_700CFD25F2CB_.wvu.PrintArea" localSheetId="13" hidden="1">'1.15'!$B$3:$AE$36</definedName>
    <definedName name="Z_A3DB5619_047E_4CE2_8C39_700CFD25F2CB_.wvu.PrintArea" localSheetId="14" hidden="1">'1.16'!$B$3:$AE$36</definedName>
    <definedName name="Z_A3DB5619_047E_4CE2_8C39_700CFD25F2CB_.wvu.PrintArea" localSheetId="15" hidden="1">'1.19'!$B$3:$AE$36</definedName>
    <definedName name="Z_A3DB5619_047E_4CE2_8C39_700CFD25F2CB_.wvu.PrintArea" localSheetId="4" hidden="1">'1.2'!$B$3:$AE$36</definedName>
    <definedName name="Z_A3DB5619_047E_4CE2_8C39_700CFD25F2CB_.wvu.PrintArea" localSheetId="16" hidden="1">'1.20'!$B$3:$AE$36</definedName>
    <definedName name="Z_A3DB5619_047E_4CE2_8C39_700CFD25F2CB_.wvu.PrintArea" localSheetId="17" hidden="1">'1.21'!$B$3:$AE$36</definedName>
    <definedName name="Z_A3DB5619_047E_4CE2_8C39_700CFD25F2CB_.wvu.PrintArea" localSheetId="18" hidden="1">'1.22'!$B$3:$AE$36</definedName>
    <definedName name="Z_A3DB5619_047E_4CE2_8C39_700CFD25F2CB_.wvu.PrintArea" localSheetId="19" hidden="1">'1.23'!$B$3:$AE$36</definedName>
    <definedName name="Z_A3DB5619_047E_4CE2_8C39_700CFD25F2CB_.wvu.PrintArea" localSheetId="20" hidden="1">'1.26'!$B$3:$AE$36</definedName>
    <definedName name="Z_A3DB5619_047E_4CE2_8C39_700CFD25F2CB_.wvu.PrintArea" localSheetId="21" hidden="1">'1.27'!$B$3:$AE$36</definedName>
    <definedName name="Z_A3DB5619_047E_4CE2_8C39_700CFD25F2CB_.wvu.PrintArea" localSheetId="22" hidden="1">'1.28'!$B$3:$AE$36</definedName>
    <definedName name="Z_A3DB5619_047E_4CE2_8C39_700CFD25F2CB_.wvu.PrintArea" localSheetId="23" hidden="1">'1.29'!$B$3:$AE$36</definedName>
    <definedName name="Z_A3DB5619_047E_4CE2_8C39_700CFD25F2CB_.wvu.PrintArea" localSheetId="24" hidden="1">'1.30'!$B$3:$AE$36</definedName>
    <definedName name="Z_A3DB5619_047E_4CE2_8C39_700CFD25F2CB_.wvu.PrintArea" localSheetId="5" hidden="1">'1.5'!$B$3:$AE$36</definedName>
    <definedName name="Z_A3DB5619_047E_4CE2_8C39_700CFD25F2CB_.wvu.PrintArea" localSheetId="6" hidden="1">'1.6'!$B$3:$AE$36</definedName>
    <definedName name="Z_A3DB5619_047E_4CE2_8C39_700CFD25F2CB_.wvu.PrintArea" localSheetId="7" hidden="1">'1.7'!$B$3:$AE$36</definedName>
    <definedName name="Z_A3DB5619_047E_4CE2_8C39_700CFD25F2CB_.wvu.PrintArea" localSheetId="8" hidden="1">'1.8'!$B$3:$AE$36</definedName>
    <definedName name="Z_A3DB5619_047E_4CE2_8C39_700CFD25F2CB_.wvu.PrintArea" localSheetId="9" hidden="1">'1.9'!$B$3:$AE$36</definedName>
    <definedName name="Z_A3DB5619_047E_4CE2_8C39_700CFD25F2CB_.wvu.PrintArea" localSheetId="2" hidden="1">'12.31'!$B$3:$AE$36</definedName>
    <definedName name="Z_D903F940_B812_11DB_B168_0010B575B8B2_.wvu.PrintArea" localSheetId="3" hidden="1">'1.1'!$B$3:$AE$36</definedName>
    <definedName name="Z_D903F940_B812_11DB_B168_0010B575B8B2_.wvu.PrintArea" localSheetId="10" hidden="1">'1.12'!$B$3:$AE$36</definedName>
    <definedName name="Z_D903F940_B812_11DB_B168_0010B575B8B2_.wvu.PrintArea" localSheetId="11" hidden="1">'1.13'!$B$3:$AE$36</definedName>
    <definedName name="Z_D903F940_B812_11DB_B168_0010B575B8B2_.wvu.PrintArea" localSheetId="12" hidden="1">'1.14'!$B$3:$AE$36</definedName>
    <definedName name="Z_D903F940_B812_11DB_B168_0010B575B8B2_.wvu.PrintArea" localSheetId="13" hidden="1">'1.15'!$B$3:$AE$36</definedName>
    <definedName name="Z_D903F940_B812_11DB_B168_0010B575B8B2_.wvu.PrintArea" localSheetId="14" hidden="1">'1.16'!$B$3:$AE$36</definedName>
    <definedName name="Z_D903F940_B812_11DB_B168_0010B575B8B2_.wvu.PrintArea" localSheetId="15" hidden="1">'1.19'!$B$3:$AE$36</definedName>
    <definedName name="Z_D903F940_B812_11DB_B168_0010B575B8B2_.wvu.PrintArea" localSheetId="4" hidden="1">'1.2'!$B$3:$AE$36</definedName>
    <definedName name="Z_D903F940_B812_11DB_B168_0010B575B8B2_.wvu.PrintArea" localSheetId="16" hidden="1">'1.20'!$B$3:$AE$36</definedName>
    <definedName name="Z_D903F940_B812_11DB_B168_0010B575B8B2_.wvu.PrintArea" localSheetId="17" hidden="1">'1.21'!$B$3:$AE$36</definedName>
    <definedName name="Z_D903F940_B812_11DB_B168_0010B575B8B2_.wvu.PrintArea" localSheetId="18" hidden="1">'1.22'!$B$3:$AE$36</definedName>
    <definedName name="Z_D903F940_B812_11DB_B168_0010B575B8B2_.wvu.PrintArea" localSheetId="19" hidden="1">'1.23'!$B$3:$AE$36</definedName>
    <definedName name="Z_D903F940_B812_11DB_B168_0010B575B8B2_.wvu.PrintArea" localSheetId="20" hidden="1">'1.26'!$B$3:$AE$36</definedName>
    <definedName name="Z_D903F940_B812_11DB_B168_0010B575B8B2_.wvu.PrintArea" localSheetId="21" hidden="1">'1.27'!$B$3:$AE$36</definedName>
    <definedName name="Z_D903F940_B812_11DB_B168_0010B575B8B2_.wvu.PrintArea" localSheetId="22" hidden="1">'1.28'!$B$3:$AE$36</definedName>
    <definedName name="Z_D903F940_B812_11DB_B168_0010B575B8B2_.wvu.PrintArea" localSheetId="23" hidden="1">'1.29'!$B$3:$AE$36</definedName>
    <definedName name="Z_D903F940_B812_11DB_B168_0010B575B8B2_.wvu.PrintArea" localSheetId="24" hidden="1">'1.30'!$B$3:$AE$36</definedName>
    <definedName name="Z_D903F940_B812_11DB_B168_0010B575B8B2_.wvu.PrintArea" localSheetId="5" hidden="1">'1.5'!$B$3:$AE$36</definedName>
    <definedName name="Z_D903F940_B812_11DB_B168_0010B575B8B2_.wvu.PrintArea" localSheetId="6" hidden="1">'1.6'!$B$3:$AE$36</definedName>
    <definedName name="Z_D903F940_B812_11DB_B168_0010B575B8B2_.wvu.PrintArea" localSheetId="7" hidden="1">'1.7'!$B$3:$AE$36</definedName>
    <definedName name="Z_D903F940_B812_11DB_B168_0010B575B8B2_.wvu.PrintArea" localSheetId="8" hidden="1">'1.8'!$B$3:$AE$36</definedName>
    <definedName name="Z_D903F940_B812_11DB_B168_0010B575B8B2_.wvu.PrintArea" localSheetId="9" hidden="1">'1.9'!$B$3:$AE$36</definedName>
    <definedName name="Z_D903F940_B812_11DB_B168_0010B575B8B2_.wvu.PrintArea" localSheetId="2" hidden="1">'12.31'!$B$3:$AE$36</definedName>
    <definedName name="取樣回收每月庫存表" localSheetId="3" hidden="1">'1.1'!#REF!</definedName>
    <definedName name="取樣回收每月庫存表" localSheetId="10" hidden="1">'1.12'!#REF!</definedName>
    <definedName name="取樣回收每月庫存表" localSheetId="11" hidden="1">'1.13'!#REF!</definedName>
    <definedName name="取樣回收每月庫存表" localSheetId="12" hidden="1">'1.14'!#REF!</definedName>
    <definedName name="取樣回收每月庫存表" localSheetId="13" hidden="1">'1.15'!#REF!</definedName>
    <definedName name="取樣回收每月庫存表" localSheetId="14" hidden="1">'1.16'!#REF!</definedName>
    <definedName name="取樣回收每月庫存表" localSheetId="15" hidden="1">'1.19'!#REF!</definedName>
    <definedName name="取樣回收每月庫存表" localSheetId="4" hidden="1">'1.2'!#REF!</definedName>
    <definedName name="取樣回收每月庫存表" localSheetId="16" hidden="1">'1.20'!#REF!</definedName>
    <definedName name="取樣回收每月庫存表" localSheetId="17" hidden="1">'1.21'!#REF!</definedName>
    <definedName name="取樣回收每月庫存表" localSheetId="18" hidden="1">'1.22'!#REF!</definedName>
    <definedName name="取樣回收每月庫存表" localSheetId="19" hidden="1">'1.23'!#REF!</definedName>
    <definedName name="取樣回收每月庫存表" localSheetId="20" hidden="1">'1.26'!#REF!</definedName>
    <definedName name="取樣回收每月庫存表" localSheetId="21" hidden="1">'1.27'!#REF!</definedName>
    <definedName name="取樣回收每月庫存表" localSheetId="22" hidden="1">'1.28'!#REF!</definedName>
    <definedName name="取樣回收每月庫存表" localSheetId="23" hidden="1">'1.29'!#REF!</definedName>
    <definedName name="取樣回收每月庫存表" localSheetId="24" hidden="1">'1.30'!#REF!</definedName>
    <definedName name="取樣回收每月庫存表" localSheetId="5" hidden="1">'1.5'!#REF!</definedName>
    <definedName name="取樣回收每月庫存表" localSheetId="6" hidden="1">'1.6'!#REF!</definedName>
    <definedName name="取樣回收每月庫存表" localSheetId="7" hidden="1">'1.7'!#REF!</definedName>
    <definedName name="取樣回收每月庫存表" localSheetId="8" hidden="1">'1.8'!#REF!</definedName>
    <definedName name="取樣回收每月庫存表" localSheetId="9" hidden="1">'1.9'!#REF!</definedName>
    <definedName name="取樣回收每月庫存表" localSheetId="2" hidden="1">'12.31'!#REF!</definedName>
    <definedName name="取樣回收每月庫存表_0620更新" localSheetId="3" hidden="1">'1.1'!$AG$13:$BH$189</definedName>
    <definedName name="取樣回收每月庫存表_0620更新" localSheetId="10" hidden="1">'1.12'!$AG$13:$BH$189</definedName>
    <definedName name="取樣回收每月庫存表_0620更新" localSheetId="11" hidden="1">'1.13'!$AG$13:$BH$189</definedName>
    <definedName name="取樣回收每月庫存表_0620更新" localSheetId="12" hidden="1">'1.14'!$AG$13:$BH$189</definedName>
    <definedName name="取樣回收每月庫存表_0620更新" localSheetId="13" hidden="1">'1.15'!$AG$13:$BH$189</definedName>
    <definedName name="取樣回收每月庫存表_0620更新" localSheetId="14" hidden="1">'1.16'!$AG$13:$BH$189</definedName>
    <definedName name="取樣回收每月庫存表_0620更新" localSheetId="15" hidden="1">'1.19'!$AG$13:$BH$189</definedName>
    <definedName name="取樣回收每月庫存表_0620更新" localSheetId="4" hidden="1">'1.2'!$AG$13:$BH$189</definedName>
    <definedName name="取樣回收每月庫存表_0620更新" localSheetId="16" hidden="1">'1.20'!$AG$13:$BH$189</definedName>
    <definedName name="取樣回收每月庫存表_0620更新" localSheetId="17" hidden="1">'1.21'!$AG$13:$BH$189</definedName>
    <definedName name="取樣回收每月庫存表_0620更新" localSheetId="18" hidden="1">'1.22'!$AG$13:$BH$189</definedName>
    <definedName name="取樣回收每月庫存表_0620更新" localSheetId="19" hidden="1">'1.23'!$AG$13:$BH$189</definedName>
    <definedName name="取樣回收每月庫存表_0620更新" localSheetId="20" hidden="1">'1.26'!$AG$13:$BH$189</definedName>
    <definedName name="取樣回收每月庫存表_0620更新" localSheetId="21" hidden="1">'1.27'!$AG$13:$BH$189</definedName>
    <definedName name="取樣回收每月庫存表_0620更新" localSheetId="22" hidden="1">'1.28'!$AG$13:$BH$189</definedName>
    <definedName name="取樣回收每月庫存表_0620更新" localSheetId="23" hidden="1">'1.29'!$AG$13:$BH$189</definedName>
    <definedName name="取樣回收每月庫存表_0620更新" localSheetId="24" hidden="1">'1.30'!$AG$13:$BH$189</definedName>
    <definedName name="取樣回收每月庫存表_0620更新" localSheetId="5" hidden="1">'1.5'!$AG$13:$BH$189</definedName>
    <definedName name="取樣回收每月庫存表_0620更新" localSheetId="6" hidden="1">'1.6'!$AG$13:$BH$189</definedName>
    <definedName name="取樣回收每月庫存表_0620更新" localSheetId="7" hidden="1">'1.7'!$AG$13:$BH$189</definedName>
    <definedName name="取樣回收每月庫存表_0620更新" localSheetId="8" hidden="1">'1.8'!$AG$13:$BH$189</definedName>
    <definedName name="取樣回收每月庫存表_0620更新" localSheetId="9" hidden="1">'1.9'!$AG$13:$BH$189</definedName>
    <definedName name="取樣回收每月庫存表_0620更新" localSheetId="2" hidden="1">'12.31'!$AG$13:$BH$189</definedName>
    <definedName name="複本_14_取樣回收每月庫存表" localSheetId="3" hidden="1">'1.1'!#REF!</definedName>
    <definedName name="複本_14_取樣回收每月庫存表" localSheetId="10" hidden="1">'1.12'!#REF!</definedName>
    <definedName name="複本_14_取樣回收每月庫存表" localSheetId="11" hidden="1">'1.13'!#REF!</definedName>
    <definedName name="複本_14_取樣回收每月庫存表" localSheetId="12" hidden="1">'1.14'!#REF!</definedName>
    <definedName name="複本_14_取樣回收每月庫存表" localSheetId="13" hidden="1">'1.15'!#REF!</definedName>
    <definedName name="複本_14_取樣回收每月庫存表" localSheetId="14" hidden="1">'1.16'!#REF!</definedName>
    <definedName name="複本_14_取樣回收每月庫存表" localSheetId="15" hidden="1">'1.19'!#REF!</definedName>
    <definedName name="複本_14_取樣回收每月庫存表" localSheetId="4" hidden="1">'1.2'!#REF!</definedName>
    <definedName name="複本_14_取樣回收每月庫存表" localSheetId="16" hidden="1">'1.20'!#REF!</definedName>
    <definedName name="複本_14_取樣回收每月庫存表" localSheetId="17" hidden="1">'1.21'!#REF!</definedName>
    <definedName name="複本_14_取樣回收每月庫存表" localSheetId="18" hidden="1">'1.22'!#REF!</definedName>
    <definedName name="複本_14_取樣回收每月庫存表" localSheetId="19" hidden="1">'1.23'!#REF!</definedName>
    <definedName name="複本_14_取樣回收每月庫存表" localSheetId="20" hidden="1">'1.26'!#REF!</definedName>
    <definedName name="複本_14_取樣回收每月庫存表" localSheetId="21" hidden="1">'1.27'!#REF!</definedName>
    <definedName name="複本_14_取樣回收每月庫存表" localSheetId="22" hidden="1">'1.28'!#REF!</definedName>
    <definedName name="複本_14_取樣回收每月庫存表" localSheetId="23" hidden="1">'1.29'!#REF!</definedName>
    <definedName name="複本_14_取樣回收每月庫存表" localSheetId="24" hidden="1">'1.30'!#REF!</definedName>
    <definedName name="複本_14_取樣回收每月庫存表" localSheetId="5" hidden="1">'1.5'!#REF!</definedName>
    <definedName name="複本_14_取樣回收每月庫存表" localSheetId="6" hidden="1">'1.6'!#REF!</definedName>
    <definedName name="複本_14_取樣回收每月庫存表" localSheetId="7" hidden="1">'1.7'!#REF!</definedName>
    <definedName name="複本_14_取樣回收每月庫存表" localSheetId="8" hidden="1">'1.8'!#REF!</definedName>
    <definedName name="複本_14_取樣回收每月庫存表" localSheetId="9" hidden="1">'1.9'!#REF!</definedName>
    <definedName name="複本_14_取樣回收每月庫存表" localSheetId="2" hidden="1">'12.31'!#REF!</definedName>
  </definedNames>
  <calcPr calcId="162913"/>
</workbook>
</file>

<file path=xl/calcChain.xml><?xml version="1.0" encoding="utf-8"?>
<calcChain xmlns="http://schemas.openxmlformats.org/spreadsheetml/2006/main">
  <c r="AA33" i="2080" l="1"/>
  <c r="X33" i="2080"/>
  <c r="U33" i="2080"/>
  <c r="R33" i="2080"/>
  <c r="F33" i="2080"/>
  <c r="Y28" i="2080"/>
  <c r="X28" i="2080"/>
  <c r="S33" i="2080" s="1"/>
  <c r="W28" i="2080"/>
  <c r="V28" i="2080"/>
  <c r="U28" i="2080"/>
  <c r="T28" i="2080"/>
  <c r="S28" i="2080"/>
  <c r="R28" i="2080"/>
  <c r="Q28" i="2080"/>
  <c r="P28" i="2080"/>
  <c r="O28" i="2080"/>
  <c r="N28" i="2080"/>
  <c r="M28" i="2080"/>
  <c r="L28" i="2080"/>
  <c r="K28" i="2080"/>
  <c r="J28" i="2080"/>
  <c r="I28" i="2080"/>
  <c r="H28" i="2080"/>
  <c r="G28" i="2080"/>
  <c r="F28" i="2080"/>
  <c r="E28" i="2080"/>
  <c r="D28" i="2080"/>
  <c r="Y25" i="2080"/>
  <c r="X25" i="2080"/>
  <c r="W25" i="2080"/>
  <c r="V25" i="2080"/>
  <c r="U25" i="2080"/>
  <c r="T25" i="2080"/>
  <c r="S25" i="2080"/>
  <c r="R25" i="2080"/>
  <c r="Q25" i="2080"/>
  <c r="P25" i="2080"/>
  <c r="O25" i="2080"/>
  <c r="N25" i="2080"/>
  <c r="M25" i="2080"/>
  <c r="L25" i="2080"/>
  <c r="K25" i="2080"/>
  <c r="J25" i="2080"/>
  <c r="I25" i="2080"/>
  <c r="H25" i="2080"/>
  <c r="G25" i="2080"/>
  <c r="F25" i="2080"/>
  <c r="E25" i="2080"/>
  <c r="D25" i="2080"/>
  <c r="AE19" i="2080"/>
  <c r="AD19" i="2080"/>
  <c r="AC19" i="2080"/>
  <c r="AB19" i="2080"/>
  <c r="AA19" i="2080"/>
  <c r="Z19" i="2080"/>
  <c r="Y19" i="2080"/>
  <c r="X19" i="2080"/>
  <c r="T33" i="2080" s="1"/>
  <c r="W19" i="2080"/>
  <c r="V19" i="2080"/>
  <c r="U19" i="2080"/>
  <c r="T19" i="2080"/>
  <c r="S19" i="2080"/>
  <c r="R19" i="2080"/>
  <c r="Q19" i="2080"/>
  <c r="P19" i="2080"/>
  <c r="O19" i="2080"/>
  <c r="N19" i="2080"/>
  <c r="G33" i="2080" s="1"/>
  <c r="M19" i="2080"/>
  <c r="H33" i="2080" s="1"/>
  <c r="L19" i="2080"/>
  <c r="P33" i="2080" s="1"/>
  <c r="K19" i="2080"/>
  <c r="L33" i="2080" s="1"/>
  <c r="J19" i="2080"/>
  <c r="I19" i="2080"/>
  <c r="AB33" i="2080" s="1"/>
  <c r="H19" i="2080"/>
  <c r="G19" i="2080"/>
  <c r="O33" i="2080" s="1"/>
  <c r="F19" i="2080"/>
  <c r="E19" i="2080"/>
  <c r="D19" i="2080"/>
  <c r="AE16" i="2080"/>
  <c r="AD16" i="2080"/>
  <c r="AC16" i="2080"/>
  <c r="AB16" i="2080"/>
  <c r="AA16" i="2080"/>
  <c r="Z16" i="2080"/>
  <c r="X16" i="2080"/>
  <c r="W16" i="2080"/>
  <c r="V16" i="2080"/>
  <c r="U16" i="2080"/>
  <c r="T16" i="2080"/>
  <c r="S16" i="2080"/>
  <c r="R16" i="2080"/>
  <c r="Q16" i="2080"/>
  <c r="P16" i="2080"/>
  <c r="O16" i="2080"/>
  <c r="N16" i="2080"/>
  <c r="M16" i="2080"/>
  <c r="L16" i="2080"/>
  <c r="K16" i="2080"/>
  <c r="J16" i="2080"/>
  <c r="I16" i="2080"/>
  <c r="H16" i="2080"/>
  <c r="G16" i="2080"/>
  <c r="F16" i="2080"/>
  <c r="E16" i="2080"/>
  <c r="D16" i="2080"/>
  <c r="AE10" i="2080"/>
  <c r="AD10" i="2080"/>
  <c r="AC10" i="2080"/>
  <c r="AB10" i="2080"/>
  <c r="AA10" i="2080"/>
  <c r="Z10" i="2080"/>
  <c r="Y10" i="2080"/>
  <c r="X10" i="2080"/>
  <c r="W10" i="2080"/>
  <c r="V10" i="2080"/>
  <c r="U10" i="2080"/>
  <c r="T10" i="2080"/>
  <c r="S10" i="2080"/>
  <c r="R10" i="2080"/>
  <c r="Q10" i="2080"/>
  <c r="P10" i="2080"/>
  <c r="O10" i="2080"/>
  <c r="N10" i="2080"/>
  <c r="M10" i="2080"/>
  <c r="L10" i="2080"/>
  <c r="K10" i="2080"/>
  <c r="J10" i="2080"/>
  <c r="Q33" i="2080" s="1"/>
  <c r="I10" i="2080"/>
  <c r="E33" i="2080" s="1"/>
  <c r="H10" i="2080"/>
  <c r="G10" i="2080"/>
  <c r="F10" i="2080"/>
  <c r="E10" i="2080"/>
  <c r="D10" i="2080"/>
  <c r="AE7" i="2080"/>
  <c r="AD7" i="2080"/>
  <c r="AC7" i="2080"/>
  <c r="AB7" i="2080"/>
  <c r="AA7" i="2080"/>
  <c r="Z7" i="2080"/>
  <c r="Y7" i="2080"/>
  <c r="X7" i="2080"/>
  <c r="W7" i="2080"/>
  <c r="V7" i="2080"/>
  <c r="U7" i="2080"/>
  <c r="T7" i="2080"/>
  <c r="S7" i="2080"/>
  <c r="R7" i="2080"/>
  <c r="Q7" i="2080"/>
  <c r="P7" i="2080"/>
  <c r="O7" i="2080"/>
  <c r="N7" i="2080"/>
  <c r="M7" i="2080"/>
  <c r="L7" i="2080"/>
  <c r="K7" i="2080"/>
  <c r="J7" i="2080"/>
  <c r="I7" i="2080"/>
  <c r="H7" i="2080"/>
  <c r="G7" i="2080"/>
  <c r="F7" i="2080"/>
  <c r="E7" i="2080"/>
  <c r="D7" i="2080"/>
  <c r="W33" i="2080" l="1"/>
  <c r="J33" i="2080"/>
  <c r="AC33" i="2080"/>
  <c r="D33" i="2080"/>
  <c r="Z33" i="2080"/>
  <c r="Y33" i="2080"/>
  <c r="N33" i="2080"/>
  <c r="K33" i="2080"/>
  <c r="M33" i="2080"/>
  <c r="V33" i="2080"/>
  <c r="AA33" i="2079"/>
  <c r="X33" i="2079"/>
  <c r="U33" i="2079"/>
  <c r="R33" i="2079"/>
  <c r="F33" i="2079"/>
  <c r="Y28" i="2079"/>
  <c r="X28" i="2079"/>
  <c r="S33" i="2079" s="1"/>
  <c r="W28" i="2079"/>
  <c r="V28" i="2079"/>
  <c r="U28" i="2079"/>
  <c r="T28" i="2079"/>
  <c r="S28" i="2079"/>
  <c r="R28" i="2079"/>
  <c r="Q28" i="2079"/>
  <c r="P28" i="2079"/>
  <c r="O28" i="2079"/>
  <c r="N28" i="2079"/>
  <c r="M28" i="2079"/>
  <c r="L28" i="2079"/>
  <c r="K28" i="2079"/>
  <c r="J28" i="2079"/>
  <c r="I28" i="2079"/>
  <c r="H28" i="2079"/>
  <c r="G28" i="2079"/>
  <c r="F28" i="2079"/>
  <c r="E28" i="2079"/>
  <c r="D28" i="2079"/>
  <c r="Y25" i="2079"/>
  <c r="X25" i="2079"/>
  <c r="W25" i="2079"/>
  <c r="V25" i="2079"/>
  <c r="U25" i="2079"/>
  <c r="T25" i="2079"/>
  <c r="S25" i="2079"/>
  <c r="R25" i="2079"/>
  <c r="Q25" i="2079"/>
  <c r="P25" i="2079"/>
  <c r="O25" i="2079"/>
  <c r="N25" i="2079"/>
  <c r="M25" i="2079"/>
  <c r="L25" i="2079"/>
  <c r="K25" i="2079"/>
  <c r="J25" i="2079"/>
  <c r="I25" i="2079"/>
  <c r="H25" i="2079"/>
  <c r="G25" i="2079"/>
  <c r="F25" i="2079"/>
  <c r="E25" i="2079"/>
  <c r="D25" i="2079"/>
  <c r="AE19" i="2079"/>
  <c r="AD19" i="2079"/>
  <c r="AC19" i="2079"/>
  <c r="AB19" i="2079"/>
  <c r="AA19" i="2079"/>
  <c r="Z19" i="2079"/>
  <c r="Y19" i="2079"/>
  <c r="X19" i="2079"/>
  <c r="T33" i="2079" s="1"/>
  <c r="W19" i="2079"/>
  <c r="V19" i="2079"/>
  <c r="U19" i="2079"/>
  <c r="T19" i="2079"/>
  <c r="S19" i="2079"/>
  <c r="R19" i="2079"/>
  <c r="Q19" i="2079"/>
  <c r="P19" i="2079"/>
  <c r="O19" i="2079"/>
  <c r="N19" i="2079"/>
  <c r="G33" i="2079" s="1"/>
  <c r="M19" i="2079"/>
  <c r="H33" i="2079" s="1"/>
  <c r="L19" i="2079"/>
  <c r="P33" i="2079" s="1"/>
  <c r="K19" i="2079"/>
  <c r="L33" i="2079" s="1"/>
  <c r="J19" i="2079"/>
  <c r="I19" i="2079"/>
  <c r="AB33" i="2079" s="1"/>
  <c r="H19" i="2079"/>
  <c r="G19" i="2079"/>
  <c r="O33" i="2079" s="1"/>
  <c r="F19" i="2079"/>
  <c r="E19" i="2079"/>
  <c r="D19" i="2079"/>
  <c r="AE16" i="2079"/>
  <c r="AD16" i="2079"/>
  <c r="AC16" i="2079"/>
  <c r="AB16" i="2079"/>
  <c r="AA16" i="2079"/>
  <c r="Z16" i="2079"/>
  <c r="X16" i="2079"/>
  <c r="W16" i="2079"/>
  <c r="V16" i="2079"/>
  <c r="U16" i="2079"/>
  <c r="T16" i="2079"/>
  <c r="S16" i="2079"/>
  <c r="R16" i="2079"/>
  <c r="Q16" i="2079"/>
  <c r="P16" i="2079"/>
  <c r="O16" i="2079"/>
  <c r="N16" i="2079"/>
  <c r="M16" i="2079"/>
  <c r="L16" i="2079"/>
  <c r="K16" i="2079"/>
  <c r="J16" i="2079"/>
  <c r="I16" i="2079"/>
  <c r="H16" i="2079"/>
  <c r="G16" i="2079"/>
  <c r="F16" i="2079"/>
  <c r="E16" i="2079"/>
  <c r="D16" i="2079"/>
  <c r="AE10" i="2079"/>
  <c r="AD10" i="2079"/>
  <c r="AC10" i="2079"/>
  <c r="AB10" i="2079"/>
  <c r="AA10" i="2079"/>
  <c r="Z10" i="2079"/>
  <c r="Y10" i="2079"/>
  <c r="X10" i="2079"/>
  <c r="W10" i="2079"/>
  <c r="V10" i="2079"/>
  <c r="U10" i="2079"/>
  <c r="T10" i="2079"/>
  <c r="S10" i="2079"/>
  <c r="R10" i="2079"/>
  <c r="Q10" i="2079"/>
  <c r="P10" i="2079"/>
  <c r="O10" i="2079"/>
  <c r="N10" i="2079"/>
  <c r="M10" i="2079"/>
  <c r="L10" i="2079"/>
  <c r="K10" i="2079"/>
  <c r="J10" i="2079"/>
  <c r="Q33" i="2079" s="1"/>
  <c r="I10" i="2079"/>
  <c r="E33" i="2079" s="1"/>
  <c r="H10" i="2079"/>
  <c r="G10" i="2079"/>
  <c r="F10" i="2079"/>
  <c r="E10" i="2079"/>
  <c r="D10" i="2079"/>
  <c r="AE7" i="2079"/>
  <c r="AD7" i="2079"/>
  <c r="AC7" i="2079"/>
  <c r="AB7" i="2079"/>
  <c r="AA7" i="2079"/>
  <c r="Z7" i="2079"/>
  <c r="Y7" i="2079"/>
  <c r="X7" i="2079"/>
  <c r="W7" i="2079"/>
  <c r="V7" i="2079"/>
  <c r="U7" i="2079"/>
  <c r="T7" i="2079"/>
  <c r="S7" i="2079"/>
  <c r="R7" i="2079"/>
  <c r="Q7" i="2079"/>
  <c r="P7" i="2079"/>
  <c r="O7" i="2079"/>
  <c r="N7" i="2079"/>
  <c r="M7" i="2079"/>
  <c r="L7" i="2079"/>
  <c r="K7" i="2079"/>
  <c r="J7" i="2079"/>
  <c r="I7" i="2079"/>
  <c r="H7" i="2079"/>
  <c r="G7" i="2079"/>
  <c r="F7" i="2079"/>
  <c r="E7" i="2079"/>
  <c r="D7" i="2079"/>
  <c r="W33" i="2079" l="1"/>
  <c r="J33" i="2079"/>
  <c r="AC33" i="2079"/>
  <c r="V33" i="2079"/>
  <c r="D33" i="2079"/>
  <c r="Z33" i="2079"/>
  <c r="Y33" i="2079"/>
  <c r="N33" i="2079"/>
  <c r="K33" i="2079"/>
  <c r="M33" i="2079"/>
  <c r="AA33" i="2078"/>
  <c r="X33" i="2078"/>
  <c r="U33" i="2078"/>
  <c r="R33" i="2078"/>
  <c r="F33" i="2078"/>
  <c r="Y28" i="2078"/>
  <c r="X28" i="2078"/>
  <c r="S33" i="2078" s="1"/>
  <c r="W28" i="2078"/>
  <c r="V28" i="2078"/>
  <c r="U28" i="2078"/>
  <c r="T28" i="2078"/>
  <c r="S28" i="2078"/>
  <c r="R28" i="2078"/>
  <c r="Q28" i="2078"/>
  <c r="P28" i="2078"/>
  <c r="O28" i="2078"/>
  <c r="N28" i="2078"/>
  <c r="M28" i="2078"/>
  <c r="L28" i="2078"/>
  <c r="K28" i="2078"/>
  <c r="J28" i="2078"/>
  <c r="I28" i="2078"/>
  <c r="H28" i="2078"/>
  <c r="G28" i="2078"/>
  <c r="F28" i="2078"/>
  <c r="E28" i="2078"/>
  <c r="D28" i="2078"/>
  <c r="Y25" i="2078"/>
  <c r="X25" i="2078"/>
  <c r="W25" i="2078"/>
  <c r="V25" i="2078"/>
  <c r="U25" i="2078"/>
  <c r="T25" i="2078"/>
  <c r="S25" i="2078"/>
  <c r="R25" i="2078"/>
  <c r="Q25" i="2078"/>
  <c r="P25" i="2078"/>
  <c r="O25" i="2078"/>
  <c r="N25" i="2078"/>
  <c r="M25" i="2078"/>
  <c r="L25" i="2078"/>
  <c r="K25" i="2078"/>
  <c r="J25" i="2078"/>
  <c r="I25" i="2078"/>
  <c r="H25" i="2078"/>
  <c r="G25" i="2078"/>
  <c r="F25" i="2078"/>
  <c r="E25" i="2078"/>
  <c r="D25" i="2078"/>
  <c r="AE19" i="2078"/>
  <c r="AD19" i="2078"/>
  <c r="AC19" i="2078"/>
  <c r="AB19" i="2078"/>
  <c r="AA19" i="2078"/>
  <c r="Z19" i="2078"/>
  <c r="Y19" i="2078"/>
  <c r="X19" i="2078"/>
  <c r="T33" i="2078" s="1"/>
  <c r="W19" i="2078"/>
  <c r="V19" i="2078"/>
  <c r="U19" i="2078"/>
  <c r="T19" i="2078"/>
  <c r="S19" i="2078"/>
  <c r="R19" i="2078"/>
  <c r="Q19" i="2078"/>
  <c r="P19" i="2078"/>
  <c r="O19" i="2078"/>
  <c r="N19" i="2078"/>
  <c r="G33" i="2078" s="1"/>
  <c r="M19" i="2078"/>
  <c r="H33" i="2078" s="1"/>
  <c r="L19" i="2078"/>
  <c r="P33" i="2078" s="1"/>
  <c r="K19" i="2078"/>
  <c r="L33" i="2078" s="1"/>
  <c r="J19" i="2078"/>
  <c r="I19" i="2078"/>
  <c r="AB33" i="2078" s="1"/>
  <c r="H19" i="2078"/>
  <c r="G19" i="2078"/>
  <c r="O33" i="2078" s="1"/>
  <c r="F19" i="2078"/>
  <c r="E19" i="2078"/>
  <c r="D19" i="2078"/>
  <c r="AE16" i="2078"/>
  <c r="AD16" i="2078"/>
  <c r="AC16" i="2078"/>
  <c r="AB16" i="2078"/>
  <c r="AA16" i="2078"/>
  <c r="Z16" i="2078"/>
  <c r="X16" i="2078"/>
  <c r="W16" i="2078"/>
  <c r="V16" i="2078"/>
  <c r="U16" i="2078"/>
  <c r="T16" i="2078"/>
  <c r="S16" i="2078"/>
  <c r="R16" i="2078"/>
  <c r="Q16" i="2078"/>
  <c r="P16" i="2078"/>
  <c r="O16" i="2078"/>
  <c r="N16" i="2078"/>
  <c r="M16" i="2078"/>
  <c r="L16" i="2078"/>
  <c r="K16" i="2078"/>
  <c r="J16" i="2078"/>
  <c r="I16" i="2078"/>
  <c r="H16" i="2078"/>
  <c r="G16" i="2078"/>
  <c r="F16" i="2078"/>
  <c r="E16" i="2078"/>
  <c r="D16" i="2078"/>
  <c r="AE10" i="2078"/>
  <c r="AD10" i="2078"/>
  <c r="AC10" i="2078"/>
  <c r="AB10" i="2078"/>
  <c r="AA10" i="2078"/>
  <c r="Z10" i="2078"/>
  <c r="Y10" i="2078"/>
  <c r="X10" i="2078"/>
  <c r="W10" i="2078"/>
  <c r="V10" i="2078"/>
  <c r="U10" i="2078"/>
  <c r="T10" i="2078"/>
  <c r="S10" i="2078"/>
  <c r="R10" i="2078"/>
  <c r="Q10" i="2078"/>
  <c r="P10" i="2078"/>
  <c r="O10" i="2078"/>
  <c r="N10" i="2078"/>
  <c r="M10" i="2078"/>
  <c r="L10" i="2078"/>
  <c r="K10" i="2078"/>
  <c r="J10" i="2078"/>
  <c r="Q33" i="2078" s="1"/>
  <c r="I10" i="2078"/>
  <c r="E33" i="2078" s="1"/>
  <c r="H10" i="2078"/>
  <c r="G10" i="2078"/>
  <c r="F10" i="2078"/>
  <c r="E10" i="2078"/>
  <c r="D10" i="2078"/>
  <c r="AE7" i="2078"/>
  <c r="AD7" i="2078"/>
  <c r="AC7" i="2078"/>
  <c r="AB7" i="2078"/>
  <c r="AA7" i="2078"/>
  <c r="Z7" i="2078"/>
  <c r="Y7" i="2078"/>
  <c r="X7" i="2078"/>
  <c r="W7" i="2078"/>
  <c r="V7" i="2078"/>
  <c r="U7" i="2078"/>
  <c r="T7" i="2078"/>
  <c r="S7" i="2078"/>
  <c r="R7" i="2078"/>
  <c r="Q7" i="2078"/>
  <c r="P7" i="2078"/>
  <c r="O7" i="2078"/>
  <c r="N7" i="2078"/>
  <c r="M7" i="2078"/>
  <c r="L7" i="2078"/>
  <c r="K7" i="2078"/>
  <c r="J7" i="2078"/>
  <c r="I7" i="2078"/>
  <c r="H7" i="2078"/>
  <c r="G7" i="2078"/>
  <c r="F7" i="2078"/>
  <c r="E7" i="2078"/>
  <c r="D7" i="2078"/>
  <c r="W33" i="2078" l="1"/>
  <c r="J33" i="2078"/>
  <c r="K33" i="2078"/>
  <c r="AC33" i="2078"/>
  <c r="D33" i="2078"/>
  <c r="Z33" i="2078"/>
  <c r="Y33" i="2078"/>
  <c r="N33" i="2078"/>
  <c r="M33" i="2078"/>
  <c r="V33" i="2078"/>
  <c r="AA33" i="2077"/>
  <c r="X33" i="2077"/>
  <c r="U33" i="2077"/>
  <c r="R33" i="2077"/>
  <c r="F33" i="2077"/>
  <c r="Y28" i="2077"/>
  <c r="X28" i="2077"/>
  <c r="S33" i="2077" s="1"/>
  <c r="W28" i="2077"/>
  <c r="V28" i="2077"/>
  <c r="U28" i="2077"/>
  <c r="T28" i="2077"/>
  <c r="S28" i="2077"/>
  <c r="R28" i="2077"/>
  <c r="Q28" i="2077"/>
  <c r="P28" i="2077"/>
  <c r="O28" i="2077"/>
  <c r="N28" i="2077"/>
  <c r="M28" i="2077"/>
  <c r="L28" i="2077"/>
  <c r="K28" i="2077"/>
  <c r="J28" i="2077"/>
  <c r="I28" i="2077"/>
  <c r="H28" i="2077"/>
  <c r="G28" i="2077"/>
  <c r="F28" i="2077"/>
  <c r="E28" i="2077"/>
  <c r="D28" i="2077"/>
  <c r="Y25" i="2077"/>
  <c r="X25" i="2077"/>
  <c r="W25" i="2077"/>
  <c r="V25" i="2077"/>
  <c r="U25" i="2077"/>
  <c r="T25" i="2077"/>
  <c r="S25" i="2077"/>
  <c r="R25" i="2077"/>
  <c r="Q25" i="2077"/>
  <c r="P25" i="2077"/>
  <c r="O25" i="2077"/>
  <c r="N25" i="2077"/>
  <c r="M25" i="2077"/>
  <c r="L25" i="2077"/>
  <c r="K25" i="2077"/>
  <c r="J25" i="2077"/>
  <c r="I25" i="2077"/>
  <c r="H25" i="2077"/>
  <c r="G25" i="2077"/>
  <c r="F25" i="2077"/>
  <c r="E25" i="2077"/>
  <c r="D25" i="2077"/>
  <c r="AE19" i="2077"/>
  <c r="AD19" i="2077"/>
  <c r="AC19" i="2077"/>
  <c r="AB19" i="2077"/>
  <c r="AA19" i="2077"/>
  <c r="Z19" i="2077"/>
  <c r="Y19" i="2077"/>
  <c r="X19" i="2077"/>
  <c r="T33" i="2077" s="1"/>
  <c r="W19" i="2077"/>
  <c r="V19" i="2077"/>
  <c r="U19" i="2077"/>
  <c r="T19" i="2077"/>
  <c r="S19" i="2077"/>
  <c r="R19" i="2077"/>
  <c r="Q19" i="2077"/>
  <c r="P19" i="2077"/>
  <c r="O19" i="2077"/>
  <c r="N19" i="2077"/>
  <c r="G33" i="2077" s="1"/>
  <c r="M19" i="2077"/>
  <c r="H33" i="2077" s="1"/>
  <c r="L19" i="2077"/>
  <c r="P33" i="2077" s="1"/>
  <c r="K19" i="2077"/>
  <c r="L33" i="2077" s="1"/>
  <c r="J19" i="2077"/>
  <c r="I19" i="2077"/>
  <c r="AB33" i="2077" s="1"/>
  <c r="H19" i="2077"/>
  <c r="G19" i="2077"/>
  <c r="O33" i="2077" s="1"/>
  <c r="F19" i="2077"/>
  <c r="E19" i="2077"/>
  <c r="D19" i="2077"/>
  <c r="AE16" i="2077"/>
  <c r="AD16" i="2077"/>
  <c r="AC16" i="2077"/>
  <c r="AB16" i="2077"/>
  <c r="AA16" i="2077"/>
  <c r="Z16" i="2077"/>
  <c r="X16" i="2077"/>
  <c r="W16" i="2077"/>
  <c r="V16" i="2077"/>
  <c r="U16" i="2077"/>
  <c r="T16" i="2077"/>
  <c r="S16" i="2077"/>
  <c r="R16" i="2077"/>
  <c r="Q16" i="2077"/>
  <c r="P16" i="2077"/>
  <c r="O16" i="2077"/>
  <c r="N16" i="2077"/>
  <c r="M16" i="2077"/>
  <c r="L16" i="2077"/>
  <c r="K16" i="2077"/>
  <c r="J16" i="2077"/>
  <c r="I16" i="2077"/>
  <c r="H16" i="2077"/>
  <c r="G16" i="2077"/>
  <c r="F16" i="2077"/>
  <c r="E16" i="2077"/>
  <c r="D16" i="2077"/>
  <c r="AE10" i="2077"/>
  <c r="AD10" i="2077"/>
  <c r="AC10" i="2077"/>
  <c r="AB10" i="2077"/>
  <c r="AA10" i="2077"/>
  <c r="Z10" i="2077"/>
  <c r="Y10" i="2077"/>
  <c r="X10" i="2077"/>
  <c r="W10" i="2077"/>
  <c r="V10" i="2077"/>
  <c r="U10" i="2077"/>
  <c r="T10" i="2077"/>
  <c r="S10" i="2077"/>
  <c r="R10" i="2077"/>
  <c r="Q10" i="2077"/>
  <c r="P10" i="2077"/>
  <c r="O10" i="2077"/>
  <c r="N10" i="2077"/>
  <c r="M10" i="2077"/>
  <c r="L10" i="2077"/>
  <c r="K10" i="2077"/>
  <c r="J10" i="2077"/>
  <c r="Q33" i="2077" s="1"/>
  <c r="I10" i="2077"/>
  <c r="H10" i="2077"/>
  <c r="G10" i="2077"/>
  <c r="F10" i="2077"/>
  <c r="E10" i="2077"/>
  <c r="D10" i="2077"/>
  <c r="AE7" i="2077"/>
  <c r="AD7" i="2077"/>
  <c r="AC7" i="2077"/>
  <c r="AB7" i="2077"/>
  <c r="AA7" i="2077"/>
  <c r="Z7" i="2077"/>
  <c r="Y7" i="2077"/>
  <c r="X7" i="2077"/>
  <c r="W7" i="2077"/>
  <c r="V7" i="2077"/>
  <c r="U7" i="2077"/>
  <c r="T7" i="2077"/>
  <c r="S7" i="2077"/>
  <c r="R7" i="2077"/>
  <c r="Q7" i="2077"/>
  <c r="P7" i="2077"/>
  <c r="O7" i="2077"/>
  <c r="N7" i="2077"/>
  <c r="M7" i="2077"/>
  <c r="L7" i="2077"/>
  <c r="K7" i="2077"/>
  <c r="J7" i="2077"/>
  <c r="I7" i="2077"/>
  <c r="H7" i="2077"/>
  <c r="G7" i="2077"/>
  <c r="F7" i="2077"/>
  <c r="E7" i="2077"/>
  <c r="D7" i="2077"/>
  <c r="W33" i="2077" l="1"/>
  <c r="M33" i="2077"/>
  <c r="J33" i="2077"/>
  <c r="K33" i="2077"/>
  <c r="N33" i="2077"/>
  <c r="AC33" i="2077"/>
  <c r="D33" i="2077"/>
  <c r="Z33" i="2077"/>
  <c r="Y33" i="2077"/>
  <c r="E33" i="2077"/>
  <c r="V33" i="2077"/>
  <c r="AA33" i="2076"/>
  <c r="X33" i="2076"/>
  <c r="U33" i="2076"/>
  <c r="R33" i="2076"/>
  <c r="F33" i="2076"/>
  <c r="Y28" i="2076"/>
  <c r="X28" i="2076"/>
  <c r="S33" i="2076" s="1"/>
  <c r="W28" i="2076"/>
  <c r="V28" i="2076"/>
  <c r="U28" i="2076"/>
  <c r="T28" i="2076"/>
  <c r="S28" i="2076"/>
  <c r="R28" i="2076"/>
  <c r="Q28" i="2076"/>
  <c r="P28" i="2076"/>
  <c r="O28" i="2076"/>
  <c r="N28" i="2076"/>
  <c r="M28" i="2076"/>
  <c r="L28" i="2076"/>
  <c r="K28" i="2076"/>
  <c r="J28" i="2076"/>
  <c r="I28" i="2076"/>
  <c r="H28" i="2076"/>
  <c r="G28" i="2076"/>
  <c r="F28" i="2076"/>
  <c r="E28" i="2076"/>
  <c r="D28" i="2076"/>
  <c r="Y25" i="2076"/>
  <c r="X25" i="2076"/>
  <c r="W25" i="2076"/>
  <c r="V25" i="2076"/>
  <c r="U25" i="2076"/>
  <c r="T25" i="2076"/>
  <c r="S25" i="2076"/>
  <c r="R25" i="2076"/>
  <c r="Q25" i="2076"/>
  <c r="P25" i="2076"/>
  <c r="O25" i="2076"/>
  <c r="N25" i="2076"/>
  <c r="M25" i="2076"/>
  <c r="L25" i="2076"/>
  <c r="K25" i="2076"/>
  <c r="J25" i="2076"/>
  <c r="I25" i="2076"/>
  <c r="H25" i="2076"/>
  <c r="G25" i="2076"/>
  <c r="F25" i="2076"/>
  <c r="E25" i="2076"/>
  <c r="D25" i="2076"/>
  <c r="AE19" i="2076"/>
  <c r="AD19" i="2076"/>
  <c r="AC19" i="2076"/>
  <c r="AB19" i="2076"/>
  <c r="AA19" i="2076"/>
  <c r="Z19" i="2076"/>
  <c r="Y19" i="2076"/>
  <c r="X19" i="2076"/>
  <c r="T33" i="2076" s="1"/>
  <c r="W19" i="2076"/>
  <c r="V19" i="2076"/>
  <c r="U19" i="2076"/>
  <c r="T19" i="2076"/>
  <c r="S19" i="2076"/>
  <c r="R19" i="2076"/>
  <c r="Q19" i="2076"/>
  <c r="P19" i="2076"/>
  <c r="O19" i="2076"/>
  <c r="N19" i="2076"/>
  <c r="G33" i="2076" s="1"/>
  <c r="M19" i="2076"/>
  <c r="H33" i="2076" s="1"/>
  <c r="L19" i="2076"/>
  <c r="P33" i="2076" s="1"/>
  <c r="K19" i="2076"/>
  <c r="L33" i="2076" s="1"/>
  <c r="J19" i="2076"/>
  <c r="I19" i="2076"/>
  <c r="AB33" i="2076" s="1"/>
  <c r="H19" i="2076"/>
  <c r="G19" i="2076"/>
  <c r="O33" i="2076" s="1"/>
  <c r="F19" i="2076"/>
  <c r="E19" i="2076"/>
  <c r="D19" i="2076"/>
  <c r="AE16" i="2076"/>
  <c r="AD16" i="2076"/>
  <c r="AC16" i="2076"/>
  <c r="AB16" i="2076"/>
  <c r="AA16" i="2076"/>
  <c r="Z16" i="2076"/>
  <c r="X16" i="2076"/>
  <c r="W16" i="2076"/>
  <c r="V16" i="2076"/>
  <c r="U16" i="2076"/>
  <c r="T16" i="2076"/>
  <c r="S16" i="2076"/>
  <c r="R16" i="2076"/>
  <c r="Q16" i="2076"/>
  <c r="P16" i="2076"/>
  <c r="O16" i="2076"/>
  <c r="N16" i="2076"/>
  <c r="M16" i="2076"/>
  <c r="L16" i="2076"/>
  <c r="K16" i="2076"/>
  <c r="J16" i="2076"/>
  <c r="I16" i="2076"/>
  <c r="H16" i="2076"/>
  <c r="G16" i="2076"/>
  <c r="F16" i="2076"/>
  <c r="E16" i="2076"/>
  <c r="D16" i="2076"/>
  <c r="AE10" i="2076"/>
  <c r="AD10" i="2076"/>
  <c r="AC10" i="2076"/>
  <c r="AB10" i="2076"/>
  <c r="AA10" i="2076"/>
  <c r="Z10" i="2076"/>
  <c r="Y10" i="2076"/>
  <c r="X10" i="2076"/>
  <c r="W10" i="2076"/>
  <c r="V10" i="2076"/>
  <c r="U10" i="2076"/>
  <c r="T10" i="2076"/>
  <c r="S10" i="2076"/>
  <c r="R10" i="2076"/>
  <c r="Q10" i="2076"/>
  <c r="P10" i="2076"/>
  <c r="O10" i="2076"/>
  <c r="N10" i="2076"/>
  <c r="M10" i="2076"/>
  <c r="L10" i="2076"/>
  <c r="K10" i="2076"/>
  <c r="J10" i="2076"/>
  <c r="Q33" i="2076" s="1"/>
  <c r="I10" i="2076"/>
  <c r="E33" i="2076" s="1"/>
  <c r="H10" i="2076"/>
  <c r="G10" i="2076"/>
  <c r="F10" i="2076"/>
  <c r="E10" i="2076"/>
  <c r="D10" i="2076"/>
  <c r="AE7" i="2076"/>
  <c r="AD7" i="2076"/>
  <c r="AC7" i="2076"/>
  <c r="AB7" i="2076"/>
  <c r="AA7" i="2076"/>
  <c r="Z7" i="2076"/>
  <c r="Y7" i="2076"/>
  <c r="X7" i="2076"/>
  <c r="W7" i="2076"/>
  <c r="V7" i="2076"/>
  <c r="U7" i="2076"/>
  <c r="T7" i="2076"/>
  <c r="S7" i="2076"/>
  <c r="R7" i="2076"/>
  <c r="Q7" i="2076"/>
  <c r="P7" i="2076"/>
  <c r="O7" i="2076"/>
  <c r="N7" i="2076"/>
  <c r="M7" i="2076"/>
  <c r="L7" i="2076"/>
  <c r="K7" i="2076"/>
  <c r="J7" i="2076"/>
  <c r="I7" i="2076"/>
  <c r="H7" i="2076"/>
  <c r="G7" i="2076"/>
  <c r="F7" i="2076"/>
  <c r="E7" i="2076"/>
  <c r="D7" i="2076"/>
  <c r="W33" i="2076" l="1"/>
  <c r="J33" i="2076"/>
  <c r="N33" i="2076"/>
  <c r="AC33" i="2076"/>
  <c r="D33" i="2076"/>
  <c r="Z33" i="2076"/>
  <c r="Y33" i="2076"/>
  <c r="K33" i="2076"/>
  <c r="M33" i="2076"/>
  <c r="V33" i="2076"/>
  <c r="AA33" i="2075"/>
  <c r="X33" i="2075"/>
  <c r="U33" i="2075"/>
  <c r="R33" i="2075"/>
  <c r="F33" i="2075"/>
  <c r="Y28" i="2075"/>
  <c r="X28" i="2075"/>
  <c r="S33" i="2075" s="1"/>
  <c r="W28" i="2075"/>
  <c r="V28" i="2075"/>
  <c r="U28" i="2075"/>
  <c r="T28" i="2075"/>
  <c r="S28" i="2075"/>
  <c r="R28" i="2075"/>
  <c r="Q28" i="2075"/>
  <c r="P28" i="2075"/>
  <c r="O28" i="2075"/>
  <c r="N28" i="2075"/>
  <c r="M28" i="2075"/>
  <c r="L28" i="2075"/>
  <c r="K28" i="2075"/>
  <c r="J28" i="2075"/>
  <c r="I28" i="2075"/>
  <c r="H28" i="2075"/>
  <c r="G28" i="2075"/>
  <c r="F28" i="2075"/>
  <c r="E28" i="2075"/>
  <c r="D28" i="2075"/>
  <c r="Y25" i="2075"/>
  <c r="X25" i="2075"/>
  <c r="W25" i="2075"/>
  <c r="V25" i="2075"/>
  <c r="U25" i="2075"/>
  <c r="T25" i="2075"/>
  <c r="S25" i="2075"/>
  <c r="R25" i="2075"/>
  <c r="Q25" i="2075"/>
  <c r="P25" i="2075"/>
  <c r="O25" i="2075"/>
  <c r="N25" i="2075"/>
  <c r="M25" i="2075"/>
  <c r="L25" i="2075"/>
  <c r="K25" i="2075"/>
  <c r="J25" i="2075"/>
  <c r="I25" i="2075"/>
  <c r="H25" i="2075"/>
  <c r="G25" i="2075"/>
  <c r="F25" i="2075"/>
  <c r="E25" i="2075"/>
  <c r="D25" i="2075"/>
  <c r="AE19" i="2075"/>
  <c r="AD19" i="2075"/>
  <c r="AC19" i="2075"/>
  <c r="AB19" i="2075"/>
  <c r="AA19" i="2075"/>
  <c r="Z19" i="2075"/>
  <c r="Y19" i="2075"/>
  <c r="X19" i="2075"/>
  <c r="T33" i="2075" s="1"/>
  <c r="W19" i="2075"/>
  <c r="V19" i="2075"/>
  <c r="U19" i="2075"/>
  <c r="T19" i="2075"/>
  <c r="S19" i="2075"/>
  <c r="R19" i="2075"/>
  <c r="Q19" i="2075"/>
  <c r="P19" i="2075"/>
  <c r="O19" i="2075"/>
  <c r="N19" i="2075"/>
  <c r="G33" i="2075" s="1"/>
  <c r="M19" i="2075"/>
  <c r="H33" i="2075" s="1"/>
  <c r="L19" i="2075"/>
  <c r="P33" i="2075" s="1"/>
  <c r="K19" i="2075"/>
  <c r="L33" i="2075" s="1"/>
  <c r="J19" i="2075"/>
  <c r="I19" i="2075"/>
  <c r="AB33" i="2075" s="1"/>
  <c r="H19" i="2075"/>
  <c r="G19" i="2075"/>
  <c r="O33" i="2075" s="1"/>
  <c r="F19" i="2075"/>
  <c r="E19" i="2075"/>
  <c r="D19" i="2075"/>
  <c r="AE16" i="2075"/>
  <c r="AD16" i="2075"/>
  <c r="AC16" i="2075"/>
  <c r="AB16" i="2075"/>
  <c r="AA16" i="2075"/>
  <c r="Z16" i="2075"/>
  <c r="X16" i="2075"/>
  <c r="W16" i="2075"/>
  <c r="V16" i="2075"/>
  <c r="U16" i="2075"/>
  <c r="T16" i="2075"/>
  <c r="S16" i="2075"/>
  <c r="R16" i="2075"/>
  <c r="Q16" i="2075"/>
  <c r="P16" i="2075"/>
  <c r="O16" i="2075"/>
  <c r="N16" i="2075"/>
  <c r="M16" i="2075"/>
  <c r="L16" i="2075"/>
  <c r="K16" i="2075"/>
  <c r="J16" i="2075"/>
  <c r="I16" i="2075"/>
  <c r="H16" i="2075"/>
  <c r="G16" i="2075"/>
  <c r="F16" i="2075"/>
  <c r="E16" i="2075"/>
  <c r="D16" i="2075"/>
  <c r="AE10" i="2075"/>
  <c r="AD10" i="2075"/>
  <c r="AC10" i="2075"/>
  <c r="AB10" i="2075"/>
  <c r="AA10" i="2075"/>
  <c r="Z10" i="2075"/>
  <c r="Y10" i="2075"/>
  <c r="X10" i="2075"/>
  <c r="W10" i="2075"/>
  <c r="V10" i="2075"/>
  <c r="U10" i="2075"/>
  <c r="T10" i="2075"/>
  <c r="S10" i="2075"/>
  <c r="R10" i="2075"/>
  <c r="Q10" i="2075"/>
  <c r="P10" i="2075"/>
  <c r="O10" i="2075"/>
  <c r="N10" i="2075"/>
  <c r="M10" i="2075"/>
  <c r="L10" i="2075"/>
  <c r="K10" i="2075"/>
  <c r="J10" i="2075"/>
  <c r="Q33" i="2075" s="1"/>
  <c r="I10" i="2075"/>
  <c r="E33" i="2075" s="1"/>
  <c r="H10" i="2075"/>
  <c r="G10" i="2075"/>
  <c r="F10" i="2075"/>
  <c r="E10" i="2075"/>
  <c r="D10" i="2075"/>
  <c r="AE7" i="2075"/>
  <c r="AD7" i="2075"/>
  <c r="AC7" i="2075"/>
  <c r="AB7" i="2075"/>
  <c r="AA7" i="2075"/>
  <c r="Z7" i="2075"/>
  <c r="Y7" i="2075"/>
  <c r="X7" i="2075"/>
  <c r="W7" i="2075"/>
  <c r="V7" i="2075"/>
  <c r="U7" i="2075"/>
  <c r="T7" i="2075"/>
  <c r="S7" i="2075"/>
  <c r="R7" i="2075"/>
  <c r="Q7" i="2075"/>
  <c r="P7" i="2075"/>
  <c r="O7" i="2075"/>
  <c r="N7" i="2075"/>
  <c r="M7" i="2075"/>
  <c r="L7" i="2075"/>
  <c r="K7" i="2075"/>
  <c r="J7" i="2075"/>
  <c r="I7" i="2075"/>
  <c r="H7" i="2075"/>
  <c r="G7" i="2075"/>
  <c r="F7" i="2075"/>
  <c r="E7" i="2075"/>
  <c r="D7" i="2075"/>
  <c r="W33" i="2075" l="1"/>
  <c r="J33" i="2075"/>
  <c r="K33" i="2075"/>
  <c r="N33" i="2075"/>
  <c r="AC33" i="2075"/>
  <c r="V33" i="2075"/>
  <c r="D33" i="2075"/>
  <c r="Z33" i="2075"/>
  <c r="Y33" i="2075"/>
  <c r="M33" i="2075"/>
  <c r="AA33" i="2074"/>
  <c r="X33" i="2074"/>
  <c r="U33" i="2074"/>
  <c r="R33" i="2074"/>
  <c r="O33" i="2074"/>
  <c r="F33" i="2074"/>
  <c r="Y28" i="2074"/>
  <c r="X28" i="2074"/>
  <c r="S33" i="2074" s="1"/>
  <c r="W28" i="2074"/>
  <c r="V28" i="2074"/>
  <c r="U28" i="2074"/>
  <c r="T28" i="2074"/>
  <c r="S28" i="2074"/>
  <c r="R28" i="2074"/>
  <c r="Q28" i="2074"/>
  <c r="P28" i="2074"/>
  <c r="O28" i="2074"/>
  <c r="J33" i="2074" s="1"/>
  <c r="N28" i="2074"/>
  <c r="M28" i="2074"/>
  <c r="L28" i="2074"/>
  <c r="K28" i="2074"/>
  <c r="J28" i="2074"/>
  <c r="I28" i="2074"/>
  <c r="H28" i="2074"/>
  <c r="G28" i="2074"/>
  <c r="F28" i="2074"/>
  <c r="E28" i="2074"/>
  <c r="D28" i="2074"/>
  <c r="Y25" i="2074"/>
  <c r="X25" i="2074"/>
  <c r="W25" i="2074"/>
  <c r="V25" i="2074"/>
  <c r="U25" i="2074"/>
  <c r="T25" i="2074"/>
  <c r="S25" i="2074"/>
  <c r="R25" i="2074"/>
  <c r="Q25" i="2074"/>
  <c r="P25" i="2074"/>
  <c r="O25" i="2074"/>
  <c r="N25" i="2074"/>
  <c r="M25" i="2074"/>
  <c r="L25" i="2074"/>
  <c r="K25" i="2074"/>
  <c r="J25" i="2074"/>
  <c r="I25" i="2074"/>
  <c r="H25" i="2074"/>
  <c r="G25" i="2074"/>
  <c r="F25" i="2074"/>
  <c r="E25" i="2074"/>
  <c r="D25" i="2074"/>
  <c r="AE19" i="2074"/>
  <c r="AD19" i="2074"/>
  <c r="AC19" i="2074"/>
  <c r="AB19" i="2074"/>
  <c r="AA19" i="2074"/>
  <c r="Z19" i="2074"/>
  <c r="Y19" i="2074"/>
  <c r="X19" i="2074"/>
  <c r="T33" i="2074" s="1"/>
  <c r="W19" i="2074"/>
  <c r="V19" i="2074"/>
  <c r="U19" i="2074"/>
  <c r="T19" i="2074"/>
  <c r="S19" i="2074"/>
  <c r="R19" i="2074"/>
  <c r="Q19" i="2074"/>
  <c r="P19" i="2074"/>
  <c r="O19" i="2074"/>
  <c r="N19" i="2074"/>
  <c r="G33" i="2074" s="1"/>
  <c r="M19" i="2074"/>
  <c r="H33" i="2074" s="1"/>
  <c r="L19" i="2074"/>
  <c r="P33" i="2074" s="1"/>
  <c r="K19" i="2074"/>
  <c r="L33" i="2074" s="1"/>
  <c r="J19" i="2074"/>
  <c r="I19" i="2074"/>
  <c r="AB33" i="2074" s="1"/>
  <c r="H19" i="2074"/>
  <c r="G19" i="2074"/>
  <c r="F19" i="2074"/>
  <c r="E19" i="2074"/>
  <c r="D19" i="2074"/>
  <c r="AE16" i="2074"/>
  <c r="AD16" i="2074"/>
  <c r="AC16" i="2074"/>
  <c r="AB16" i="2074"/>
  <c r="AA16" i="2074"/>
  <c r="Z16" i="2074"/>
  <c r="X16" i="2074"/>
  <c r="W16" i="2074"/>
  <c r="V16" i="2074"/>
  <c r="U16" i="2074"/>
  <c r="T16" i="2074"/>
  <c r="S16" i="2074"/>
  <c r="R16" i="2074"/>
  <c r="Q16" i="2074"/>
  <c r="P16" i="2074"/>
  <c r="O16" i="2074"/>
  <c r="N16" i="2074"/>
  <c r="M16" i="2074"/>
  <c r="L16" i="2074"/>
  <c r="K16" i="2074"/>
  <c r="J16" i="2074"/>
  <c r="I16" i="2074"/>
  <c r="H16" i="2074"/>
  <c r="G16" i="2074"/>
  <c r="F16" i="2074"/>
  <c r="E16" i="2074"/>
  <c r="D16" i="2074"/>
  <c r="AE10" i="2074"/>
  <c r="AD10" i="2074"/>
  <c r="AC10" i="2074"/>
  <c r="AB10" i="2074"/>
  <c r="AA10" i="2074"/>
  <c r="Z10" i="2074"/>
  <c r="Y10" i="2074"/>
  <c r="X10" i="2074"/>
  <c r="W10" i="2074"/>
  <c r="V10" i="2074"/>
  <c r="U10" i="2074"/>
  <c r="T10" i="2074"/>
  <c r="S10" i="2074"/>
  <c r="R10" i="2074"/>
  <c r="Q10" i="2074"/>
  <c r="P10" i="2074"/>
  <c r="O10" i="2074"/>
  <c r="N10" i="2074"/>
  <c r="M10" i="2074"/>
  <c r="L10" i="2074"/>
  <c r="K10" i="2074"/>
  <c r="J10" i="2074"/>
  <c r="I10" i="2074"/>
  <c r="E33" i="2074" s="1"/>
  <c r="H10" i="2074"/>
  <c r="G10" i="2074"/>
  <c r="F10" i="2074"/>
  <c r="E10" i="2074"/>
  <c r="D10" i="2074"/>
  <c r="AE7" i="2074"/>
  <c r="AD7" i="2074"/>
  <c r="AC7" i="2074"/>
  <c r="AB7" i="2074"/>
  <c r="AA7" i="2074"/>
  <c r="Z7" i="2074"/>
  <c r="Y7" i="2074"/>
  <c r="X7" i="2074"/>
  <c r="W7" i="2074"/>
  <c r="V7" i="2074"/>
  <c r="U7" i="2074"/>
  <c r="T7" i="2074"/>
  <c r="S7" i="2074"/>
  <c r="R7" i="2074"/>
  <c r="Q7" i="2074"/>
  <c r="P7" i="2074"/>
  <c r="O7" i="2074"/>
  <c r="N7" i="2074"/>
  <c r="M7" i="2074"/>
  <c r="L7" i="2074"/>
  <c r="K7" i="2074"/>
  <c r="J7" i="2074"/>
  <c r="I7" i="2074"/>
  <c r="H7" i="2074"/>
  <c r="G7" i="2074"/>
  <c r="F7" i="2074"/>
  <c r="E7" i="2074"/>
  <c r="D7" i="2074"/>
  <c r="W33" i="2074" l="1"/>
  <c r="M33" i="2074"/>
  <c r="K33" i="2074"/>
  <c r="N33" i="2074"/>
  <c r="AC33" i="2074"/>
  <c r="D33" i="2074"/>
  <c r="Z33" i="2074"/>
  <c r="V33" i="2074"/>
  <c r="Y33" i="2074"/>
  <c r="Q33" i="2074"/>
  <c r="AA33" i="2073"/>
  <c r="X33" i="2073"/>
  <c r="U33" i="2073"/>
  <c r="R33" i="2073"/>
  <c r="F33" i="2073"/>
  <c r="Y28" i="2073"/>
  <c r="X28" i="2073"/>
  <c r="S33" i="2073" s="1"/>
  <c r="W28" i="2073"/>
  <c r="V28" i="2073"/>
  <c r="U28" i="2073"/>
  <c r="T28" i="2073"/>
  <c r="S28" i="2073"/>
  <c r="R28" i="2073"/>
  <c r="Q28" i="2073"/>
  <c r="P28" i="2073"/>
  <c r="O28" i="2073"/>
  <c r="N28" i="2073"/>
  <c r="M28" i="2073"/>
  <c r="L28" i="2073"/>
  <c r="K28" i="2073"/>
  <c r="J28" i="2073"/>
  <c r="I28" i="2073"/>
  <c r="H28" i="2073"/>
  <c r="G28" i="2073"/>
  <c r="F28" i="2073"/>
  <c r="E28" i="2073"/>
  <c r="D28" i="2073"/>
  <c r="Y25" i="2073"/>
  <c r="X25" i="2073"/>
  <c r="W25" i="2073"/>
  <c r="V25" i="2073"/>
  <c r="U25" i="2073"/>
  <c r="T25" i="2073"/>
  <c r="S25" i="2073"/>
  <c r="R25" i="2073"/>
  <c r="Q25" i="2073"/>
  <c r="P25" i="2073"/>
  <c r="O25" i="2073"/>
  <c r="N25" i="2073"/>
  <c r="M25" i="2073"/>
  <c r="L25" i="2073"/>
  <c r="K25" i="2073"/>
  <c r="J25" i="2073"/>
  <c r="I25" i="2073"/>
  <c r="H25" i="2073"/>
  <c r="G25" i="2073"/>
  <c r="F25" i="2073"/>
  <c r="E25" i="2073"/>
  <c r="D25" i="2073"/>
  <c r="AE19" i="2073"/>
  <c r="AD19" i="2073"/>
  <c r="AC19" i="2073"/>
  <c r="AB19" i="2073"/>
  <c r="AA19" i="2073"/>
  <c r="Z19" i="2073"/>
  <c r="Y19" i="2073"/>
  <c r="X19" i="2073"/>
  <c r="T33" i="2073" s="1"/>
  <c r="W19" i="2073"/>
  <c r="V19" i="2073"/>
  <c r="U19" i="2073"/>
  <c r="T19" i="2073"/>
  <c r="S19" i="2073"/>
  <c r="R19" i="2073"/>
  <c r="Q19" i="2073"/>
  <c r="P19" i="2073"/>
  <c r="O19" i="2073"/>
  <c r="N19" i="2073"/>
  <c r="G33" i="2073" s="1"/>
  <c r="M19" i="2073"/>
  <c r="H33" i="2073" s="1"/>
  <c r="L19" i="2073"/>
  <c r="P33" i="2073" s="1"/>
  <c r="K19" i="2073"/>
  <c r="L33" i="2073" s="1"/>
  <c r="J19" i="2073"/>
  <c r="I19" i="2073"/>
  <c r="AB33" i="2073" s="1"/>
  <c r="H19" i="2073"/>
  <c r="G19" i="2073"/>
  <c r="O33" i="2073" s="1"/>
  <c r="F19" i="2073"/>
  <c r="E19" i="2073"/>
  <c r="D19" i="2073"/>
  <c r="AE16" i="2073"/>
  <c r="AD16" i="2073"/>
  <c r="AC16" i="2073"/>
  <c r="AB16" i="2073"/>
  <c r="AA16" i="2073"/>
  <c r="Z16" i="2073"/>
  <c r="X16" i="2073"/>
  <c r="W16" i="2073"/>
  <c r="V16" i="2073"/>
  <c r="U16" i="2073"/>
  <c r="T16" i="2073"/>
  <c r="S16" i="2073"/>
  <c r="R16" i="2073"/>
  <c r="Q16" i="2073"/>
  <c r="P16" i="2073"/>
  <c r="O16" i="2073"/>
  <c r="N16" i="2073"/>
  <c r="M16" i="2073"/>
  <c r="L16" i="2073"/>
  <c r="K16" i="2073"/>
  <c r="J16" i="2073"/>
  <c r="I16" i="2073"/>
  <c r="H16" i="2073"/>
  <c r="G16" i="2073"/>
  <c r="F16" i="2073"/>
  <c r="E16" i="2073"/>
  <c r="D16" i="2073"/>
  <c r="AE10" i="2073"/>
  <c r="AD10" i="2073"/>
  <c r="AC10" i="2073"/>
  <c r="AB10" i="2073"/>
  <c r="AA10" i="2073"/>
  <c r="Z10" i="2073"/>
  <c r="Y10" i="2073"/>
  <c r="X10" i="2073"/>
  <c r="W10" i="2073"/>
  <c r="V10" i="2073"/>
  <c r="U10" i="2073"/>
  <c r="T10" i="2073"/>
  <c r="S10" i="2073"/>
  <c r="R10" i="2073"/>
  <c r="Q10" i="2073"/>
  <c r="P10" i="2073"/>
  <c r="O10" i="2073"/>
  <c r="N10" i="2073"/>
  <c r="M10" i="2073"/>
  <c r="L10" i="2073"/>
  <c r="K10" i="2073"/>
  <c r="J10" i="2073"/>
  <c r="I10" i="2073"/>
  <c r="E33" i="2073" s="1"/>
  <c r="H10" i="2073"/>
  <c r="G10" i="2073"/>
  <c r="F10" i="2073"/>
  <c r="E10" i="2073"/>
  <c r="D10" i="2073"/>
  <c r="AE7" i="2073"/>
  <c r="AD7" i="2073"/>
  <c r="AC7" i="2073"/>
  <c r="AB7" i="2073"/>
  <c r="AA7" i="2073"/>
  <c r="Z7" i="2073"/>
  <c r="Y7" i="2073"/>
  <c r="X7" i="2073"/>
  <c r="W7" i="2073"/>
  <c r="V7" i="2073"/>
  <c r="U7" i="2073"/>
  <c r="T7" i="2073"/>
  <c r="S7" i="2073"/>
  <c r="R7" i="2073"/>
  <c r="Q7" i="2073"/>
  <c r="P7" i="2073"/>
  <c r="O7" i="2073"/>
  <c r="N7" i="2073"/>
  <c r="M7" i="2073"/>
  <c r="L7" i="2073"/>
  <c r="K7" i="2073"/>
  <c r="J7" i="2073"/>
  <c r="I7" i="2073"/>
  <c r="H7" i="2073"/>
  <c r="G7" i="2073"/>
  <c r="F7" i="2073"/>
  <c r="E7" i="2073"/>
  <c r="D7" i="2073"/>
  <c r="J33" i="2073" l="1"/>
  <c r="W33" i="2073"/>
  <c r="AC33" i="2073"/>
  <c r="D33" i="2073"/>
  <c r="Z33" i="2073"/>
  <c r="Y33" i="2073"/>
  <c r="Q33" i="2073"/>
  <c r="N33" i="2073"/>
  <c r="K33" i="2073"/>
  <c r="M33" i="2073"/>
  <c r="V33" i="2073"/>
  <c r="AA33" i="2072"/>
  <c r="X33" i="2072"/>
  <c r="U33" i="2072"/>
  <c r="R33" i="2072"/>
  <c r="F33" i="2072"/>
  <c r="Y28" i="2072"/>
  <c r="X28" i="2072"/>
  <c r="S33" i="2072" s="1"/>
  <c r="W28" i="2072"/>
  <c r="V28" i="2072"/>
  <c r="U28" i="2072"/>
  <c r="T28" i="2072"/>
  <c r="S28" i="2072"/>
  <c r="R28" i="2072"/>
  <c r="Q28" i="2072"/>
  <c r="P28" i="2072"/>
  <c r="O28" i="2072"/>
  <c r="N28" i="2072"/>
  <c r="M28" i="2072"/>
  <c r="L28" i="2072"/>
  <c r="K28" i="2072"/>
  <c r="J28" i="2072"/>
  <c r="I28" i="2072"/>
  <c r="H28" i="2072"/>
  <c r="G28" i="2072"/>
  <c r="F28" i="2072"/>
  <c r="E28" i="2072"/>
  <c r="D28" i="2072"/>
  <c r="Y25" i="2072"/>
  <c r="X25" i="2072"/>
  <c r="W25" i="2072"/>
  <c r="V25" i="2072"/>
  <c r="U25" i="2072"/>
  <c r="T25" i="2072"/>
  <c r="S25" i="2072"/>
  <c r="R25" i="2072"/>
  <c r="Q25" i="2072"/>
  <c r="P25" i="2072"/>
  <c r="O25" i="2072"/>
  <c r="N25" i="2072"/>
  <c r="M25" i="2072"/>
  <c r="L25" i="2072"/>
  <c r="K25" i="2072"/>
  <c r="J25" i="2072"/>
  <c r="I25" i="2072"/>
  <c r="H25" i="2072"/>
  <c r="G25" i="2072"/>
  <c r="F25" i="2072"/>
  <c r="E25" i="2072"/>
  <c r="D25" i="2072"/>
  <c r="AE19" i="2072"/>
  <c r="AD19" i="2072"/>
  <c r="AC19" i="2072"/>
  <c r="AB19" i="2072"/>
  <c r="AA19" i="2072"/>
  <c r="Z19" i="2072"/>
  <c r="Y19" i="2072"/>
  <c r="X19" i="2072"/>
  <c r="T33" i="2072" s="1"/>
  <c r="W19" i="2072"/>
  <c r="V19" i="2072"/>
  <c r="U19" i="2072"/>
  <c r="T19" i="2072"/>
  <c r="S19" i="2072"/>
  <c r="R19" i="2072"/>
  <c r="Q19" i="2072"/>
  <c r="P19" i="2072"/>
  <c r="O19" i="2072"/>
  <c r="N19" i="2072"/>
  <c r="G33" i="2072" s="1"/>
  <c r="M19" i="2072"/>
  <c r="H33" i="2072" s="1"/>
  <c r="L19" i="2072"/>
  <c r="P33" i="2072" s="1"/>
  <c r="K19" i="2072"/>
  <c r="L33" i="2072" s="1"/>
  <c r="J19" i="2072"/>
  <c r="I19" i="2072"/>
  <c r="AB33" i="2072" s="1"/>
  <c r="H19" i="2072"/>
  <c r="G19" i="2072"/>
  <c r="O33" i="2072" s="1"/>
  <c r="F19" i="2072"/>
  <c r="E19" i="2072"/>
  <c r="D19" i="2072"/>
  <c r="AE16" i="2072"/>
  <c r="AD16" i="2072"/>
  <c r="AC16" i="2072"/>
  <c r="AB16" i="2072"/>
  <c r="AA16" i="2072"/>
  <c r="Z16" i="2072"/>
  <c r="X16" i="2072"/>
  <c r="W16" i="2072"/>
  <c r="V16" i="2072"/>
  <c r="U16" i="2072"/>
  <c r="T16" i="2072"/>
  <c r="S16" i="2072"/>
  <c r="R16" i="2072"/>
  <c r="Q16" i="2072"/>
  <c r="P16" i="2072"/>
  <c r="O16" i="2072"/>
  <c r="N16" i="2072"/>
  <c r="M16" i="2072"/>
  <c r="L16" i="2072"/>
  <c r="K16" i="2072"/>
  <c r="J16" i="2072"/>
  <c r="I16" i="2072"/>
  <c r="H16" i="2072"/>
  <c r="G16" i="2072"/>
  <c r="F16" i="2072"/>
  <c r="E16" i="2072"/>
  <c r="D16" i="2072"/>
  <c r="AE10" i="2072"/>
  <c r="AD10" i="2072"/>
  <c r="AC10" i="2072"/>
  <c r="AB10" i="2072"/>
  <c r="AA10" i="2072"/>
  <c r="Z10" i="2072"/>
  <c r="Y10" i="2072"/>
  <c r="X10" i="2072"/>
  <c r="W10" i="2072"/>
  <c r="V10" i="2072"/>
  <c r="U10" i="2072"/>
  <c r="T10" i="2072"/>
  <c r="S10" i="2072"/>
  <c r="R10" i="2072"/>
  <c r="Q10" i="2072"/>
  <c r="P10" i="2072"/>
  <c r="O10" i="2072"/>
  <c r="N10" i="2072"/>
  <c r="M10" i="2072"/>
  <c r="L10" i="2072"/>
  <c r="K10" i="2072"/>
  <c r="J10" i="2072"/>
  <c r="Q33" i="2072" s="1"/>
  <c r="I10" i="2072"/>
  <c r="E33" i="2072" s="1"/>
  <c r="H10" i="2072"/>
  <c r="G10" i="2072"/>
  <c r="F10" i="2072"/>
  <c r="E10" i="2072"/>
  <c r="D10" i="2072"/>
  <c r="AE7" i="2072"/>
  <c r="AD7" i="2072"/>
  <c r="AC7" i="2072"/>
  <c r="AB7" i="2072"/>
  <c r="AA7" i="2072"/>
  <c r="Z7" i="2072"/>
  <c r="Y7" i="2072"/>
  <c r="X7" i="2072"/>
  <c r="W7" i="2072"/>
  <c r="V7" i="2072"/>
  <c r="U7" i="2072"/>
  <c r="T7" i="2072"/>
  <c r="S7" i="2072"/>
  <c r="R7" i="2072"/>
  <c r="Q7" i="2072"/>
  <c r="P7" i="2072"/>
  <c r="O7" i="2072"/>
  <c r="N7" i="2072"/>
  <c r="M7" i="2072"/>
  <c r="L7" i="2072"/>
  <c r="K7" i="2072"/>
  <c r="J7" i="2072"/>
  <c r="I7" i="2072"/>
  <c r="H7" i="2072"/>
  <c r="G7" i="2072"/>
  <c r="F7" i="2072"/>
  <c r="E7" i="2072"/>
  <c r="D7" i="2072"/>
  <c r="W33" i="2072" l="1"/>
  <c r="J33" i="2072"/>
  <c r="K33" i="2072"/>
  <c r="N33" i="2072"/>
  <c r="AC33" i="2072"/>
  <c r="D33" i="2072"/>
  <c r="Z33" i="2072"/>
  <c r="Y33" i="2072"/>
  <c r="M33" i="2072"/>
  <c r="V33" i="2072"/>
  <c r="AA33" i="2071"/>
  <c r="X33" i="2071"/>
  <c r="U33" i="2071"/>
  <c r="R33" i="2071"/>
  <c r="O33" i="2071"/>
  <c r="F33" i="2071"/>
  <c r="Y28" i="2071"/>
  <c r="X28" i="2071"/>
  <c r="S33" i="2071" s="1"/>
  <c r="W28" i="2071"/>
  <c r="V28" i="2071"/>
  <c r="U28" i="2071"/>
  <c r="T28" i="2071"/>
  <c r="S28" i="2071"/>
  <c r="R28" i="2071"/>
  <c r="Q28" i="2071"/>
  <c r="P28" i="2071"/>
  <c r="O28" i="2071"/>
  <c r="N28" i="2071"/>
  <c r="M28" i="2071"/>
  <c r="L28" i="2071"/>
  <c r="K28" i="2071"/>
  <c r="J28" i="2071"/>
  <c r="I28" i="2071"/>
  <c r="H28" i="2071"/>
  <c r="G28" i="2071"/>
  <c r="F28" i="2071"/>
  <c r="E28" i="2071"/>
  <c r="D28" i="2071"/>
  <c r="Y25" i="2071"/>
  <c r="X25" i="2071"/>
  <c r="W25" i="2071"/>
  <c r="V25" i="2071"/>
  <c r="U25" i="2071"/>
  <c r="T25" i="2071"/>
  <c r="S25" i="2071"/>
  <c r="R25" i="2071"/>
  <c r="Q25" i="2071"/>
  <c r="P25" i="2071"/>
  <c r="O25" i="2071"/>
  <c r="N25" i="2071"/>
  <c r="M25" i="2071"/>
  <c r="L25" i="2071"/>
  <c r="K25" i="2071"/>
  <c r="J25" i="2071"/>
  <c r="I25" i="2071"/>
  <c r="H25" i="2071"/>
  <c r="G25" i="2071"/>
  <c r="F25" i="2071"/>
  <c r="E25" i="2071"/>
  <c r="D25" i="2071"/>
  <c r="AE19" i="2071"/>
  <c r="AD19" i="2071"/>
  <c r="AC19" i="2071"/>
  <c r="AB19" i="2071"/>
  <c r="AA19" i="2071"/>
  <c r="Z19" i="2071"/>
  <c r="Y19" i="2071"/>
  <c r="X19" i="2071"/>
  <c r="T33" i="2071" s="1"/>
  <c r="W19" i="2071"/>
  <c r="V19" i="2071"/>
  <c r="U19" i="2071"/>
  <c r="T19" i="2071"/>
  <c r="S19" i="2071"/>
  <c r="R19" i="2071"/>
  <c r="Q19" i="2071"/>
  <c r="P19" i="2071"/>
  <c r="O19" i="2071"/>
  <c r="N19" i="2071"/>
  <c r="G33" i="2071" s="1"/>
  <c r="M19" i="2071"/>
  <c r="H33" i="2071" s="1"/>
  <c r="L19" i="2071"/>
  <c r="P33" i="2071" s="1"/>
  <c r="K19" i="2071"/>
  <c r="L33" i="2071" s="1"/>
  <c r="J19" i="2071"/>
  <c r="I19" i="2071"/>
  <c r="AB33" i="2071" s="1"/>
  <c r="H19" i="2071"/>
  <c r="G19" i="2071"/>
  <c r="F19" i="2071"/>
  <c r="E19" i="2071"/>
  <c r="D19" i="2071"/>
  <c r="AE16" i="2071"/>
  <c r="AD16" i="2071"/>
  <c r="AC16" i="2071"/>
  <c r="AB16" i="2071"/>
  <c r="AA16" i="2071"/>
  <c r="Z16" i="2071"/>
  <c r="X16" i="2071"/>
  <c r="W16" i="2071"/>
  <c r="V16" i="2071"/>
  <c r="U16" i="2071"/>
  <c r="T16" i="2071"/>
  <c r="S16" i="2071"/>
  <c r="R16" i="2071"/>
  <c r="Q16" i="2071"/>
  <c r="P16" i="2071"/>
  <c r="O16" i="2071"/>
  <c r="N16" i="2071"/>
  <c r="M16" i="2071"/>
  <c r="L16" i="2071"/>
  <c r="K16" i="2071"/>
  <c r="J16" i="2071"/>
  <c r="I16" i="2071"/>
  <c r="H16" i="2071"/>
  <c r="G16" i="2071"/>
  <c r="F16" i="2071"/>
  <c r="E16" i="2071"/>
  <c r="D16" i="2071"/>
  <c r="AE10" i="2071"/>
  <c r="AD10" i="2071"/>
  <c r="AC10" i="2071"/>
  <c r="AB10" i="2071"/>
  <c r="AA10" i="2071"/>
  <c r="Z10" i="2071"/>
  <c r="Y10" i="2071"/>
  <c r="X10" i="2071"/>
  <c r="W10" i="2071"/>
  <c r="V10" i="2071"/>
  <c r="U10" i="2071"/>
  <c r="T10" i="2071"/>
  <c r="S10" i="2071"/>
  <c r="R10" i="2071"/>
  <c r="Q10" i="2071"/>
  <c r="P10" i="2071"/>
  <c r="O10" i="2071"/>
  <c r="N10" i="2071"/>
  <c r="M10" i="2071"/>
  <c r="L10" i="2071"/>
  <c r="K10" i="2071"/>
  <c r="J10" i="2071"/>
  <c r="I10" i="2071"/>
  <c r="E33" i="2071" s="1"/>
  <c r="H10" i="2071"/>
  <c r="G10" i="2071"/>
  <c r="F10" i="2071"/>
  <c r="E10" i="2071"/>
  <c r="D10" i="2071"/>
  <c r="AE7" i="2071"/>
  <c r="AD7" i="2071"/>
  <c r="AC7" i="2071"/>
  <c r="AB7" i="2071"/>
  <c r="AA7" i="2071"/>
  <c r="Z7" i="2071"/>
  <c r="Y7" i="2071"/>
  <c r="X7" i="2071"/>
  <c r="W7" i="2071"/>
  <c r="V7" i="2071"/>
  <c r="U7" i="2071"/>
  <c r="T7" i="2071"/>
  <c r="S7" i="2071"/>
  <c r="R7" i="2071"/>
  <c r="Q7" i="2071"/>
  <c r="P7" i="2071"/>
  <c r="O7" i="2071"/>
  <c r="N7" i="2071"/>
  <c r="M7" i="2071"/>
  <c r="L7" i="2071"/>
  <c r="K7" i="2071"/>
  <c r="J7" i="2071"/>
  <c r="I7" i="2071"/>
  <c r="H7" i="2071"/>
  <c r="G7" i="2071"/>
  <c r="F7" i="2071"/>
  <c r="E7" i="2071"/>
  <c r="D7" i="2071"/>
  <c r="AA33" i="2070"/>
  <c r="X33" i="2070"/>
  <c r="U33" i="2070"/>
  <c r="R33" i="2070"/>
  <c r="F33" i="2070"/>
  <c r="Y28" i="2070"/>
  <c r="X28" i="2070"/>
  <c r="S33" i="2070" s="1"/>
  <c r="W28" i="2070"/>
  <c r="V28" i="2070"/>
  <c r="U28" i="2070"/>
  <c r="T28" i="2070"/>
  <c r="S28" i="2070"/>
  <c r="R28" i="2070"/>
  <c r="Q28" i="2070"/>
  <c r="P28" i="2070"/>
  <c r="O28" i="2070"/>
  <c r="N28" i="2070"/>
  <c r="M28" i="2070"/>
  <c r="L28" i="2070"/>
  <c r="K28" i="2070"/>
  <c r="J28" i="2070"/>
  <c r="I28" i="2070"/>
  <c r="H28" i="2070"/>
  <c r="G28" i="2070"/>
  <c r="F28" i="2070"/>
  <c r="E28" i="2070"/>
  <c r="D28" i="2070"/>
  <c r="Y25" i="2070"/>
  <c r="X25" i="2070"/>
  <c r="W25" i="2070"/>
  <c r="V25" i="2070"/>
  <c r="U25" i="2070"/>
  <c r="T25" i="2070"/>
  <c r="S25" i="2070"/>
  <c r="R25" i="2070"/>
  <c r="Q25" i="2070"/>
  <c r="P25" i="2070"/>
  <c r="O25" i="2070"/>
  <c r="N25" i="2070"/>
  <c r="M25" i="2070"/>
  <c r="L25" i="2070"/>
  <c r="K25" i="2070"/>
  <c r="J25" i="2070"/>
  <c r="I25" i="2070"/>
  <c r="H25" i="2070"/>
  <c r="G25" i="2070"/>
  <c r="F25" i="2070"/>
  <c r="E25" i="2070"/>
  <c r="D25" i="2070"/>
  <c r="AE19" i="2070"/>
  <c r="AD19" i="2070"/>
  <c r="AC19" i="2070"/>
  <c r="AB19" i="2070"/>
  <c r="AA19" i="2070"/>
  <c r="Z19" i="2070"/>
  <c r="Y19" i="2070"/>
  <c r="X19" i="2070"/>
  <c r="T33" i="2070" s="1"/>
  <c r="W19" i="2070"/>
  <c r="V19" i="2070"/>
  <c r="U19" i="2070"/>
  <c r="T19" i="2070"/>
  <c r="S19" i="2070"/>
  <c r="R19" i="2070"/>
  <c r="Q19" i="2070"/>
  <c r="P19" i="2070"/>
  <c r="O19" i="2070"/>
  <c r="N19" i="2070"/>
  <c r="G33" i="2070" s="1"/>
  <c r="M19" i="2070"/>
  <c r="H33" i="2070" s="1"/>
  <c r="L19" i="2070"/>
  <c r="P33" i="2070" s="1"/>
  <c r="K19" i="2070"/>
  <c r="L33" i="2070" s="1"/>
  <c r="J19" i="2070"/>
  <c r="I19" i="2070"/>
  <c r="AB33" i="2070" s="1"/>
  <c r="H19" i="2070"/>
  <c r="G19" i="2070"/>
  <c r="O33" i="2070" s="1"/>
  <c r="F19" i="2070"/>
  <c r="E19" i="2070"/>
  <c r="D19" i="2070"/>
  <c r="AE16" i="2070"/>
  <c r="AD16" i="2070"/>
  <c r="AC16" i="2070"/>
  <c r="AB16" i="2070"/>
  <c r="AA16" i="2070"/>
  <c r="Z16" i="2070"/>
  <c r="X16" i="2070"/>
  <c r="W16" i="2070"/>
  <c r="V16" i="2070"/>
  <c r="U16" i="2070"/>
  <c r="T16" i="2070"/>
  <c r="S16" i="2070"/>
  <c r="R16" i="2070"/>
  <c r="Q16" i="2070"/>
  <c r="P16" i="2070"/>
  <c r="O16" i="2070"/>
  <c r="N16" i="2070"/>
  <c r="M16" i="2070"/>
  <c r="L16" i="2070"/>
  <c r="K16" i="2070"/>
  <c r="J16" i="2070"/>
  <c r="I16" i="2070"/>
  <c r="H16" i="2070"/>
  <c r="G16" i="2070"/>
  <c r="F16" i="2070"/>
  <c r="E16" i="2070"/>
  <c r="D16" i="2070"/>
  <c r="AE10" i="2070"/>
  <c r="AD10" i="2070"/>
  <c r="AC10" i="2070"/>
  <c r="AB10" i="2070"/>
  <c r="AA10" i="2070"/>
  <c r="Z10" i="2070"/>
  <c r="Y10" i="2070"/>
  <c r="X10" i="2070"/>
  <c r="W10" i="2070"/>
  <c r="V10" i="2070"/>
  <c r="U10" i="2070"/>
  <c r="T10" i="2070"/>
  <c r="S10" i="2070"/>
  <c r="R10" i="2070"/>
  <c r="Q10" i="2070"/>
  <c r="P10" i="2070"/>
  <c r="O10" i="2070"/>
  <c r="N10" i="2070"/>
  <c r="M10" i="2070"/>
  <c r="L10" i="2070"/>
  <c r="K10" i="2070"/>
  <c r="J10" i="2070"/>
  <c r="Q33" i="2070" s="1"/>
  <c r="I10" i="2070"/>
  <c r="E33" i="2070" s="1"/>
  <c r="H10" i="2070"/>
  <c r="G10" i="2070"/>
  <c r="F10" i="2070"/>
  <c r="E10" i="2070"/>
  <c r="D10" i="2070"/>
  <c r="AE7" i="2070"/>
  <c r="AD7" i="2070"/>
  <c r="AC7" i="2070"/>
  <c r="AB7" i="2070"/>
  <c r="AA7" i="2070"/>
  <c r="Z7" i="2070"/>
  <c r="Y7" i="2070"/>
  <c r="X7" i="2070"/>
  <c r="W7" i="2070"/>
  <c r="V7" i="2070"/>
  <c r="U7" i="2070"/>
  <c r="T7" i="2070"/>
  <c r="S7" i="2070"/>
  <c r="R7" i="2070"/>
  <c r="Q7" i="2070"/>
  <c r="P7" i="2070"/>
  <c r="O7" i="2070"/>
  <c r="N7" i="2070"/>
  <c r="M7" i="2070"/>
  <c r="L7" i="2070"/>
  <c r="K7" i="2070"/>
  <c r="J7" i="2070"/>
  <c r="I7" i="2070"/>
  <c r="H7" i="2070"/>
  <c r="G7" i="2070"/>
  <c r="F7" i="2070"/>
  <c r="E7" i="2070"/>
  <c r="D7" i="2070"/>
  <c r="AC33" i="2071" l="1"/>
  <c r="W33" i="2071"/>
  <c r="J33" i="2071"/>
  <c r="K33" i="2071"/>
  <c r="D33" i="2071"/>
  <c r="Z33" i="2071"/>
  <c r="Y33" i="2071"/>
  <c r="N33" i="2071"/>
  <c r="Q33" i="2071"/>
  <c r="M33" i="2071"/>
  <c r="V33" i="2071"/>
  <c r="W33" i="2070"/>
  <c r="J33" i="2070"/>
  <c r="K33" i="2070"/>
  <c r="AC33" i="2070"/>
  <c r="D33" i="2070"/>
  <c r="Z33" i="2070"/>
  <c r="Y33" i="2070"/>
  <c r="N33" i="2070"/>
  <c r="M33" i="2070"/>
  <c r="V33" i="2070"/>
  <c r="AA33" i="2069"/>
  <c r="X33" i="2069"/>
  <c r="U33" i="2069"/>
  <c r="R33" i="2069"/>
  <c r="F33" i="2069"/>
  <c r="Y28" i="2069"/>
  <c r="X28" i="2069"/>
  <c r="S33" i="2069" s="1"/>
  <c r="W28" i="2069"/>
  <c r="V28" i="2069"/>
  <c r="U28" i="2069"/>
  <c r="T28" i="2069"/>
  <c r="S28" i="2069"/>
  <c r="R28" i="2069"/>
  <c r="Q28" i="2069"/>
  <c r="P28" i="2069"/>
  <c r="O28" i="2069"/>
  <c r="N28" i="2069"/>
  <c r="M28" i="2069"/>
  <c r="L28" i="2069"/>
  <c r="K28" i="2069"/>
  <c r="J28" i="2069"/>
  <c r="I28" i="2069"/>
  <c r="H28" i="2069"/>
  <c r="G28" i="2069"/>
  <c r="F28" i="2069"/>
  <c r="E28" i="2069"/>
  <c r="D28" i="2069"/>
  <c r="Y25" i="2069"/>
  <c r="X25" i="2069"/>
  <c r="W25" i="2069"/>
  <c r="V25" i="2069"/>
  <c r="U25" i="2069"/>
  <c r="T25" i="2069"/>
  <c r="S25" i="2069"/>
  <c r="R25" i="2069"/>
  <c r="Q25" i="2069"/>
  <c r="P25" i="2069"/>
  <c r="O25" i="2069"/>
  <c r="N25" i="2069"/>
  <c r="M25" i="2069"/>
  <c r="L25" i="2069"/>
  <c r="K25" i="2069"/>
  <c r="J25" i="2069"/>
  <c r="I25" i="2069"/>
  <c r="H25" i="2069"/>
  <c r="G25" i="2069"/>
  <c r="F25" i="2069"/>
  <c r="E25" i="2069"/>
  <c r="D25" i="2069"/>
  <c r="AE19" i="2069"/>
  <c r="AD19" i="2069"/>
  <c r="AC19" i="2069"/>
  <c r="AB19" i="2069"/>
  <c r="AA19" i="2069"/>
  <c r="Z19" i="2069"/>
  <c r="Y19" i="2069"/>
  <c r="X19" i="2069"/>
  <c r="T33" i="2069" s="1"/>
  <c r="W19" i="2069"/>
  <c r="V19" i="2069"/>
  <c r="U19" i="2069"/>
  <c r="T19" i="2069"/>
  <c r="S19" i="2069"/>
  <c r="R19" i="2069"/>
  <c r="Q19" i="2069"/>
  <c r="P19" i="2069"/>
  <c r="O19" i="2069"/>
  <c r="N19" i="2069"/>
  <c r="G33" i="2069" s="1"/>
  <c r="M19" i="2069"/>
  <c r="H33" i="2069" s="1"/>
  <c r="L19" i="2069"/>
  <c r="P33" i="2069" s="1"/>
  <c r="K19" i="2069"/>
  <c r="L33" i="2069" s="1"/>
  <c r="J19" i="2069"/>
  <c r="I19" i="2069"/>
  <c r="AB33" i="2069" s="1"/>
  <c r="H19" i="2069"/>
  <c r="G19" i="2069"/>
  <c r="O33" i="2069" s="1"/>
  <c r="F19" i="2069"/>
  <c r="E19" i="2069"/>
  <c r="D19" i="2069"/>
  <c r="AE16" i="2069"/>
  <c r="AD16" i="2069"/>
  <c r="AC16" i="2069"/>
  <c r="AB16" i="2069"/>
  <c r="AA16" i="2069"/>
  <c r="Z16" i="2069"/>
  <c r="X16" i="2069"/>
  <c r="W16" i="2069"/>
  <c r="V16" i="2069"/>
  <c r="U16" i="2069"/>
  <c r="T16" i="2069"/>
  <c r="S16" i="2069"/>
  <c r="R16" i="2069"/>
  <c r="Q16" i="2069"/>
  <c r="P16" i="2069"/>
  <c r="O16" i="2069"/>
  <c r="N16" i="2069"/>
  <c r="M16" i="2069"/>
  <c r="L16" i="2069"/>
  <c r="K16" i="2069"/>
  <c r="J16" i="2069"/>
  <c r="I16" i="2069"/>
  <c r="H16" i="2069"/>
  <c r="G16" i="2069"/>
  <c r="F16" i="2069"/>
  <c r="E16" i="2069"/>
  <c r="D16" i="2069"/>
  <c r="AE10" i="2069"/>
  <c r="AD10" i="2069"/>
  <c r="AC10" i="2069"/>
  <c r="AB10" i="2069"/>
  <c r="AA10" i="2069"/>
  <c r="Z10" i="2069"/>
  <c r="Y10" i="2069"/>
  <c r="X10" i="2069"/>
  <c r="W10" i="2069"/>
  <c r="V10" i="2069"/>
  <c r="U10" i="2069"/>
  <c r="T10" i="2069"/>
  <c r="S10" i="2069"/>
  <c r="R10" i="2069"/>
  <c r="Q10" i="2069"/>
  <c r="P10" i="2069"/>
  <c r="O10" i="2069"/>
  <c r="N10" i="2069"/>
  <c r="M10" i="2069"/>
  <c r="L10" i="2069"/>
  <c r="K10" i="2069"/>
  <c r="J10" i="2069"/>
  <c r="Q33" i="2069" s="1"/>
  <c r="I10" i="2069"/>
  <c r="H10" i="2069"/>
  <c r="G10" i="2069"/>
  <c r="F10" i="2069"/>
  <c r="E10" i="2069"/>
  <c r="D10" i="2069"/>
  <c r="AE7" i="2069"/>
  <c r="AD7" i="2069"/>
  <c r="AC7" i="2069"/>
  <c r="AB7" i="2069"/>
  <c r="AA7" i="2069"/>
  <c r="Z7" i="2069"/>
  <c r="Y7" i="2069"/>
  <c r="X7" i="2069"/>
  <c r="W7" i="2069"/>
  <c r="V7" i="2069"/>
  <c r="U7" i="2069"/>
  <c r="T7" i="2069"/>
  <c r="S7" i="2069"/>
  <c r="R7" i="2069"/>
  <c r="Q7" i="2069"/>
  <c r="P7" i="2069"/>
  <c r="O7" i="2069"/>
  <c r="N7" i="2069"/>
  <c r="M7" i="2069"/>
  <c r="L7" i="2069"/>
  <c r="K7" i="2069"/>
  <c r="J7" i="2069"/>
  <c r="I7" i="2069"/>
  <c r="H7" i="2069"/>
  <c r="G7" i="2069"/>
  <c r="F7" i="2069"/>
  <c r="E7" i="2069"/>
  <c r="D7" i="2069"/>
  <c r="W33" i="2069" l="1"/>
  <c r="J33" i="2069"/>
  <c r="K33" i="2069"/>
  <c r="AC33" i="2069"/>
  <c r="D33" i="2069"/>
  <c r="Z33" i="2069"/>
  <c r="Y33" i="2069"/>
  <c r="N33" i="2069"/>
  <c r="M33" i="2069"/>
  <c r="E33" i="2069"/>
  <c r="V33" i="2069"/>
  <c r="AA33" i="2068"/>
  <c r="X33" i="2068"/>
  <c r="U33" i="2068"/>
  <c r="R33" i="2068"/>
  <c r="F33" i="2068"/>
  <c r="Y28" i="2068"/>
  <c r="X28" i="2068"/>
  <c r="S33" i="2068" s="1"/>
  <c r="W28" i="2068"/>
  <c r="V28" i="2068"/>
  <c r="U28" i="2068"/>
  <c r="T28" i="2068"/>
  <c r="S28" i="2068"/>
  <c r="R28" i="2068"/>
  <c r="Q28" i="2068"/>
  <c r="P28" i="2068"/>
  <c r="O28" i="2068"/>
  <c r="N28" i="2068"/>
  <c r="M28" i="2068"/>
  <c r="L28" i="2068"/>
  <c r="K28" i="2068"/>
  <c r="J28" i="2068"/>
  <c r="I28" i="2068"/>
  <c r="H28" i="2068"/>
  <c r="G28" i="2068"/>
  <c r="F28" i="2068"/>
  <c r="E28" i="2068"/>
  <c r="D28" i="2068"/>
  <c r="Y25" i="2068"/>
  <c r="X25" i="2068"/>
  <c r="W25" i="2068"/>
  <c r="V25" i="2068"/>
  <c r="U25" i="2068"/>
  <c r="T25" i="2068"/>
  <c r="S25" i="2068"/>
  <c r="R25" i="2068"/>
  <c r="Q25" i="2068"/>
  <c r="P25" i="2068"/>
  <c r="O25" i="2068"/>
  <c r="N25" i="2068"/>
  <c r="M25" i="2068"/>
  <c r="L25" i="2068"/>
  <c r="K25" i="2068"/>
  <c r="J25" i="2068"/>
  <c r="I25" i="2068"/>
  <c r="H25" i="2068"/>
  <c r="G25" i="2068"/>
  <c r="F25" i="2068"/>
  <c r="E25" i="2068"/>
  <c r="D25" i="2068"/>
  <c r="AE19" i="2068"/>
  <c r="AD19" i="2068"/>
  <c r="AC19" i="2068"/>
  <c r="AB19" i="2068"/>
  <c r="AA19" i="2068"/>
  <c r="Z19" i="2068"/>
  <c r="Y19" i="2068"/>
  <c r="X19" i="2068"/>
  <c r="T33" i="2068" s="1"/>
  <c r="W19" i="2068"/>
  <c r="V19" i="2068"/>
  <c r="U19" i="2068"/>
  <c r="T19" i="2068"/>
  <c r="S19" i="2068"/>
  <c r="R19" i="2068"/>
  <c r="Q19" i="2068"/>
  <c r="P19" i="2068"/>
  <c r="O19" i="2068"/>
  <c r="N19" i="2068"/>
  <c r="G33" i="2068" s="1"/>
  <c r="M19" i="2068"/>
  <c r="H33" i="2068" s="1"/>
  <c r="L19" i="2068"/>
  <c r="P33" i="2068" s="1"/>
  <c r="K19" i="2068"/>
  <c r="L33" i="2068" s="1"/>
  <c r="J19" i="2068"/>
  <c r="I19" i="2068"/>
  <c r="AB33" i="2068" s="1"/>
  <c r="H19" i="2068"/>
  <c r="G19" i="2068"/>
  <c r="O33" i="2068" s="1"/>
  <c r="F19" i="2068"/>
  <c r="E19" i="2068"/>
  <c r="D19" i="2068"/>
  <c r="AE16" i="2068"/>
  <c r="AD16" i="2068"/>
  <c r="AC16" i="2068"/>
  <c r="AB16" i="2068"/>
  <c r="AA16" i="2068"/>
  <c r="Z16" i="2068"/>
  <c r="X16" i="2068"/>
  <c r="W16" i="2068"/>
  <c r="V16" i="2068"/>
  <c r="U16" i="2068"/>
  <c r="T16" i="2068"/>
  <c r="S16" i="2068"/>
  <c r="R16" i="2068"/>
  <c r="Q16" i="2068"/>
  <c r="P16" i="2068"/>
  <c r="O16" i="2068"/>
  <c r="N16" i="2068"/>
  <c r="M16" i="2068"/>
  <c r="L16" i="2068"/>
  <c r="K16" i="2068"/>
  <c r="J16" i="2068"/>
  <c r="I16" i="2068"/>
  <c r="H16" i="2068"/>
  <c r="G16" i="2068"/>
  <c r="F16" i="2068"/>
  <c r="E16" i="2068"/>
  <c r="D16" i="2068"/>
  <c r="AE10" i="2068"/>
  <c r="AD10" i="2068"/>
  <c r="AC10" i="2068"/>
  <c r="AB10" i="2068"/>
  <c r="AA10" i="2068"/>
  <c r="Z10" i="2068"/>
  <c r="Y10" i="2068"/>
  <c r="X10" i="2068"/>
  <c r="W10" i="2068"/>
  <c r="V10" i="2068"/>
  <c r="U10" i="2068"/>
  <c r="T10" i="2068"/>
  <c r="S10" i="2068"/>
  <c r="R10" i="2068"/>
  <c r="Q10" i="2068"/>
  <c r="P10" i="2068"/>
  <c r="O10" i="2068"/>
  <c r="N10" i="2068"/>
  <c r="M10" i="2068"/>
  <c r="L10" i="2068"/>
  <c r="K10" i="2068"/>
  <c r="J10" i="2068"/>
  <c r="Q33" i="2068" s="1"/>
  <c r="I10" i="2068"/>
  <c r="E33" i="2068" s="1"/>
  <c r="H10" i="2068"/>
  <c r="G10" i="2068"/>
  <c r="F10" i="2068"/>
  <c r="E10" i="2068"/>
  <c r="D10" i="2068"/>
  <c r="AE7" i="2068"/>
  <c r="AD7" i="2068"/>
  <c r="AC7" i="2068"/>
  <c r="AB7" i="2068"/>
  <c r="AA7" i="2068"/>
  <c r="Z7" i="2068"/>
  <c r="Y7" i="2068"/>
  <c r="X7" i="2068"/>
  <c r="W7" i="2068"/>
  <c r="V7" i="2068"/>
  <c r="U7" i="2068"/>
  <c r="T7" i="2068"/>
  <c r="S7" i="2068"/>
  <c r="R7" i="2068"/>
  <c r="Q7" i="2068"/>
  <c r="P7" i="2068"/>
  <c r="O7" i="2068"/>
  <c r="N7" i="2068"/>
  <c r="M7" i="2068"/>
  <c r="L7" i="2068"/>
  <c r="K7" i="2068"/>
  <c r="J7" i="2068"/>
  <c r="I7" i="2068"/>
  <c r="H7" i="2068"/>
  <c r="G7" i="2068"/>
  <c r="F7" i="2068"/>
  <c r="E7" i="2068"/>
  <c r="D7" i="2068"/>
  <c r="W33" i="2068" l="1"/>
  <c r="J33" i="2068"/>
  <c r="K33" i="2068"/>
  <c r="AC33" i="2068"/>
  <c r="D33" i="2068"/>
  <c r="Z33" i="2068"/>
  <c r="Y33" i="2068"/>
  <c r="N33" i="2068"/>
  <c r="M33" i="2068"/>
  <c r="V33" i="2068"/>
  <c r="AA33" i="2067"/>
  <c r="X33" i="2067"/>
  <c r="U33" i="2067"/>
  <c r="R33" i="2067"/>
  <c r="F33" i="2067"/>
  <c r="Y28" i="2067"/>
  <c r="X28" i="2067"/>
  <c r="S33" i="2067" s="1"/>
  <c r="W28" i="2067"/>
  <c r="V28" i="2067"/>
  <c r="U28" i="2067"/>
  <c r="T28" i="2067"/>
  <c r="S28" i="2067"/>
  <c r="R28" i="2067"/>
  <c r="Q28" i="2067"/>
  <c r="P28" i="2067"/>
  <c r="O28" i="2067"/>
  <c r="N28" i="2067"/>
  <c r="M28" i="2067"/>
  <c r="L28" i="2067"/>
  <c r="K28" i="2067"/>
  <c r="J28" i="2067"/>
  <c r="I28" i="2067"/>
  <c r="H28" i="2067"/>
  <c r="G28" i="2067"/>
  <c r="F28" i="2067"/>
  <c r="E28" i="2067"/>
  <c r="D28" i="2067"/>
  <c r="Y25" i="2067"/>
  <c r="X25" i="2067"/>
  <c r="W25" i="2067"/>
  <c r="V25" i="2067"/>
  <c r="U25" i="2067"/>
  <c r="T25" i="2067"/>
  <c r="S25" i="2067"/>
  <c r="R25" i="2067"/>
  <c r="Q25" i="2067"/>
  <c r="P25" i="2067"/>
  <c r="O25" i="2067"/>
  <c r="N25" i="2067"/>
  <c r="M25" i="2067"/>
  <c r="L25" i="2067"/>
  <c r="K25" i="2067"/>
  <c r="J25" i="2067"/>
  <c r="I25" i="2067"/>
  <c r="H25" i="2067"/>
  <c r="G25" i="2067"/>
  <c r="F25" i="2067"/>
  <c r="E25" i="2067"/>
  <c r="D25" i="2067"/>
  <c r="AE19" i="2067"/>
  <c r="AD19" i="2067"/>
  <c r="AC19" i="2067"/>
  <c r="AB19" i="2067"/>
  <c r="AC33" i="2067" s="1"/>
  <c r="AA19" i="2067"/>
  <c r="Z19" i="2067"/>
  <c r="Y19" i="2067"/>
  <c r="X19" i="2067"/>
  <c r="T33" i="2067" s="1"/>
  <c r="W19" i="2067"/>
  <c r="V19" i="2067"/>
  <c r="U19" i="2067"/>
  <c r="T19" i="2067"/>
  <c r="S19" i="2067"/>
  <c r="R19" i="2067"/>
  <c r="Q19" i="2067"/>
  <c r="P19" i="2067"/>
  <c r="O19" i="2067"/>
  <c r="N19" i="2067"/>
  <c r="G33" i="2067" s="1"/>
  <c r="M19" i="2067"/>
  <c r="H33" i="2067" s="1"/>
  <c r="L19" i="2067"/>
  <c r="P33" i="2067" s="1"/>
  <c r="K19" i="2067"/>
  <c r="L33" i="2067" s="1"/>
  <c r="J19" i="2067"/>
  <c r="I19" i="2067"/>
  <c r="AB33" i="2067" s="1"/>
  <c r="H19" i="2067"/>
  <c r="G19" i="2067"/>
  <c r="O33" i="2067" s="1"/>
  <c r="F19" i="2067"/>
  <c r="E19" i="2067"/>
  <c r="D19" i="2067"/>
  <c r="AE16" i="2067"/>
  <c r="AD16" i="2067"/>
  <c r="AC16" i="2067"/>
  <c r="AB16" i="2067"/>
  <c r="AA16" i="2067"/>
  <c r="Z16" i="2067"/>
  <c r="X16" i="2067"/>
  <c r="W16" i="2067"/>
  <c r="V16" i="2067"/>
  <c r="U16" i="2067"/>
  <c r="T16" i="2067"/>
  <c r="S16" i="2067"/>
  <c r="R16" i="2067"/>
  <c r="Q16" i="2067"/>
  <c r="P16" i="2067"/>
  <c r="O16" i="2067"/>
  <c r="N16" i="2067"/>
  <c r="M16" i="2067"/>
  <c r="L16" i="2067"/>
  <c r="K16" i="2067"/>
  <c r="J16" i="2067"/>
  <c r="I16" i="2067"/>
  <c r="H16" i="2067"/>
  <c r="G16" i="2067"/>
  <c r="F16" i="2067"/>
  <c r="E16" i="2067"/>
  <c r="D16" i="2067"/>
  <c r="AE10" i="2067"/>
  <c r="AD10" i="2067"/>
  <c r="AC10" i="2067"/>
  <c r="AB10" i="2067"/>
  <c r="AA10" i="2067"/>
  <c r="Z10" i="2067"/>
  <c r="Z33" i="2067" s="1"/>
  <c r="Y10" i="2067"/>
  <c r="X10" i="2067"/>
  <c r="W10" i="2067"/>
  <c r="V10" i="2067"/>
  <c r="U10" i="2067"/>
  <c r="T10" i="2067"/>
  <c r="S10" i="2067"/>
  <c r="R10" i="2067"/>
  <c r="Q10" i="2067"/>
  <c r="P10" i="2067"/>
  <c r="O10" i="2067"/>
  <c r="N10" i="2067"/>
  <c r="M10" i="2067"/>
  <c r="L10" i="2067"/>
  <c r="K10" i="2067"/>
  <c r="J10" i="2067"/>
  <c r="I10" i="2067"/>
  <c r="E33" i="2067" s="1"/>
  <c r="H10" i="2067"/>
  <c r="G10" i="2067"/>
  <c r="F10" i="2067"/>
  <c r="E10" i="2067"/>
  <c r="D10" i="2067"/>
  <c r="AE7" i="2067"/>
  <c r="AD7" i="2067"/>
  <c r="AC7" i="2067"/>
  <c r="AB7" i="2067"/>
  <c r="AA7" i="2067"/>
  <c r="Z7" i="2067"/>
  <c r="Y7" i="2067"/>
  <c r="X7" i="2067"/>
  <c r="W7" i="2067"/>
  <c r="V7" i="2067"/>
  <c r="U7" i="2067"/>
  <c r="T7" i="2067"/>
  <c r="S7" i="2067"/>
  <c r="R7" i="2067"/>
  <c r="Q7" i="2067"/>
  <c r="P7" i="2067"/>
  <c r="O7" i="2067"/>
  <c r="N7" i="2067"/>
  <c r="M7" i="2067"/>
  <c r="L7" i="2067"/>
  <c r="K7" i="2067"/>
  <c r="J7" i="2067"/>
  <c r="I7" i="2067"/>
  <c r="H7" i="2067"/>
  <c r="G7" i="2067"/>
  <c r="F7" i="2067"/>
  <c r="E7" i="2067"/>
  <c r="D7" i="2067"/>
  <c r="W33" i="2067" l="1"/>
  <c r="J33" i="2067"/>
  <c r="N33" i="2067"/>
  <c r="V33" i="2067"/>
  <c r="D33" i="2067"/>
  <c r="Y33" i="2067"/>
  <c r="K33" i="2067"/>
  <c r="Q33" i="2067"/>
  <c r="M33" i="2067"/>
  <c r="AA33" i="2066"/>
  <c r="X33" i="2066"/>
  <c r="U33" i="2066"/>
  <c r="R33" i="2066"/>
  <c r="F33" i="2066"/>
  <c r="Y28" i="2066"/>
  <c r="X28" i="2066"/>
  <c r="S33" i="2066" s="1"/>
  <c r="W28" i="2066"/>
  <c r="V28" i="2066"/>
  <c r="U28" i="2066"/>
  <c r="T28" i="2066"/>
  <c r="S28" i="2066"/>
  <c r="R28" i="2066"/>
  <c r="Q28" i="2066"/>
  <c r="P28" i="2066"/>
  <c r="O28" i="2066"/>
  <c r="N28" i="2066"/>
  <c r="M28" i="2066"/>
  <c r="L28" i="2066"/>
  <c r="K28" i="2066"/>
  <c r="J28" i="2066"/>
  <c r="I28" i="2066"/>
  <c r="H28" i="2066"/>
  <c r="G28" i="2066"/>
  <c r="F28" i="2066"/>
  <c r="E28" i="2066"/>
  <c r="D28" i="2066"/>
  <c r="Y25" i="2066"/>
  <c r="X25" i="2066"/>
  <c r="W25" i="2066"/>
  <c r="V25" i="2066"/>
  <c r="U25" i="2066"/>
  <c r="T25" i="2066"/>
  <c r="S25" i="2066"/>
  <c r="R25" i="2066"/>
  <c r="Q25" i="2066"/>
  <c r="P25" i="2066"/>
  <c r="O25" i="2066"/>
  <c r="N25" i="2066"/>
  <c r="M25" i="2066"/>
  <c r="L25" i="2066"/>
  <c r="K25" i="2066"/>
  <c r="J25" i="2066"/>
  <c r="I25" i="2066"/>
  <c r="H25" i="2066"/>
  <c r="G25" i="2066"/>
  <c r="F25" i="2066"/>
  <c r="E25" i="2066"/>
  <c r="D25" i="2066"/>
  <c r="AE19" i="2066"/>
  <c r="AD19" i="2066"/>
  <c r="AC19" i="2066"/>
  <c r="AB19" i="2066"/>
  <c r="AA19" i="2066"/>
  <c r="Z19" i="2066"/>
  <c r="Y19" i="2066"/>
  <c r="X19" i="2066"/>
  <c r="T33" i="2066" s="1"/>
  <c r="W19" i="2066"/>
  <c r="V19" i="2066"/>
  <c r="U19" i="2066"/>
  <c r="T19" i="2066"/>
  <c r="S19" i="2066"/>
  <c r="R19" i="2066"/>
  <c r="Q19" i="2066"/>
  <c r="P19" i="2066"/>
  <c r="O19" i="2066"/>
  <c r="N19" i="2066"/>
  <c r="G33" i="2066" s="1"/>
  <c r="M19" i="2066"/>
  <c r="H33" i="2066" s="1"/>
  <c r="L19" i="2066"/>
  <c r="P33" i="2066" s="1"/>
  <c r="K19" i="2066"/>
  <c r="L33" i="2066" s="1"/>
  <c r="J19" i="2066"/>
  <c r="I19" i="2066"/>
  <c r="AB33" i="2066" s="1"/>
  <c r="H19" i="2066"/>
  <c r="G19" i="2066"/>
  <c r="O33" i="2066" s="1"/>
  <c r="F19" i="2066"/>
  <c r="E19" i="2066"/>
  <c r="D19" i="2066"/>
  <c r="AE16" i="2066"/>
  <c r="AD16" i="2066"/>
  <c r="AC16" i="2066"/>
  <c r="AB16" i="2066"/>
  <c r="AA16" i="2066"/>
  <c r="Z16" i="2066"/>
  <c r="X16" i="2066"/>
  <c r="W16" i="2066"/>
  <c r="V16" i="2066"/>
  <c r="U16" i="2066"/>
  <c r="T16" i="2066"/>
  <c r="S16" i="2066"/>
  <c r="R16" i="2066"/>
  <c r="Q16" i="2066"/>
  <c r="P16" i="2066"/>
  <c r="O16" i="2066"/>
  <c r="N16" i="2066"/>
  <c r="M16" i="2066"/>
  <c r="L16" i="2066"/>
  <c r="K16" i="2066"/>
  <c r="J16" i="2066"/>
  <c r="I16" i="2066"/>
  <c r="H16" i="2066"/>
  <c r="G16" i="2066"/>
  <c r="F16" i="2066"/>
  <c r="E16" i="2066"/>
  <c r="D16" i="2066"/>
  <c r="AE10" i="2066"/>
  <c r="AD10" i="2066"/>
  <c r="AC10" i="2066"/>
  <c r="AB10" i="2066"/>
  <c r="AA10" i="2066"/>
  <c r="Z10" i="2066"/>
  <c r="Y10" i="2066"/>
  <c r="X10" i="2066"/>
  <c r="W10" i="2066"/>
  <c r="V10" i="2066"/>
  <c r="U10" i="2066"/>
  <c r="T10" i="2066"/>
  <c r="S10" i="2066"/>
  <c r="R10" i="2066"/>
  <c r="Q10" i="2066"/>
  <c r="P10" i="2066"/>
  <c r="O10" i="2066"/>
  <c r="N10" i="2066"/>
  <c r="M10" i="2066"/>
  <c r="L10" i="2066"/>
  <c r="K10" i="2066"/>
  <c r="J10" i="2066"/>
  <c r="I10" i="2066"/>
  <c r="H10" i="2066"/>
  <c r="G10" i="2066"/>
  <c r="F10" i="2066"/>
  <c r="E10" i="2066"/>
  <c r="D10" i="2066"/>
  <c r="AE7" i="2066"/>
  <c r="AD7" i="2066"/>
  <c r="AC7" i="2066"/>
  <c r="AB7" i="2066"/>
  <c r="AA7" i="2066"/>
  <c r="Z7" i="2066"/>
  <c r="Y7" i="2066"/>
  <c r="X7" i="2066"/>
  <c r="W7" i="2066"/>
  <c r="V7" i="2066"/>
  <c r="U7" i="2066"/>
  <c r="T7" i="2066"/>
  <c r="S7" i="2066"/>
  <c r="R7" i="2066"/>
  <c r="Q7" i="2066"/>
  <c r="P7" i="2066"/>
  <c r="O7" i="2066"/>
  <c r="N7" i="2066"/>
  <c r="M7" i="2066"/>
  <c r="L7" i="2066"/>
  <c r="K7" i="2066"/>
  <c r="J7" i="2066"/>
  <c r="I7" i="2066"/>
  <c r="H7" i="2066"/>
  <c r="G7" i="2066"/>
  <c r="F7" i="2066"/>
  <c r="E7" i="2066"/>
  <c r="D7" i="2066"/>
  <c r="W33" i="2066" l="1"/>
  <c r="AC33" i="2066"/>
  <c r="D33" i="2066"/>
  <c r="Z33" i="2066"/>
  <c r="Y33" i="2066"/>
  <c r="N33" i="2066"/>
  <c r="Q33" i="2066"/>
  <c r="E33" i="2066"/>
  <c r="K33" i="2066"/>
  <c r="J33" i="2066"/>
  <c r="M33" i="2066"/>
  <c r="V33" i="2066"/>
  <c r="AA33" i="2065"/>
  <c r="X33" i="2065"/>
  <c r="U33" i="2065"/>
  <c r="R33" i="2065"/>
  <c r="F33" i="2065"/>
  <c r="Y28" i="2065"/>
  <c r="X28" i="2065"/>
  <c r="S33" i="2065" s="1"/>
  <c r="W28" i="2065"/>
  <c r="V28" i="2065"/>
  <c r="U28" i="2065"/>
  <c r="T28" i="2065"/>
  <c r="S28" i="2065"/>
  <c r="R28" i="2065"/>
  <c r="Q28" i="2065"/>
  <c r="P28" i="2065"/>
  <c r="O28" i="2065"/>
  <c r="N28" i="2065"/>
  <c r="M28" i="2065"/>
  <c r="L28" i="2065"/>
  <c r="K28" i="2065"/>
  <c r="J28" i="2065"/>
  <c r="I28" i="2065"/>
  <c r="H28" i="2065"/>
  <c r="G28" i="2065"/>
  <c r="F28" i="2065"/>
  <c r="E28" i="2065"/>
  <c r="D28" i="2065"/>
  <c r="Y25" i="2065"/>
  <c r="X25" i="2065"/>
  <c r="W25" i="2065"/>
  <c r="V25" i="2065"/>
  <c r="U25" i="2065"/>
  <c r="T25" i="2065"/>
  <c r="S25" i="2065"/>
  <c r="R25" i="2065"/>
  <c r="Q25" i="2065"/>
  <c r="P25" i="2065"/>
  <c r="O25" i="2065"/>
  <c r="N25" i="2065"/>
  <c r="M25" i="2065"/>
  <c r="L25" i="2065"/>
  <c r="K25" i="2065"/>
  <c r="J25" i="2065"/>
  <c r="I25" i="2065"/>
  <c r="H25" i="2065"/>
  <c r="G25" i="2065"/>
  <c r="F25" i="2065"/>
  <c r="E25" i="2065"/>
  <c r="D25" i="2065"/>
  <c r="AE19" i="2065"/>
  <c r="AD19" i="2065"/>
  <c r="AC19" i="2065"/>
  <c r="AB19" i="2065"/>
  <c r="AA19" i="2065"/>
  <c r="Z19" i="2065"/>
  <c r="Y19" i="2065"/>
  <c r="X19" i="2065"/>
  <c r="T33" i="2065" s="1"/>
  <c r="W19" i="2065"/>
  <c r="V19" i="2065"/>
  <c r="U19" i="2065"/>
  <c r="T19" i="2065"/>
  <c r="S19" i="2065"/>
  <c r="R19" i="2065"/>
  <c r="Q19" i="2065"/>
  <c r="P19" i="2065"/>
  <c r="O19" i="2065"/>
  <c r="N19" i="2065"/>
  <c r="G33" i="2065" s="1"/>
  <c r="M19" i="2065"/>
  <c r="H33" i="2065" s="1"/>
  <c r="L19" i="2065"/>
  <c r="P33" i="2065" s="1"/>
  <c r="K19" i="2065"/>
  <c r="L33" i="2065" s="1"/>
  <c r="J19" i="2065"/>
  <c r="I19" i="2065"/>
  <c r="AB33" i="2065" s="1"/>
  <c r="H19" i="2065"/>
  <c r="G19" i="2065"/>
  <c r="O33" i="2065" s="1"/>
  <c r="F19" i="2065"/>
  <c r="E19" i="2065"/>
  <c r="D19" i="2065"/>
  <c r="AE16" i="2065"/>
  <c r="AD16" i="2065"/>
  <c r="AC16" i="2065"/>
  <c r="AB16" i="2065"/>
  <c r="AA16" i="2065"/>
  <c r="Z16" i="2065"/>
  <c r="X16" i="2065"/>
  <c r="W16" i="2065"/>
  <c r="V16" i="2065"/>
  <c r="U16" i="2065"/>
  <c r="T16" i="2065"/>
  <c r="S16" i="2065"/>
  <c r="R16" i="2065"/>
  <c r="Q16" i="2065"/>
  <c r="P16" i="2065"/>
  <c r="O16" i="2065"/>
  <c r="N16" i="2065"/>
  <c r="M16" i="2065"/>
  <c r="L16" i="2065"/>
  <c r="K16" i="2065"/>
  <c r="J16" i="2065"/>
  <c r="I16" i="2065"/>
  <c r="H16" i="2065"/>
  <c r="G16" i="2065"/>
  <c r="F16" i="2065"/>
  <c r="E16" i="2065"/>
  <c r="D16" i="2065"/>
  <c r="AE10" i="2065"/>
  <c r="AD10" i="2065"/>
  <c r="AC10" i="2065"/>
  <c r="AB10" i="2065"/>
  <c r="AA10" i="2065"/>
  <c r="Z10" i="2065"/>
  <c r="Y10" i="2065"/>
  <c r="X10" i="2065"/>
  <c r="W10" i="2065"/>
  <c r="V10" i="2065"/>
  <c r="U10" i="2065"/>
  <c r="T10" i="2065"/>
  <c r="S10" i="2065"/>
  <c r="R10" i="2065"/>
  <c r="Q10" i="2065"/>
  <c r="P10" i="2065"/>
  <c r="O10" i="2065"/>
  <c r="N10" i="2065"/>
  <c r="M10" i="2065"/>
  <c r="L10" i="2065"/>
  <c r="K10" i="2065"/>
  <c r="J10" i="2065"/>
  <c r="Q33" i="2065" s="1"/>
  <c r="I10" i="2065"/>
  <c r="E33" i="2065" s="1"/>
  <c r="H10" i="2065"/>
  <c r="G10" i="2065"/>
  <c r="F10" i="2065"/>
  <c r="E10" i="2065"/>
  <c r="D10" i="2065"/>
  <c r="AE7" i="2065"/>
  <c r="AD7" i="2065"/>
  <c r="AC7" i="2065"/>
  <c r="AB7" i="2065"/>
  <c r="AA7" i="2065"/>
  <c r="Z7" i="2065"/>
  <c r="Y7" i="2065"/>
  <c r="X7" i="2065"/>
  <c r="W7" i="2065"/>
  <c r="V7" i="2065"/>
  <c r="U7" i="2065"/>
  <c r="T7" i="2065"/>
  <c r="S7" i="2065"/>
  <c r="R7" i="2065"/>
  <c r="Q7" i="2065"/>
  <c r="P7" i="2065"/>
  <c r="O7" i="2065"/>
  <c r="N7" i="2065"/>
  <c r="M7" i="2065"/>
  <c r="L7" i="2065"/>
  <c r="K7" i="2065"/>
  <c r="J7" i="2065"/>
  <c r="I7" i="2065"/>
  <c r="H7" i="2065"/>
  <c r="G7" i="2065"/>
  <c r="F7" i="2065"/>
  <c r="E7" i="2065"/>
  <c r="D7" i="2065"/>
  <c r="W33" i="2065" l="1"/>
  <c r="J33" i="2065"/>
  <c r="N33" i="2065"/>
  <c r="AC33" i="2065"/>
  <c r="D33" i="2065"/>
  <c r="Z33" i="2065"/>
  <c r="Y33" i="2065"/>
  <c r="K33" i="2065"/>
  <c r="M33" i="2065"/>
  <c r="V33" i="2065"/>
  <c r="AA33" i="2064"/>
  <c r="X33" i="2064"/>
  <c r="U33" i="2064"/>
  <c r="R33" i="2064"/>
  <c r="F33" i="2064"/>
  <c r="Y28" i="2064"/>
  <c r="X28" i="2064"/>
  <c r="S33" i="2064" s="1"/>
  <c r="W28" i="2064"/>
  <c r="V28" i="2064"/>
  <c r="U28" i="2064"/>
  <c r="T28" i="2064"/>
  <c r="S28" i="2064"/>
  <c r="R28" i="2064"/>
  <c r="Q28" i="2064"/>
  <c r="P28" i="2064"/>
  <c r="O28" i="2064"/>
  <c r="N28" i="2064"/>
  <c r="M28" i="2064"/>
  <c r="L28" i="2064"/>
  <c r="K28" i="2064"/>
  <c r="J28" i="2064"/>
  <c r="I28" i="2064"/>
  <c r="H28" i="2064"/>
  <c r="G28" i="2064"/>
  <c r="F28" i="2064"/>
  <c r="E28" i="2064"/>
  <c r="D28" i="2064"/>
  <c r="Y25" i="2064"/>
  <c r="X25" i="2064"/>
  <c r="W25" i="2064"/>
  <c r="V25" i="2064"/>
  <c r="U25" i="2064"/>
  <c r="T25" i="2064"/>
  <c r="S25" i="2064"/>
  <c r="R25" i="2064"/>
  <c r="Q25" i="2064"/>
  <c r="P25" i="2064"/>
  <c r="O25" i="2064"/>
  <c r="N25" i="2064"/>
  <c r="M25" i="2064"/>
  <c r="L25" i="2064"/>
  <c r="K25" i="2064"/>
  <c r="J25" i="2064"/>
  <c r="I25" i="2064"/>
  <c r="H25" i="2064"/>
  <c r="G25" i="2064"/>
  <c r="F25" i="2064"/>
  <c r="E25" i="2064"/>
  <c r="D25" i="2064"/>
  <c r="AE19" i="2064"/>
  <c r="AD19" i="2064"/>
  <c r="AC19" i="2064"/>
  <c r="AB19" i="2064"/>
  <c r="AA19" i="2064"/>
  <c r="Z19" i="2064"/>
  <c r="Y19" i="2064"/>
  <c r="X19" i="2064"/>
  <c r="T33" i="2064" s="1"/>
  <c r="W19" i="2064"/>
  <c r="V19" i="2064"/>
  <c r="U19" i="2064"/>
  <c r="T19" i="2064"/>
  <c r="S19" i="2064"/>
  <c r="R19" i="2064"/>
  <c r="Q19" i="2064"/>
  <c r="P19" i="2064"/>
  <c r="O19" i="2064"/>
  <c r="N19" i="2064"/>
  <c r="G33" i="2064" s="1"/>
  <c r="M19" i="2064"/>
  <c r="H33" i="2064" s="1"/>
  <c r="L19" i="2064"/>
  <c r="P33" i="2064" s="1"/>
  <c r="K19" i="2064"/>
  <c r="L33" i="2064" s="1"/>
  <c r="J19" i="2064"/>
  <c r="I19" i="2064"/>
  <c r="AB33" i="2064" s="1"/>
  <c r="H19" i="2064"/>
  <c r="G19" i="2064"/>
  <c r="O33" i="2064" s="1"/>
  <c r="F19" i="2064"/>
  <c r="E19" i="2064"/>
  <c r="D19" i="2064"/>
  <c r="AE16" i="2064"/>
  <c r="AD16" i="2064"/>
  <c r="AC16" i="2064"/>
  <c r="AB16" i="2064"/>
  <c r="AA16" i="2064"/>
  <c r="Z16" i="2064"/>
  <c r="X16" i="2064"/>
  <c r="W16" i="2064"/>
  <c r="V16" i="2064"/>
  <c r="U16" i="2064"/>
  <c r="T16" i="2064"/>
  <c r="S16" i="2064"/>
  <c r="R16" i="2064"/>
  <c r="Q16" i="2064"/>
  <c r="P16" i="2064"/>
  <c r="O16" i="2064"/>
  <c r="N16" i="2064"/>
  <c r="M16" i="2064"/>
  <c r="L16" i="2064"/>
  <c r="K16" i="2064"/>
  <c r="J16" i="2064"/>
  <c r="I16" i="2064"/>
  <c r="H16" i="2064"/>
  <c r="G16" i="2064"/>
  <c r="F16" i="2064"/>
  <c r="E16" i="2064"/>
  <c r="D16" i="2064"/>
  <c r="AE10" i="2064"/>
  <c r="AD10" i="2064"/>
  <c r="AC10" i="2064"/>
  <c r="AB10" i="2064"/>
  <c r="AA10" i="2064"/>
  <c r="Z10" i="2064"/>
  <c r="Y10" i="2064"/>
  <c r="X10" i="2064"/>
  <c r="W10" i="2064"/>
  <c r="V10" i="2064"/>
  <c r="U10" i="2064"/>
  <c r="T10" i="2064"/>
  <c r="S10" i="2064"/>
  <c r="R10" i="2064"/>
  <c r="Q10" i="2064"/>
  <c r="P10" i="2064"/>
  <c r="O10" i="2064"/>
  <c r="N10" i="2064"/>
  <c r="M10" i="2064"/>
  <c r="L10" i="2064"/>
  <c r="K10" i="2064"/>
  <c r="J10" i="2064"/>
  <c r="Q33" i="2064" s="1"/>
  <c r="I10" i="2064"/>
  <c r="H10" i="2064"/>
  <c r="G10" i="2064"/>
  <c r="F10" i="2064"/>
  <c r="E10" i="2064"/>
  <c r="D10" i="2064"/>
  <c r="AE7" i="2064"/>
  <c r="AD7" i="2064"/>
  <c r="AC7" i="2064"/>
  <c r="AB7" i="2064"/>
  <c r="AA7" i="2064"/>
  <c r="Z7" i="2064"/>
  <c r="Y7" i="2064"/>
  <c r="X7" i="2064"/>
  <c r="W7" i="2064"/>
  <c r="V7" i="2064"/>
  <c r="U7" i="2064"/>
  <c r="T7" i="2064"/>
  <c r="S7" i="2064"/>
  <c r="R7" i="2064"/>
  <c r="Q7" i="2064"/>
  <c r="P7" i="2064"/>
  <c r="O7" i="2064"/>
  <c r="N7" i="2064"/>
  <c r="M7" i="2064"/>
  <c r="L7" i="2064"/>
  <c r="K7" i="2064"/>
  <c r="J7" i="2064"/>
  <c r="I7" i="2064"/>
  <c r="H7" i="2064"/>
  <c r="G7" i="2064"/>
  <c r="F7" i="2064"/>
  <c r="E7" i="2064"/>
  <c r="D7" i="2064"/>
  <c r="W33" i="2064" l="1"/>
  <c r="M33" i="2064"/>
  <c r="J33" i="2064"/>
  <c r="K33" i="2064"/>
  <c r="AC33" i="2064"/>
  <c r="D33" i="2064"/>
  <c r="Z33" i="2064"/>
  <c r="Y33" i="2064"/>
  <c r="N33" i="2064"/>
  <c r="E33" i="2064"/>
  <c r="V33" i="2064"/>
  <c r="AA33" i="2063"/>
  <c r="X33" i="2063"/>
  <c r="U33" i="2063"/>
  <c r="R33" i="2063"/>
  <c r="F33" i="2063"/>
  <c r="Y28" i="2063"/>
  <c r="X28" i="2063"/>
  <c r="S33" i="2063" s="1"/>
  <c r="W28" i="2063"/>
  <c r="V28" i="2063"/>
  <c r="U28" i="2063"/>
  <c r="T28" i="2063"/>
  <c r="S28" i="2063"/>
  <c r="R28" i="2063"/>
  <c r="Q28" i="2063"/>
  <c r="P28" i="2063"/>
  <c r="O28" i="2063"/>
  <c r="N28" i="2063"/>
  <c r="M28" i="2063"/>
  <c r="L28" i="2063"/>
  <c r="K28" i="2063"/>
  <c r="J28" i="2063"/>
  <c r="I28" i="2063"/>
  <c r="H28" i="2063"/>
  <c r="G28" i="2063"/>
  <c r="F28" i="2063"/>
  <c r="E28" i="2063"/>
  <c r="D28" i="2063"/>
  <c r="Y25" i="2063"/>
  <c r="X25" i="2063"/>
  <c r="W25" i="2063"/>
  <c r="V25" i="2063"/>
  <c r="U25" i="2063"/>
  <c r="T25" i="2063"/>
  <c r="S25" i="2063"/>
  <c r="R25" i="2063"/>
  <c r="Q25" i="2063"/>
  <c r="P25" i="2063"/>
  <c r="O25" i="2063"/>
  <c r="N25" i="2063"/>
  <c r="M25" i="2063"/>
  <c r="L25" i="2063"/>
  <c r="K25" i="2063"/>
  <c r="J25" i="2063"/>
  <c r="I25" i="2063"/>
  <c r="H25" i="2063"/>
  <c r="G25" i="2063"/>
  <c r="F25" i="2063"/>
  <c r="E25" i="2063"/>
  <c r="D25" i="2063"/>
  <c r="AE19" i="2063"/>
  <c r="AD19" i="2063"/>
  <c r="AC19" i="2063"/>
  <c r="AB19" i="2063"/>
  <c r="AA19" i="2063"/>
  <c r="Z19" i="2063"/>
  <c r="Y19" i="2063"/>
  <c r="X19" i="2063"/>
  <c r="T33" i="2063" s="1"/>
  <c r="W19" i="2063"/>
  <c r="V19" i="2063"/>
  <c r="U19" i="2063"/>
  <c r="T19" i="2063"/>
  <c r="S19" i="2063"/>
  <c r="R19" i="2063"/>
  <c r="Q19" i="2063"/>
  <c r="P19" i="2063"/>
  <c r="O19" i="2063"/>
  <c r="N19" i="2063"/>
  <c r="G33" i="2063" s="1"/>
  <c r="M19" i="2063"/>
  <c r="H33" i="2063" s="1"/>
  <c r="L19" i="2063"/>
  <c r="P33" i="2063" s="1"/>
  <c r="K19" i="2063"/>
  <c r="L33" i="2063" s="1"/>
  <c r="J19" i="2063"/>
  <c r="I19" i="2063"/>
  <c r="AB33" i="2063" s="1"/>
  <c r="H19" i="2063"/>
  <c r="G19" i="2063"/>
  <c r="O33" i="2063" s="1"/>
  <c r="F19" i="2063"/>
  <c r="E19" i="2063"/>
  <c r="D19" i="2063"/>
  <c r="AE16" i="2063"/>
  <c r="AD16" i="2063"/>
  <c r="AC16" i="2063"/>
  <c r="AB16" i="2063"/>
  <c r="AA16" i="2063"/>
  <c r="Z16" i="2063"/>
  <c r="X16" i="2063"/>
  <c r="W16" i="2063"/>
  <c r="V16" i="2063"/>
  <c r="U16" i="2063"/>
  <c r="T16" i="2063"/>
  <c r="S16" i="2063"/>
  <c r="R16" i="2063"/>
  <c r="Q16" i="2063"/>
  <c r="P16" i="2063"/>
  <c r="O16" i="2063"/>
  <c r="N16" i="2063"/>
  <c r="M16" i="2063"/>
  <c r="L16" i="2063"/>
  <c r="K16" i="2063"/>
  <c r="J16" i="2063"/>
  <c r="I16" i="2063"/>
  <c r="H16" i="2063"/>
  <c r="G16" i="2063"/>
  <c r="F16" i="2063"/>
  <c r="E16" i="2063"/>
  <c r="D16" i="2063"/>
  <c r="AE10" i="2063"/>
  <c r="AD10" i="2063"/>
  <c r="AC10" i="2063"/>
  <c r="AB10" i="2063"/>
  <c r="AA10" i="2063"/>
  <c r="Z10" i="2063"/>
  <c r="Y10" i="2063"/>
  <c r="X10" i="2063"/>
  <c r="W10" i="2063"/>
  <c r="V10" i="2063"/>
  <c r="U10" i="2063"/>
  <c r="T10" i="2063"/>
  <c r="S10" i="2063"/>
  <c r="R10" i="2063"/>
  <c r="Q10" i="2063"/>
  <c r="P10" i="2063"/>
  <c r="O10" i="2063"/>
  <c r="N10" i="2063"/>
  <c r="M10" i="2063"/>
  <c r="L10" i="2063"/>
  <c r="K10" i="2063"/>
  <c r="J10" i="2063"/>
  <c r="Q33" i="2063" s="1"/>
  <c r="I10" i="2063"/>
  <c r="E33" i="2063" s="1"/>
  <c r="H10" i="2063"/>
  <c r="G10" i="2063"/>
  <c r="F10" i="2063"/>
  <c r="E10" i="2063"/>
  <c r="D10" i="2063"/>
  <c r="AE7" i="2063"/>
  <c r="AD7" i="2063"/>
  <c r="AC7" i="2063"/>
  <c r="AB7" i="2063"/>
  <c r="AA7" i="2063"/>
  <c r="Z7" i="2063"/>
  <c r="Y7" i="2063"/>
  <c r="X7" i="2063"/>
  <c r="W7" i="2063"/>
  <c r="V7" i="2063"/>
  <c r="U7" i="2063"/>
  <c r="T7" i="2063"/>
  <c r="S7" i="2063"/>
  <c r="R7" i="2063"/>
  <c r="Q7" i="2063"/>
  <c r="P7" i="2063"/>
  <c r="O7" i="2063"/>
  <c r="N7" i="2063"/>
  <c r="M7" i="2063"/>
  <c r="L7" i="2063"/>
  <c r="K7" i="2063"/>
  <c r="J7" i="2063"/>
  <c r="I7" i="2063"/>
  <c r="H7" i="2063"/>
  <c r="G7" i="2063"/>
  <c r="F7" i="2063"/>
  <c r="E7" i="2063"/>
  <c r="D7" i="2063"/>
  <c r="W33" i="2063" l="1"/>
  <c r="J33" i="2063"/>
  <c r="K33" i="2063"/>
  <c r="N33" i="2063"/>
  <c r="AC33" i="2063"/>
  <c r="D33" i="2063"/>
  <c r="Z33" i="2063"/>
  <c r="Y33" i="2063"/>
  <c r="M33" i="2063"/>
  <c r="V33" i="2063"/>
  <c r="AA33" i="2062"/>
  <c r="X33" i="2062"/>
  <c r="U33" i="2062"/>
  <c r="R33" i="2062"/>
  <c r="F33" i="2062"/>
  <c r="Y28" i="2062"/>
  <c r="X28" i="2062"/>
  <c r="S33" i="2062" s="1"/>
  <c r="W28" i="2062"/>
  <c r="V28" i="2062"/>
  <c r="U28" i="2062"/>
  <c r="T28" i="2062"/>
  <c r="S28" i="2062"/>
  <c r="R28" i="2062"/>
  <c r="Q28" i="2062"/>
  <c r="P28" i="2062"/>
  <c r="O28" i="2062"/>
  <c r="N28" i="2062"/>
  <c r="M28" i="2062"/>
  <c r="L28" i="2062"/>
  <c r="K28" i="2062"/>
  <c r="J28" i="2062"/>
  <c r="I28" i="2062"/>
  <c r="H28" i="2062"/>
  <c r="G28" i="2062"/>
  <c r="F28" i="2062"/>
  <c r="E28" i="2062"/>
  <c r="D28" i="2062"/>
  <c r="Y25" i="2062"/>
  <c r="X25" i="2062"/>
  <c r="W25" i="2062"/>
  <c r="V25" i="2062"/>
  <c r="U25" i="2062"/>
  <c r="T25" i="2062"/>
  <c r="S25" i="2062"/>
  <c r="R25" i="2062"/>
  <c r="Q25" i="2062"/>
  <c r="P25" i="2062"/>
  <c r="O25" i="2062"/>
  <c r="N25" i="2062"/>
  <c r="M25" i="2062"/>
  <c r="L25" i="2062"/>
  <c r="K25" i="2062"/>
  <c r="J25" i="2062"/>
  <c r="I25" i="2062"/>
  <c r="H25" i="2062"/>
  <c r="G25" i="2062"/>
  <c r="F25" i="2062"/>
  <c r="E25" i="2062"/>
  <c r="D25" i="2062"/>
  <c r="AE19" i="2062"/>
  <c r="AD19" i="2062"/>
  <c r="AC19" i="2062"/>
  <c r="AB19" i="2062"/>
  <c r="AA19" i="2062"/>
  <c r="Z19" i="2062"/>
  <c r="Y19" i="2062"/>
  <c r="X19" i="2062"/>
  <c r="T33" i="2062" s="1"/>
  <c r="W19" i="2062"/>
  <c r="V19" i="2062"/>
  <c r="U19" i="2062"/>
  <c r="T19" i="2062"/>
  <c r="S19" i="2062"/>
  <c r="R19" i="2062"/>
  <c r="Q19" i="2062"/>
  <c r="P19" i="2062"/>
  <c r="O19" i="2062"/>
  <c r="N19" i="2062"/>
  <c r="G33" i="2062" s="1"/>
  <c r="M19" i="2062"/>
  <c r="H33" i="2062" s="1"/>
  <c r="L19" i="2062"/>
  <c r="P33" i="2062" s="1"/>
  <c r="K19" i="2062"/>
  <c r="L33" i="2062" s="1"/>
  <c r="J19" i="2062"/>
  <c r="I19" i="2062"/>
  <c r="AB33" i="2062" s="1"/>
  <c r="H19" i="2062"/>
  <c r="G19" i="2062"/>
  <c r="O33" i="2062" s="1"/>
  <c r="F19" i="2062"/>
  <c r="E19" i="2062"/>
  <c r="D19" i="2062"/>
  <c r="AE16" i="2062"/>
  <c r="AD16" i="2062"/>
  <c r="AC16" i="2062"/>
  <c r="AB16" i="2062"/>
  <c r="AA16" i="2062"/>
  <c r="Z16" i="2062"/>
  <c r="X16" i="2062"/>
  <c r="W16" i="2062"/>
  <c r="V16" i="2062"/>
  <c r="U16" i="2062"/>
  <c r="T16" i="2062"/>
  <c r="S16" i="2062"/>
  <c r="R16" i="2062"/>
  <c r="Q16" i="2062"/>
  <c r="P16" i="2062"/>
  <c r="O16" i="2062"/>
  <c r="N16" i="2062"/>
  <c r="M16" i="2062"/>
  <c r="L16" i="2062"/>
  <c r="K16" i="2062"/>
  <c r="J16" i="2062"/>
  <c r="I16" i="2062"/>
  <c r="H16" i="2062"/>
  <c r="G16" i="2062"/>
  <c r="F16" i="2062"/>
  <c r="E16" i="2062"/>
  <c r="D16" i="2062"/>
  <c r="AE10" i="2062"/>
  <c r="AD10" i="2062"/>
  <c r="AC10" i="2062"/>
  <c r="AB10" i="2062"/>
  <c r="AA10" i="2062"/>
  <c r="Z10" i="2062"/>
  <c r="Y10" i="2062"/>
  <c r="X10" i="2062"/>
  <c r="W10" i="2062"/>
  <c r="V10" i="2062"/>
  <c r="U10" i="2062"/>
  <c r="T10" i="2062"/>
  <c r="S10" i="2062"/>
  <c r="R10" i="2062"/>
  <c r="Q10" i="2062"/>
  <c r="P10" i="2062"/>
  <c r="O10" i="2062"/>
  <c r="N10" i="2062"/>
  <c r="M10" i="2062"/>
  <c r="L10" i="2062"/>
  <c r="K10" i="2062"/>
  <c r="J10" i="2062"/>
  <c r="I10" i="2062"/>
  <c r="E33" i="2062" s="1"/>
  <c r="H10" i="2062"/>
  <c r="G10" i="2062"/>
  <c r="F10" i="2062"/>
  <c r="E10" i="2062"/>
  <c r="D10" i="2062"/>
  <c r="AE7" i="2062"/>
  <c r="AD7" i="2062"/>
  <c r="AC7" i="2062"/>
  <c r="AB7" i="2062"/>
  <c r="AA7" i="2062"/>
  <c r="Z7" i="2062"/>
  <c r="Y7" i="2062"/>
  <c r="X7" i="2062"/>
  <c r="W7" i="2062"/>
  <c r="V7" i="2062"/>
  <c r="U7" i="2062"/>
  <c r="T7" i="2062"/>
  <c r="S7" i="2062"/>
  <c r="R7" i="2062"/>
  <c r="Q7" i="2062"/>
  <c r="P7" i="2062"/>
  <c r="O7" i="2062"/>
  <c r="N7" i="2062"/>
  <c r="M7" i="2062"/>
  <c r="L7" i="2062"/>
  <c r="K7" i="2062"/>
  <c r="J7" i="2062"/>
  <c r="I7" i="2062"/>
  <c r="H7" i="2062"/>
  <c r="G7" i="2062"/>
  <c r="F7" i="2062"/>
  <c r="E7" i="2062"/>
  <c r="D7" i="2062"/>
  <c r="W33" i="2062" l="1"/>
  <c r="J33" i="2062"/>
  <c r="N33" i="2062"/>
  <c r="AC33" i="2062"/>
  <c r="D33" i="2062"/>
  <c r="Z33" i="2062"/>
  <c r="Y33" i="2062"/>
  <c r="K33" i="2062"/>
  <c r="Q33" i="2062"/>
  <c r="M33" i="2062"/>
  <c r="V33" i="2062"/>
  <c r="AA33" i="2061"/>
  <c r="X33" i="2061"/>
  <c r="U33" i="2061"/>
  <c r="R33" i="2061"/>
  <c r="F33" i="2061"/>
  <c r="Y28" i="2061"/>
  <c r="X28" i="2061"/>
  <c r="S33" i="2061" s="1"/>
  <c r="W28" i="2061"/>
  <c r="V28" i="2061"/>
  <c r="U28" i="2061"/>
  <c r="T28" i="2061"/>
  <c r="S28" i="2061"/>
  <c r="R28" i="2061"/>
  <c r="Q28" i="2061"/>
  <c r="P28" i="2061"/>
  <c r="O28" i="2061"/>
  <c r="N28" i="2061"/>
  <c r="M28" i="2061"/>
  <c r="L28" i="2061"/>
  <c r="K28" i="2061"/>
  <c r="J28" i="2061"/>
  <c r="I28" i="2061"/>
  <c r="H28" i="2061"/>
  <c r="G28" i="2061"/>
  <c r="F28" i="2061"/>
  <c r="E28" i="2061"/>
  <c r="D28" i="2061"/>
  <c r="Y25" i="2061"/>
  <c r="X25" i="2061"/>
  <c r="W25" i="2061"/>
  <c r="V25" i="2061"/>
  <c r="U25" i="2061"/>
  <c r="T25" i="2061"/>
  <c r="S25" i="2061"/>
  <c r="R25" i="2061"/>
  <c r="Q25" i="2061"/>
  <c r="P25" i="2061"/>
  <c r="O25" i="2061"/>
  <c r="N25" i="2061"/>
  <c r="M25" i="2061"/>
  <c r="L25" i="2061"/>
  <c r="K25" i="2061"/>
  <c r="J25" i="2061"/>
  <c r="I25" i="2061"/>
  <c r="H25" i="2061"/>
  <c r="G25" i="2061"/>
  <c r="F25" i="2061"/>
  <c r="E25" i="2061"/>
  <c r="D25" i="2061"/>
  <c r="AE19" i="2061"/>
  <c r="AD19" i="2061"/>
  <c r="AC19" i="2061"/>
  <c r="AB19" i="2061"/>
  <c r="AA19" i="2061"/>
  <c r="Z19" i="2061"/>
  <c r="Y19" i="2061"/>
  <c r="X19" i="2061"/>
  <c r="T33" i="2061" s="1"/>
  <c r="W19" i="2061"/>
  <c r="V19" i="2061"/>
  <c r="U19" i="2061"/>
  <c r="T19" i="2061"/>
  <c r="S19" i="2061"/>
  <c r="R19" i="2061"/>
  <c r="Q19" i="2061"/>
  <c r="P19" i="2061"/>
  <c r="O19" i="2061"/>
  <c r="N19" i="2061"/>
  <c r="G33" i="2061" s="1"/>
  <c r="M19" i="2061"/>
  <c r="H33" i="2061" s="1"/>
  <c r="L19" i="2061"/>
  <c r="P33" i="2061" s="1"/>
  <c r="K19" i="2061"/>
  <c r="L33" i="2061" s="1"/>
  <c r="J19" i="2061"/>
  <c r="I19" i="2061"/>
  <c r="AB33" i="2061" s="1"/>
  <c r="H19" i="2061"/>
  <c r="G19" i="2061"/>
  <c r="O33" i="2061" s="1"/>
  <c r="F19" i="2061"/>
  <c r="E19" i="2061"/>
  <c r="D19" i="2061"/>
  <c r="AE16" i="2061"/>
  <c r="AD16" i="2061"/>
  <c r="AC16" i="2061"/>
  <c r="AB16" i="2061"/>
  <c r="AA16" i="2061"/>
  <c r="Z16" i="2061"/>
  <c r="X16" i="2061"/>
  <c r="W16" i="2061"/>
  <c r="V16" i="2061"/>
  <c r="U16" i="2061"/>
  <c r="T16" i="2061"/>
  <c r="S16" i="2061"/>
  <c r="R16" i="2061"/>
  <c r="Q16" i="2061"/>
  <c r="P16" i="2061"/>
  <c r="O16" i="2061"/>
  <c r="N16" i="2061"/>
  <c r="M16" i="2061"/>
  <c r="L16" i="2061"/>
  <c r="K16" i="2061"/>
  <c r="J16" i="2061"/>
  <c r="I16" i="2061"/>
  <c r="H16" i="2061"/>
  <c r="G16" i="2061"/>
  <c r="F16" i="2061"/>
  <c r="E16" i="2061"/>
  <c r="D16" i="2061"/>
  <c r="AE10" i="2061"/>
  <c r="AD10" i="2061"/>
  <c r="AC10" i="2061"/>
  <c r="AB10" i="2061"/>
  <c r="AA10" i="2061"/>
  <c r="Z10" i="2061"/>
  <c r="Y10" i="2061"/>
  <c r="X10" i="2061"/>
  <c r="W10" i="2061"/>
  <c r="V10" i="2061"/>
  <c r="U10" i="2061"/>
  <c r="T10" i="2061"/>
  <c r="S10" i="2061"/>
  <c r="R10" i="2061"/>
  <c r="Q10" i="2061"/>
  <c r="P10" i="2061"/>
  <c r="O10" i="2061"/>
  <c r="N10" i="2061"/>
  <c r="M10" i="2061"/>
  <c r="L10" i="2061"/>
  <c r="K10" i="2061"/>
  <c r="J10" i="2061"/>
  <c r="Q33" i="2061" s="1"/>
  <c r="I10" i="2061"/>
  <c r="E33" i="2061" s="1"/>
  <c r="H10" i="2061"/>
  <c r="G10" i="2061"/>
  <c r="F10" i="2061"/>
  <c r="E10" i="2061"/>
  <c r="D10" i="2061"/>
  <c r="AE7" i="2061"/>
  <c r="AD7" i="2061"/>
  <c r="AC7" i="2061"/>
  <c r="AB7" i="2061"/>
  <c r="AA7" i="2061"/>
  <c r="Z7" i="2061"/>
  <c r="Y7" i="2061"/>
  <c r="X7" i="2061"/>
  <c r="W7" i="2061"/>
  <c r="V7" i="2061"/>
  <c r="U7" i="2061"/>
  <c r="T7" i="2061"/>
  <c r="S7" i="2061"/>
  <c r="R7" i="2061"/>
  <c r="Q7" i="2061"/>
  <c r="P7" i="2061"/>
  <c r="O7" i="2061"/>
  <c r="N7" i="2061"/>
  <c r="M7" i="2061"/>
  <c r="L7" i="2061"/>
  <c r="K7" i="2061"/>
  <c r="J7" i="2061"/>
  <c r="I7" i="2061"/>
  <c r="H7" i="2061"/>
  <c r="G7" i="2061"/>
  <c r="F7" i="2061"/>
  <c r="E7" i="2061"/>
  <c r="D7" i="2061"/>
  <c r="W33" i="2061" l="1"/>
  <c r="J33" i="2061"/>
  <c r="K33" i="2061"/>
  <c r="AC33" i="2061"/>
  <c r="D33" i="2061"/>
  <c r="Z33" i="2061"/>
  <c r="Y33" i="2061"/>
  <c r="N33" i="2061"/>
  <c r="M33" i="2061"/>
  <c r="V33" i="2061"/>
  <c r="AA33" i="2060"/>
  <c r="X33" i="2060"/>
  <c r="U33" i="2060"/>
  <c r="R33" i="2060"/>
  <c r="F33" i="2060"/>
  <c r="Y28" i="2060"/>
  <c r="X28" i="2060"/>
  <c r="S33" i="2060" s="1"/>
  <c r="W28" i="2060"/>
  <c r="V28" i="2060"/>
  <c r="U28" i="2060"/>
  <c r="T28" i="2060"/>
  <c r="S28" i="2060"/>
  <c r="R28" i="2060"/>
  <c r="Q28" i="2060"/>
  <c r="P28" i="2060"/>
  <c r="O28" i="2060"/>
  <c r="N28" i="2060"/>
  <c r="M28" i="2060"/>
  <c r="L28" i="2060"/>
  <c r="K28" i="2060"/>
  <c r="J28" i="2060"/>
  <c r="I28" i="2060"/>
  <c r="H28" i="2060"/>
  <c r="G28" i="2060"/>
  <c r="F28" i="2060"/>
  <c r="E28" i="2060"/>
  <c r="D28" i="2060"/>
  <c r="Y25" i="2060"/>
  <c r="X25" i="2060"/>
  <c r="W25" i="2060"/>
  <c r="V25" i="2060"/>
  <c r="U25" i="2060"/>
  <c r="T25" i="2060"/>
  <c r="S25" i="2060"/>
  <c r="R25" i="2060"/>
  <c r="Q25" i="2060"/>
  <c r="P25" i="2060"/>
  <c r="O25" i="2060"/>
  <c r="N25" i="2060"/>
  <c r="M25" i="2060"/>
  <c r="L25" i="2060"/>
  <c r="K25" i="2060"/>
  <c r="J25" i="2060"/>
  <c r="I25" i="2060"/>
  <c r="H25" i="2060"/>
  <c r="G25" i="2060"/>
  <c r="F25" i="2060"/>
  <c r="E25" i="2060"/>
  <c r="D25" i="2060"/>
  <c r="AE19" i="2060"/>
  <c r="AD19" i="2060"/>
  <c r="AC19" i="2060"/>
  <c r="AB19" i="2060"/>
  <c r="AA19" i="2060"/>
  <c r="Z19" i="2060"/>
  <c r="Y19" i="2060"/>
  <c r="X19" i="2060"/>
  <c r="T33" i="2060" s="1"/>
  <c r="W19" i="2060"/>
  <c r="V19" i="2060"/>
  <c r="U19" i="2060"/>
  <c r="T19" i="2060"/>
  <c r="S19" i="2060"/>
  <c r="R19" i="2060"/>
  <c r="Q19" i="2060"/>
  <c r="P19" i="2060"/>
  <c r="O19" i="2060"/>
  <c r="N19" i="2060"/>
  <c r="G33" i="2060" s="1"/>
  <c r="M19" i="2060"/>
  <c r="H33" i="2060" s="1"/>
  <c r="L19" i="2060"/>
  <c r="P33" i="2060" s="1"/>
  <c r="K19" i="2060"/>
  <c r="L33" i="2060" s="1"/>
  <c r="J19" i="2060"/>
  <c r="I19" i="2060"/>
  <c r="AB33" i="2060" s="1"/>
  <c r="H19" i="2060"/>
  <c r="G19" i="2060"/>
  <c r="O33" i="2060" s="1"/>
  <c r="F19" i="2060"/>
  <c r="E19" i="2060"/>
  <c r="D19" i="2060"/>
  <c r="AE16" i="2060"/>
  <c r="AD16" i="2060"/>
  <c r="AC16" i="2060"/>
  <c r="AB16" i="2060"/>
  <c r="AA16" i="2060"/>
  <c r="Z16" i="2060"/>
  <c r="X16" i="2060"/>
  <c r="W16" i="2060"/>
  <c r="V16" i="2060"/>
  <c r="U16" i="2060"/>
  <c r="T16" i="2060"/>
  <c r="S16" i="2060"/>
  <c r="R16" i="2060"/>
  <c r="Q16" i="2060"/>
  <c r="P16" i="2060"/>
  <c r="O16" i="2060"/>
  <c r="N16" i="2060"/>
  <c r="M16" i="2060"/>
  <c r="L16" i="2060"/>
  <c r="K16" i="2060"/>
  <c r="J16" i="2060"/>
  <c r="I16" i="2060"/>
  <c r="H16" i="2060"/>
  <c r="G16" i="2060"/>
  <c r="F16" i="2060"/>
  <c r="E16" i="2060"/>
  <c r="D16" i="2060"/>
  <c r="AE10" i="2060"/>
  <c r="AD10" i="2060"/>
  <c r="AC10" i="2060"/>
  <c r="AB10" i="2060"/>
  <c r="AA10" i="2060"/>
  <c r="Z10" i="2060"/>
  <c r="Y10" i="2060"/>
  <c r="X10" i="2060"/>
  <c r="W10" i="2060"/>
  <c r="V10" i="2060"/>
  <c r="U10" i="2060"/>
  <c r="T10" i="2060"/>
  <c r="S10" i="2060"/>
  <c r="R10" i="2060"/>
  <c r="Q10" i="2060"/>
  <c r="P10" i="2060"/>
  <c r="O10" i="2060"/>
  <c r="N10" i="2060"/>
  <c r="M10" i="2060"/>
  <c r="L10" i="2060"/>
  <c r="K10" i="2060"/>
  <c r="J10" i="2060"/>
  <c r="Q33" i="2060" s="1"/>
  <c r="I10" i="2060"/>
  <c r="E33" i="2060" s="1"/>
  <c r="H10" i="2060"/>
  <c r="G10" i="2060"/>
  <c r="F10" i="2060"/>
  <c r="E10" i="2060"/>
  <c r="D10" i="2060"/>
  <c r="AE7" i="2060"/>
  <c r="AD7" i="2060"/>
  <c r="AC7" i="2060"/>
  <c r="AB7" i="2060"/>
  <c r="AA7" i="2060"/>
  <c r="Z7" i="2060"/>
  <c r="Y7" i="2060"/>
  <c r="X7" i="2060"/>
  <c r="W7" i="2060"/>
  <c r="V7" i="2060"/>
  <c r="U7" i="2060"/>
  <c r="T7" i="2060"/>
  <c r="S7" i="2060"/>
  <c r="R7" i="2060"/>
  <c r="Q7" i="2060"/>
  <c r="P7" i="2060"/>
  <c r="O7" i="2060"/>
  <c r="N7" i="2060"/>
  <c r="M7" i="2060"/>
  <c r="L7" i="2060"/>
  <c r="K7" i="2060"/>
  <c r="J7" i="2060"/>
  <c r="I7" i="2060"/>
  <c r="H7" i="2060"/>
  <c r="G7" i="2060"/>
  <c r="F7" i="2060"/>
  <c r="E7" i="2060"/>
  <c r="D7" i="2060"/>
  <c r="W33" i="2060" l="1"/>
  <c r="J33" i="2060"/>
  <c r="N33" i="2060"/>
  <c r="AC33" i="2060"/>
  <c r="D33" i="2060"/>
  <c r="Z33" i="2060"/>
  <c r="Y33" i="2060"/>
  <c r="K33" i="2060"/>
  <c r="M33" i="2060"/>
  <c r="V33" i="2060"/>
  <c r="AA33" i="2059"/>
  <c r="X33" i="2059"/>
  <c r="U33" i="2059"/>
  <c r="R33" i="2059"/>
  <c r="O33" i="2059"/>
  <c r="F33" i="2059"/>
  <c r="Y28" i="2059"/>
  <c r="X28" i="2059"/>
  <c r="S33" i="2059" s="1"/>
  <c r="W28" i="2059"/>
  <c r="V28" i="2059"/>
  <c r="U28" i="2059"/>
  <c r="T28" i="2059"/>
  <c r="S28" i="2059"/>
  <c r="R28" i="2059"/>
  <c r="Q28" i="2059"/>
  <c r="P28" i="2059"/>
  <c r="O28" i="2059"/>
  <c r="N28" i="2059"/>
  <c r="M28" i="2059"/>
  <c r="L28" i="2059"/>
  <c r="K28" i="2059"/>
  <c r="J28" i="2059"/>
  <c r="I28" i="2059"/>
  <c r="H28" i="2059"/>
  <c r="G28" i="2059"/>
  <c r="F28" i="2059"/>
  <c r="E28" i="2059"/>
  <c r="D28" i="2059"/>
  <c r="W33" i="2059" s="1"/>
  <c r="Y25" i="2059"/>
  <c r="X25" i="2059"/>
  <c r="W25" i="2059"/>
  <c r="V25" i="2059"/>
  <c r="U25" i="2059"/>
  <c r="T25" i="2059"/>
  <c r="S25" i="2059"/>
  <c r="R25" i="2059"/>
  <c r="Q25" i="2059"/>
  <c r="P25" i="2059"/>
  <c r="O25" i="2059"/>
  <c r="N25" i="2059"/>
  <c r="M25" i="2059"/>
  <c r="L25" i="2059"/>
  <c r="K25" i="2059"/>
  <c r="J25" i="2059"/>
  <c r="I25" i="2059"/>
  <c r="H25" i="2059"/>
  <c r="G25" i="2059"/>
  <c r="F25" i="2059"/>
  <c r="E25" i="2059"/>
  <c r="D25" i="2059"/>
  <c r="AE19" i="2059"/>
  <c r="AD19" i="2059"/>
  <c r="AC19" i="2059"/>
  <c r="AB19" i="2059"/>
  <c r="AA19" i="2059"/>
  <c r="Z19" i="2059"/>
  <c r="Y19" i="2059"/>
  <c r="X19" i="2059"/>
  <c r="T33" i="2059" s="1"/>
  <c r="W19" i="2059"/>
  <c r="V19" i="2059"/>
  <c r="U19" i="2059"/>
  <c r="T19" i="2059"/>
  <c r="Z33" i="2059" s="1"/>
  <c r="S19" i="2059"/>
  <c r="R19" i="2059"/>
  <c r="Q19" i="2059"/>
  <c r="P19" i="2059"/>
  <c r="O19" i="2059"/>
  <c r="N19" i="2059"/>
  <c r="G33" i="2059" s="1"/>
  <c r="M19" i="2059"/>
  <c r="H33" i="2059" s="1"/>
  <c r="L19" i="2059"/>
  <c r="P33" i="2059" s="1"/>
  <c r="K19" i="2059"/>
  <c r="L33" i="2059" s="1"/>
  <c r="J19" i="2059"/>
  <c r="I19" i="2059"/>
  <c r="AB33" i="2059" s="1"/>
  <c r="H19" i="2059"/>
  <c r="G19" i="2059"/>
  <c r="F19" i="2059"/>
  <c r="E19" i="2059"/>
  <c r="D19" i="2059"/>
  <c r="AE16" i="2059"/>
  <c r="AD16" i="2059"/>
  <c r="AC16" i="2059"/>
  <c r="AB16" i="2059"/>
  <c r="AA16" i="2059"/>
  <c r="Z16" i="2059"/>
  <c r="X16" i="2059"/>
  <c r="W16" i="2059"/>
  <c r="V16" i="2059"/>
  <c r="U16" i="2059"/>
  <c r="T16" i="2059"/>
  <c r="S16" i="2059"/>
  <c r="R16" i="2059"/>
  <c r="Q16" i="2059"/>
  <c r="P16" i="2059"/>
  <c r="O16" i="2059"/>
  <c r="N16" i="2059"/>
  <c r="M16" i="2059"/>
  <c r="L16" i="2059"/>
  <c r="K16" i="2059"/>
  <c r="J16" i="2059"/>
  <c r="I16" i="2059"/>
  <c r="H16" i="2059"/>
  <c r="G16" i="2059"/>
  <c r="F16" i="2059"/>
  <c r="E16" i="2059"/>
  <c r="D16" i="2059"/>
  <c r="AE10" i="2059"/>
  <c r="AD10" i="2059"/>
  <c r="AC33" i="2059" s="1"/>
  <c r="AC10" i="2059"/>
  <c r="AB10" i="2059"/>
  <c r="AA10" i="2059"/>
  <c r="D33" i="2059" s="1"/>
  <c r="Z10" i="2059"/>
  <c r="Y10" i="2059"/>
  <c r="X10" i="2059"/>
  <c r="W10" i="2059"/>
  <c r="V10" i="2059"/>
  <c r="U10" i="2059"/>
  <c r="T10" i="2059"/>
  <c r="S10" i="2059"/>
  <c r="R10" i="2059"/>
  <c r="Q10" i="2059"/>
  <c r="Y33" i="2059" s="1"/>
  <c r="P10" i="2059"/>
  <c r="O10" i="2059"/>
  <c r="K33" i="2059" s="1"/>
  <c r="N10" i="2059"/>
  <c r="M10" i="2059"/>
  <c r="L10" i="2059"/>
  <c r="N33" i="2059" s="1"/>
  <c r="K10" i="2059"/>
  <c r="J10" i="2059"/>
  <c r="Q33" i="2059" s="1"/>
  <c r="I10" i="2059"/>
  <c r="E33" i="2059" s="1"/>
  <c r="H10" i="2059"/>
  <c r="G10" i="2059"/>
  <c r="M33" i="2059" s="1"/>
  <c r="F10" i="2059"/>
  <c r="J33" i="2059" s="1"/>
  <c r="E10" i="2059"/>
  <c r="D10" i="2059"/>
  <c r="AE7" i="2059"/>
  <c r="AD7" i="2059"/>
  <c r="AC7" i="2059"/>
  <c r="AB7" i="2059"/>
  <c r="AA7" i="2059"/>
  <c r="Z7" i="2059"/>
  <c r="Y7" i="2059"/>
  <c r="X7" i="2059"/>
  <c r="W7" i="2059"/>
  <c r="V7" i="2059"/>
  <c r="U7" i="2059"/>
  <c r="T7" i="2059"/>
  <c r="S7" i="2059"/>
  <c r="R7" i="2059"/>
  <c r="Q7" i="2059"/>
  <c r="P7" i="2059"/>
  <c r="O7" i="2059"/>
  <c r="N7" i="2059"/>
  <c r="M7" i="2059"/>
  <c r="L7" i="2059"/>
  <c r="K7" i="2059"/>
  <c r="J7" i="2059"/>
  <c r="I7" i="2059"/>
  <c r="H7" i="2059"/>
  <c r="G7" i="2059"/>
  <c r="F7" i="2059"/>
  <c r="E7" i="2059"/>
  <c r="D7" i="2059"/>
  <c r="V33" i="2059" l="1"/>
  <c r="AA33" i="2057"/>
  <c r="X33" i="2057"/>
  <c r="U33" i="2057"/>
  <c r="R33" i="2057"/>
  <c r="F33" i="2057"/>
  <c r="Y28" i="2057"/>
  <c r="X28" i="2057"/>
  <c r="S33" i="2057" s="1"/>
  <c r="W28" i="2057"/>
  <c r="V28" i="2057"/>
  <c r="U28" i="2057"/>
  <c r="T28" i="2057"/>
  <c r="S28" i="2057"/>
  <c r="R28" i="2057"/>
  <c r="Q28" i="2057"/>
  <c r="P28" i="2057"/>
  <c r="O28" i="2057"/>
  <c r="N28" i="2057"/>
  <c r="M28" i="2057"/>
  <c r="L28" i="2057"/>
  <c r="K28" i="2057"/>
  <c r="J28" i="2057"/>
  <c r="I28" i="2057"/>
  <c r="H28" i="2057"/>
  <c r="G28" i="2057"/>
  <c r="F28" i="2057"/>
  <c r="E28" i="2057"/>
  <c r="D28" i="2057"/>
  <c r="Y25" i="2057"/>
  <c r="X25" i="2057"/>
  <c r="W25" i="2057"/>
  <c r="V25" i="2057"/>
  <c r="U25" i="2057"/>
  <c r="T25" i="2057"/>
  <c r="S25" i="2057"/>
  <c r="R25" i="2057"/>
  <c r="Q25" i="2057"/>
  <c r="P25" i="2057"/>
  <c r="O25" i="2057"/>
  <c r="N25" i="2057"/>
  <c r="M25" i="2057"/>
  <c r="L25" i="2057"/>
  <c r="K25" i="2057"/>
  <c r="J25" i="2057"/>
  <c r="I25" i="2057"/>
  <c r="H25" i="2057"/>
  <c r="G25" i="2057"/>
  <c r="F25" i="2057"/>
  <c r="E25" i="2057"/>
  <c r="D25" i="2057"/>
  <c r="AE19" i="2057"/>
  <c r="AD19" i="2057"/>
  <c r="AC19" i="2057"/>
  <c r="AB19" i="2057"/>
  <c r="AA19" i="2057"/>
  <c r="Z19" i="2057"/>
  <c r="Y19" i="2057"/>
  <c r="X19" i="2057"/>
  <c r="T33" i="2057" s="1"/>
  <c r="W19" i="2057"/>
  <c r="V19" i="2057"/>
  <c r="U19" i="2057"/>
  <c r="T19" i="2057"/>
  <c r="S19" i="2057"/>
  <c r="R19" i="2057"/>
  <c r="Q19" i="2057"/>
  <c r="P19" i="2057"/>
  <c r="O19" i="2057"/>
  <c r="N19" i="2057"/>
  <c r="G33" i="2057" s="1"/>
  <c r="M19" i="2057"/>
  <c r="H33" i="2057" s="1"/>
  <c r="L19" i="2057"/>
  <c r="P33" i="2057" s="1"/>
  <c r="K19" i="2057"/>
  <c r="L33" i="2057" s="1"/>
  <c r="J19" i="2057"/>
  <c r="I19" i="2057"/>
  <c r="AB33" i="2057" s="1"/>
  <c r="H19" i="2057"/>
  <c r="G19" i="2057"/>
  <c r="O33" i="2057" s="1"/>
  <c r="F19" i="2057"/>
  <c r="E19" i="2057"/>
  <c r="D19" i="2057"/>
  <c r="AE16" i="2057"/>
  <c r="AD16" i="2057"/>
  <c r="AC16" i="2057"/>
  <c r="AB16" i="2057"/>
  <c r="AA16" i="2057"/>
  <c r="Z16" i="2057"/>
  <c r="X16" i="2057"/>
  <c r="W16" i="2057"/>
  <c r="V16" i="2057"/>
  <c r="U16" i="2057"/>
  <c r="T16" i="2057"/>
  <c r="S16" i="2057"/>
  <c r="R16" i="2057"/>
  <c r="Q16" i="2057"/>
  <c r="P16" i="2057"/>
  <c r="O16" i="2057"/>
  <c r="N16" i="2057"/>
  <c r="M16" i="2057"/>
  <c r="L16" i="2057"/>
  <c r="K16" i="2057"/>
  <c r="J16" i="2057"/>
  <c r="I16" i="2057"/>
  <c r="H16" i="2057"/>
  <c r="G16" i="2057"/>
  <c r="F16" i="2057"/>
  <c r="E16" i="2057"/>
  <c r="D16" i="2057"/>
  <c r="AE10" i="2057"/>
  <c r="AD10" i="2057"/>
  <c r="AC10" i="2057"/>
  <c r="AB10" i="2057"/>
  <c r="AA10" i="2057"/>
  <c r="Z10" i="2057"/>
  <c r="Y10" i="2057"/>
  <c r="X10" i="2057"/>
  <c r="W10" i="2057"/>
  <c r="V10" i="2057"/>
  <c r="U10" i="2057"/>
  <c r="T10" i="2057"/>
  <c r="S10" i="2057"/>
  <c r="R10" i="2057"/>
  <c r="Q10" i="2057"/>
  <c r="P10" i="2057"/>
  <c r="O10" i="2057"/>
  <c r="N10" i="2057"/>
  <c r="M10" i="2057"/>
  <c r="L10" i="2057"/>
  <c r="K10" i="2057"/>
  <c r="J10" i="2057"/>
  <c r="Q33" i="2057" s="1"/>
  <c r="I10" i="2057"/>
  <c r="H10" i="2057"/>
  <c r="G10" i="2057"/>
  <c r="F10" i="2057"/>
  <c r="E10" i="2057"/>
  <c r="D10" i="2057"/>
  <c r="AE7" i="2057"/>
  <c r="AD7" i="2057"/>
  <c r="AC7" i="2057"/>
  <c r="AB7" i="2057"/>
  <c r="AA7" i="2057"/>
  <c r="Z7" i="2057"/>
  <c r="Y7" i="2057"/>
  <c r="X7" i="2057"/>
  <c r="W7" i="2057"/>
  <c r="V7" i="2057"/>
  <c r="U7" i="2057"/>
  <c r="T7" i="2057"/>
  <c r="S7" i="2057"/>
  <c r="R7" i="2057"/>
  <c r="Q7" i="2057"/>
  <c r="P7" i="2057"/>
  <c r="O7" i="2057"/>
  <c r="N7" i="2057"/>
  <c r="M7" i="2057"/>
  <c r="L7" i="2057"/>
  <c r="K7" i="2057"/>
  <c r="J7" i="2057"/>
  <c r="I7" i="2057"/>
  <c r="H7" i="2057"/>
  <c r="G7" i="2057"/>
  <c r="F7" i="2057"/>
  <c r="E7" i="2057"/>
  <c r="D7" i="2057"/>
  <c r="Z33" i="2057" l="1"/>
  <c r="J33" i="2057"/>
  <c r="W33" i="2057"/>
  <c r="AC33" i="2057"/>
  <c r="D33" i="2057"/>
  <c r="Y33" i="2057"/>
  <c r="N33" i="2057"/>
  <c r="K33" i="2057"/>
  <c r="E33" i="2057"/>
  <c r="M33" i="2057"/>
  <c r="V33" i="2057"/>
  <c r="S35" i="13" l="1"/>
  <c r="S36" i="13" s="1"/>
  <c r="S37" i="13" s="1"/>
  <c r="S38" i="13" s="1"/>
  <c r="S39" i="13" s="1"/>
  <c r="S40" i="13" s="1"/>
  <c r="S41" i="13" s="1"/>
  <c r="S42" i="13" s="1"/>
  <c r="S43" i="13" s="1"/>
  <c r="S44" i="13" s="1"/>
  <c r="S45" i="13" s="1"/>
  <c r="S46" i="13" s="1"/>
  <c r="S47" i="13" s="1"/>
  <c r="S48" i="13" s="1"/>
  <c r="S49" i="13" s="1"/>
  <c r="S50" i="13" s="1"/>
  <c r="S51" i="13" s="1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<sst xmlns="http://schemas.openxmlformats.org/spreadsheetml/2006/main" count="32012" uniqueCount="653">
  <si>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</si>
  <si>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</si>
  <si>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</si>
  <si>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</si>
  <si>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</si>
  <si>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</si>
  <si>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</si>
  <si>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</si>
  <si>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</si>
  <si>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</si>
  <si>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</si>
  <si>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</si>
  <si>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</si>
  <si>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</si>
  <si>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</si>
  <si>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</si>
  <si>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</si>
  <si>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</si>
  <si>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</si>
  <si>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</si>
  <si>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</si>
  <si>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</si>
  <si>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</si>
  <si>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</si>
  <si>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</si>
  <si>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</si>
  <si>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</si>
  <si>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</si>
  <si>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</si>
  <si>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</si>
  <si>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</si>
  <si>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</si>
  <si>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</si>
  <si>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</si>
  <si>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</si>
  <si>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</si>
  <si>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</si>
  <si>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</si>
  <si>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</si>
  <si>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</si>
  <si>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</si>
  <si>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</si>
  <si>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</si>
  <si>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</si>
  <si>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</si>
  <si>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</si>
  <si>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</si>
  <si>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</si>
  <si>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</si>
  <si>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</si>
  <si>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</si>
  <si>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</si>
  <si>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</si>
  <si>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</si>
  <si>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</si>
  <si>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</si>
  <si>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</si>
  <si>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</si>
  <si>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</si>
  <si>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</si>
  <si>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</si>
  <si>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</si>
  <si>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</si>
  <si>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</si>
  <si>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</si>
  <si>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</si>
  <si>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</si>
  <si>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</si>
  <si>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</si>
  <si>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</si>
  <si>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</si>
  <si>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</si>
  <si>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</si>
  <si>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</si>
  <si>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</si>
  <si>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</si>
  <si>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</si>
  <si>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</si>
  <si>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</si>
  <si>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</si>
  <si>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</si>
  <si>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</si>
  <si>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</si>
  <si>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</si>
  <si>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</si>
  <si>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</si>
  <si>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</si>
  <si>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</si>
  <si>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</si>
  <si>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</si>
  <si>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</si>
  <si>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</si>
  <si>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</si>
  <si>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</si>
  <si>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</si>
  <si>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</si>
  <si>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</si>
  <si>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</si>
  <si>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</si>
  <si>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</si>
  <si>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</si>
  <si>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</si>
  <si>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</si>
  <si>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</si>
  <si>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</si>
  <si>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</si>
  <si>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</si>
  <si>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</si>
  <si>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</si>
  <si>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</si>
  <si>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</si>
  <si>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</si>
  <si>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</si>
  <si>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</si>
  <si>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</si>
  <si>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</si>
  <si>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</si>
  <si>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</si>
  <si>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</si>
  <si>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</si>
  <si>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</si>
  <si>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</si>
  <si>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</si>
  <si>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</si>
  <si>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</si>
  <si>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</si>
  <si>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</si>
  <si>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</si>
  <si>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</si>
  <si>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</si>
  <si>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</si>
  <si>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</si>
  <si>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</si>
  <si>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</si>
  <si>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</si>
  <si>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</si>
  <si>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</si>
  <si>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</si>
  <si>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</si>
  <si>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</si>
  <si>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</si>
  <si>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</si>
  <si>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</si>
  <si>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</si>
  <si>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</si>
  <si>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</si>
  <si>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</si>
  <si>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</si>
  <si>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</si>
  <si>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</si>
  <si>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</si>
  <si>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</si>
  <si>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</si>
  <si>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</si>
  <si>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</si>
  <si>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</si>
  <si>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</si>
  <si>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</si>
  <si>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</si>
  <si>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</si>
  <si>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</si>
  <si>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</si>
  <si>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</si>
  <si>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</si>
  <si>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</si>
  <si>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</si>
  <si>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</si>
  <si>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</si>
  <si>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</si>
  <si>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</si>
  <si>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</si>
  <si>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</si>
  <si>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</si>
  <si>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</si>
  <si>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</si>
  <si>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</si>
  <si>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</si>
  <si>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</si>
  <si>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</si>
  <si>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</si>
  <si>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</si>
  <si>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</si>
  <si>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</si>
  <si>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</si>
  <si>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</si>
  <si>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</si>
  <si>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</si>
  <si>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</si>
  <si>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</si>
  <si>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</si>
  <si>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</si>
  <si>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</si>
  <si>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</si>
  <si>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</si>
  <si>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</si>
  <si>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</si>
  <si>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</si>
  <si>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</si>
  <si>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</si>
  <si>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</si>
  <si>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</si>
  <si>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</si>
  <si>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</si>
  <si>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</si>
  <si>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</si>
  <si>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</si>
  <si>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</si>
  <si>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</si>
  <si>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</si>
  <si>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</si>
  <si>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</si>
  <si>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</si>
  <si>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</si>
  <si>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</si>
  <si>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</si>
  <si>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</si>
  <si>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</si>
  <si>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</si>
  <si>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</si>
  <si>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</si>
  <si>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</si>
  <si>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</si>
  <si>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</si>
  <si>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</si>
  <si>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</si>
  <si>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</si>
  <si>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</si>
  <si>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</si>
  <si>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</si>
  <si>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</si>
  <si>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</si>
  <si>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</si>
  <si>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</si>
  <si>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</si>
  <si>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</si>
  <si>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</si>
  <si>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</si>
  <si>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</si>
  <si>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</si>
  <si>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</si>
  <si>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</si>
  <si>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</si>
  <si>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</si>
  <si>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</si>
  <si>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</si>
  <si>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</si>
  <si>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</si>
  <si>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</si>
  <si>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</si>
  <si>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</si>
  <si>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</si>
  <si>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</si>
  <si>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</si>
  <si>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</si>
  <si>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</si>
  <si>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</si>
  <si>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</si>
  <si>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</si>
  <si>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</si>
  <si>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</si>
  <si>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</si>
  <si>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</si>
  <si>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</si>
  <si>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</si>
  <si>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</si>
  <si>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</si>
  <si>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</si>
  <si>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</si>
  <si>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</si>
  <si>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</si>
  <si>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</si>
  <si>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</si>
  <si>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</si>
  <si>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</si>
  <si>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</si>
  <si>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</si>
  <si>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</si>
  <si>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</si>
  <si>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</si>
  <si>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</si>
  <si>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</si>
  <si>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</si>
  <si>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</si>
  <si>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</si>
  <si>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</si>
  <si>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</si>
  <si>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</si>
  <si>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</si>
  <si>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</si>
  <si>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</si>
  <si>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</si>
  <si>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</si>
  <si>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</si>
  <si>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</si>
  <si>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</si>
  <si>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</si>
  <si>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</si>
  <si>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</si>
  <si>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</si>
  <si>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</si>
  <si>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</si>
  <si>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</si>
  <si>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</si>
  <si>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</si>
  <si>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</si>
  <si>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</si>
  <si>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</si>
  <si>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</si>
  <si>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</si>
  <si>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</si>
  <si>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</si>
  <si>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</si>
  <si>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</si>
  <si>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</si>
  <si>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</si>
  <si>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</si>
  <si>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</si>
  <si>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</si>
  <si>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</si>
  <si>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</si>
  <si>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</si>
  <si>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</si>
  <si>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</si>
  <si>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</si>
  <si>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</si>
  <si>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</si>
  <si>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</si>
  <si>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</si>
  <si>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</si>
  <si>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</si>
  <si>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</si>
  <si>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</si>
  <si>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</si>
  <si>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</si>
  <si>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</si>
  <si>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</si>
  <si>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</si>
  <si>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</si>
  <si>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</si>
  <si>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</si>
  <si>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</si>
  <si>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</si>
  <si>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</si>
  <si>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</si>
  <si>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</si>
  <si>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</si>
  <si>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</si>
  <si>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</si>
  <si>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</si>
  <si>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</si>
  <si>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</si>
  <si>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</si>
  <si>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</si>
  <si>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</si>
  <si>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</si>
  <si>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</si>
  <si>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</si>
  <si>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</si>
  <si>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</si>
  <si>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</si>
  <si>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</si>
  <si>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</si>
  <si>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</si>
  <si>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</si>
  <si>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</si>
  <si>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</si>
  <si>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</si>
  <si>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</si>
  <si>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</si>
  <si>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</si>
  <si>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</si>
  <si>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</si>
  <si>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</si>
  <si>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</si>
  <si>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</si>
  <si>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</si>
  <si>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</si>
  <si>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</si>
  <si>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</si>
  <si>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</si>
  <si>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</si>
  <si>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</si>
  <si>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</si>
  <si>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</si>
  <si>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</si>
  <si>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</si>
  <si>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</si>
  <si>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</si>
  <si>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</si>
  <si>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</si>
  <si>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</si>
  <si>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</si>
  <si>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</si>
  <si>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</si>
  <si>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</si>
  <si>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</si>
  <si>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</si>
  <si>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</si>
  <si>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</si>
  <si>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</si>
  <si>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</si>
  <si>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</si>
  <si>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</si>
  <si>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</si>
  <si>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</si>
  <si>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</si>
  <si>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</si>
  <si>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</si>
  <si>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</si>
  <si>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</si>
  <si>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</si>
  <si>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</si>
  <si>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</si>
  <si>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</si>
  <si>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</si>
  <si>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</si>
  <si>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</si>
  <si>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</si>
  <si>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</si>
  <si>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</si>
  <si>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</si>
  <si>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</si>
  <si>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</si>
  <si>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</si>
  <si>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</si>
  <si>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</si>
  <si>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</si>
  <si>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</si>
  <si>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</si>
  <si>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</si>
  <si>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</si>
  <si>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</si>
  <si>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</si>
  <si>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</si>
  <si>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</si>
  <si>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</si>
  <si>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</si>
  <si>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</si>
  <si>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</si>
  <si>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</si>
  <si>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</si>
  <si>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</si>
  <si>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</si>
  <si>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</si>
  <si>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</si>
  <si>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</si>
  <si>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</si>
  <si>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</si>
  <si>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</si>
  <si>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</si>
  <si>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</si>
  <si>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</si>
  <si>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</si>
  <si>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</si>
  <si>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</si>
  <si>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</si>
  <si>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</si>
  <si>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</si>
  <si>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</si>
  <si>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</si>
  <si>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</si>
  <si>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</si>
  <si>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</si>
  <si>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</si>
  <si>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</si>
  <si>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</si>
  <si>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</si>
  <si>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</si>
  <si>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</si>
  <si>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</si>
  <si>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</si>
  <si>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</si>
  <si>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</si>
  <si>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</si>
  <si>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</si>
  <si>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</si>
  <si>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</si>
  <si>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</si>
  <si>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</si>
  <si>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</si>
  <si>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</si>
  <si>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</si>
  <si>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</si>
  <si>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</si>
  <si>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</si>
  <si>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</si>
  <si>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</si>
  <si>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</si>
  <si>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</si>
  <si>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</si>
  <si>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</si>
  <si>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</si>
  <si>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</si>
  <si>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</si>
  <si>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</si>
  <si>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</si>
  <si>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</si>
  <si>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</si>
  <si>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</si>
  <si>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</si>
  <si>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</si>
  <si>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</si>
  <si>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</si>
  <si>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</si>
  <si>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</si>
  <si>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</si>
  <si>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</si>
  <si>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</si>
  <si>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</si>
  <si>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</si>
  <si>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</si>
  <si>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</si>
  <si>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</si>
  <si>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</si>
  <si>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</si>
  <si>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</si>
  <si>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</si>
  <si>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</si>
  <si>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</si>
  <si>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</si>
  <si>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</si>
  <si>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</si>
  <si>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</si>
  <si>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</si>
  <si>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</si>
  <si>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</si>
  <si>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</si>
  <si>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</si>
  <si>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</si>
  <si>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</si>
  <si>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</si>
  <si>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</si>
  <si>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</si>
  <si>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</si>
  <si>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</si>
  <si>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</si>
  <si>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</si>
  <si>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</si>
  <si>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</si>
  <si>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</si>
  <si>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</si>
  <si>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</si>
  <si>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</si>
  <si>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</si>
  <si>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</si>
  <si>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</si>
  <si>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</si>
  <si>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</si>
  <si>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</si>
  <si>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</si>
  <si>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</si>
  <si>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</si>
  <si>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</si>
  <si>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</si>
  <si>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</si>
  <si>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</si>
  <si>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</si>
  <si>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</si>
  <si>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</si>
  <si>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</si>
  <si>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</si>
  <si>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</si>
  <si>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</si>
  <si>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</si>
  <si>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</si>
  <si>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</si>
  <si>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</si>
  <si>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</si>
  <si>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</si>
  <si>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</si>
  <si>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</si>
  <si>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</si>
  <si>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</si>
  <si>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</si>
  <si>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</si>
  <si>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</si>
  <si>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</si>
  <si>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</si>
  <si>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</si>
  <si>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</si>
  <si>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</si>
  <si>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</si>
  <si>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</si>
  <si>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</si>
  <si>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</si>
  <si>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</si>
  <si>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</si>
  <si>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</si>
  <si>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</si>
  <si>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</si>
  <si>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</si>
  <si>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</si>
  <si>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</si>
  <si>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</si>
  <si>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</si>
  <si>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</si>
  <si>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</si>
  <si>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</si>
  <si>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</si>
  <si>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</si>
  <si>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</si>
  <si>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</si>
  <si>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</si>
  <si>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</si>
  <si>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</si>
  <si>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</si>
  <si>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</si>
  <si>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</si>
  <si>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</si>
  <si>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</si>
  <si>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</si>
  <si>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</si>
  <si>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</si>
  <si>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</si>
  <si>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</si>
  <si>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</si>
  <si>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</si>
  <si>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</si>
  <si>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</si>
  <si>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</si>
  <si>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</si>
  <si>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</si>
  <si>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</si>
  <si>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</si>
  <si>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</si>
  <si>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</si>
  <si>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</si>
  <si>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</si>
  <si>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</si>
  <si>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IPA-1</t>
  </si>
  <si>
    <t>IPA</t>
    <phoneticPr fontId="2" type="noConversion"/>
  </si>
  <si>
    <t>EBR-P1</t>
    <phoneticPr fontId="2" type="noConversion"/>
  </si>
  <si>
    <t>C50110-INV-01(01)</t>
    <phoneticPr fontId="3" type="noConversion"/>
  </si>
  <si>
    <t>IPA-1</t>
    <phoneticPr fontId="3" type="noConversion"/>
  </si>
  <si>
    <t>DPM-1</t>
    <phoneticPr fontId="3" type="noConversion"/>
  </si>
  <si>
    <t>CPNE3</t>
    <phoneticPr fontId="2" type="noConversion"/>
  </si>
  <si>
    <t>EBR-P4</t>
    <phoneticPr fontId="3" type="noConversion"/>
  </si>
  <si>
    <r>
      <t>EBR</t>
    </r>
    <r>
      <rPr>
        <sz val="7"/>
        <rFont val="微軟正黑體"/>
        <family val="2"/>
        <charset val="136"/>
      </rPr>
      <t>廢溶劑</t>
    </r>
    <phoneticPr fontId="3" type="noConversion"/>
  </si>
  <si>
    <t>洪源松</t>
    <phoneticPr fontId="2" type="noConversion"/>
  </si>
  <si>
    <t xml:space="preserve"> 液位</t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</si>
  <si>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18
蒸氣壓力 ______ (最低氣溫低於16度開啟)</t>
    <phoneticPr fontId="3" type="noConversion"/>
  </si>
  <si>
    <t>陳志修</t>
    <phoneticPr fontId="2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</si>
  <si>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 xml:space="preserve"> 13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</si>
  <si>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 xml:space="preserve"> 14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</si>
  <si>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t>待處理廢水</t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</si>
  <si>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16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</si>
  <si>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14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</si>
  <si>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15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</si>
  <si>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13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</si>
  <si>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</si>
  <si>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18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</si>
  <si>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17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</si>
  <si>
    <r>
  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</t>
    </r>
    <r>
      <rPr>
        <u/>
        <sz val="8"/>
        <rFont val="微軟正黑體"/>
        <family val="2"/>
        <charset val="136"/>
      </rPr>
      <t>19</t>
    </r>
    <r>
      <rPr>
        <sz val="8"/>
        <rFont val="微軟正黑體"/>
        <family val="2"/>
        <charset val="136"/>
      </rPr>
      <t xml:space="preserve">
蒸氣壓力 ______ (最低氣溫低於16度開啟)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</si>
</sst>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9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sz val="10"/>
      <color theme="7" tint="-0.499984740745262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22"/>
      <name val="微軟正黑體"/>
      <family val="2"/>
      <charset val="136"/>
    </font>
    <font>
      <u/>
      <sz val="8"/>
      <name val="微軟正黑體"/>
      <family val="2"/>
      <charset val="136"/>
    </font>
    <font>
      <sz val="7"/>
      <color rgb="FFFF0000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50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32" fillId="2" borderId="3" xfId="1" applyFont="1" applyFill="1" applyBorder="1" applyAlignment="1">
      <alignment horizontal="center" vertical="top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4" fillId="0" borderId="0" xfId="1" applyFont="1"/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top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  <xf numFmtId="0" fontId="20" fillId="2" borderId="3" xfId="1" applyFont="1" applyFill="1" applyBorder="1" applyAlignment="1">
      <alignment horizontal="center" vertical="center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0" fontId="37" fillId="2" borderId="3" xfId="1" applyFont="1" applyFill="1" applyBorder="1" applyAlignment="1">
      <alignment horizontal="center" vertical="top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29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15</xdr:row>
          <xdr:rowOff>200025</xdr:rowOff>
        </xdr:from>
        <xdr:to>
          <xdr:col>15</xdr:col>
          <xdr:colOff>276225</xdr:colOff>
          <xdr:row>22</xdr:row>
          <xdr:rowOff>428625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25</xdr:row>
          <xdr:rowOff>57150</xdr:rowOff>
        </xdr:from>
        <xdr:to>
          <xdr:col>15</xdr:col>
          <xdr:colOff>323850</xdr:colOff>
          <xdr:row>31</xdr:row>
          <xdr:rowOff>257175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16673" name="Button 1" hidden="1">
              <a:extLst>
                <a:ext uri="{63B3BB69-23CF-44E3-9099-C40C66FF867C}">
                  <a14:compatExt spid="_x0000_s2716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19745" name="Button 1" hidden="1">
              <a:extLst>
                <a:ext uri="{63B3BB69-23CF-44E3-9099-C40C66FF867C}">
                  <a14:compatExt spid="_x0000_s2719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20769" name="Button 1" hidden="1">
              <a:extLst>
                <a:ext uri="{63B3BB69-23CF-44E3-9099-C40C66FF867C}">
                  <a14:compatExt spid="_x0000_s2720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22817" name="Button 1" hidden="1">
              <a:extLst>
                <a:ext uri="{63B3BB69-23CF-44E3-9099-C40C66FF867C}">
                  <a14:compatExt spid="_x0000_s2722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24865" name="Button 1" hidden="1">
              <a:extLst>
                <a:ext uri="{63B3BB69-23CF-44E3-9099-C40C66FF867C}">
                  <a14:compatExt spid="_x0000_s2724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25889" name="Button 1" hidden="1">
              <a:extLst>
                <a:ext uri="{63B3BB69-23CF-44E3-9099-C40C66FF867C}">
                  <a14:compatExt spid="_x0000_s2725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27937" name="Button 1" hidden="1">
              <a:extLst>
                <a:ext uri="{63B3BB69-23CF-44E3-9099-C40C66FF867C}">
                  <a14:compatExt spid="_x0000_s2727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28961" name="Button 1" hidden="1">
              <a:extLst>
                <a:ext uri="{63B3BB69-23CF-44E3-9099-C40C66FF867C}">
                  <a14:compatExt spid="_x0000_s2728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29985" name="Button 1" hidden="1">
              <a:extLst>
                <a:ext uri="{63B3BB69-23CF-44E3-9099-C40C66FF867C}">
                  <a14:compatExt spid="_x0000_s2729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31009" name="Button 1" hidden="1">
              <a:extLst>
                <a:ext uri="{63B3BB69-23CF-44E3-9099-C40C66FF867C}">
                  <a14:compatExt spid="_x0000_s2731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32033" name="Button 1" hidden="1">
              <a:extLst>
                <a:ext uri="{63B3BB69-23CF-44E3-9099-C40C66FF867C}">
                  <a14:compatExt spid="_x0000_s2732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34081" name="Button 1" hidden="1">
              <a:extLst>
                <a:ext uri="{63B3BB69-23CF-44E3-9099-C40C66FF867C}">
                  <a14:compatExt spid="_x0000_s2734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36129" name="Button 1" hidden="1">
              <a:extLst>
                <a:ext uri="{63B3BB69-23CF-44E3-9099-C40C66FF867C}">
                  <a14:compatExt spid="_x0000_s2736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37153" name="Button 1" hidden="1">
              <a:extLst>
                <a:ext uri="{63B3BB69-23CF-44E3-9099-C40C66FF867C}">
                  <a14:compatExt spid="_x0000_s2737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38177" name="Button 1" hidden="1">
              <a:extLst>
                <a:ext uri="{63B3BB69-23CF-44E3-9099-C40C66FF867C}">
                  <a14:compatExt spid="_x0000_s2738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39201" name="Button 1" hidden="1">
              <a:extLst>
                <a:ext uri="{63B3BB69-23CF-44E3-9099-C40C66FF867C}">
                  <a14:compatExt spid="_x0000_s2739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40225" name="Button 1" hidden="1">
              <a:extLst>
                <a:ext uri="{63B3BB69-23CF-44E3-9099-C40C66FF867C}">
                  <a14:compatExt spid="_x0000_s2740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42273" name="Button 1" hidden="1">
              <a:extLst>
                <a:ext uri="{63B3BB69-23CF-44E3-9099-C40C66FF867C}">
                  <a14:compatExt spid="_x0000_s2742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43297" name="Button 1" hidden="1">
              <a:extLst>
                <a:ext uri="{63B3BB69-23CF-44E3-9099-C40C66FF867C}">
                  <a14:compatExt spid="_x0000_s274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44321" name="Button 1" hidden="1">
              <a:extLst>
                <a:ext uri="{63B3BB69-23CF-44E3-9099-C40C66FF867C}">
                  <a14:compatExt spid="_x0000_s2744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45345" name="Button 1" hidden="1">
              <a:extLst>
                <a:ext uri="{63B3BB69-23CF-44E3-9099-C40C66FF867C}">
                  <a14:compatExt spid="_x0000_s274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46369" name="Button 1" hidden="1">
              <a:extLst>
                <a:ext uri="{63B3BB69-23CF-44E3-9099-C40C66FF867C}">
                  <a14:compatExt spid="_x0000_s274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409575</xdr:colOff>
          <xdr:row>3</xdr:row>
          <xdr:rowOff>28575</xdr:rowOff>
        </xdr:to>
        <xdr:sp macro="" textlink="">
          <xdr:nvSpPr>
            <xdr:cNvPr id="2747393" name="Button 1" hidden="1">
              <a:extLst>
                <a:ext uri="{63B3BB69-23CF-44E3-9099-C40C66FF867C}">
                  <a14:compatExt spid="_x0000_s2747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table1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2883" dataDxfId="2882" headerRowCellStyle="一般 2" dataCellStyle="一般 2">
  <autoFilter ref="AG13:BH189"/>
  <tableColumns count="28">
    <tableColumn id="1" uniqueName="1" name="請直接以10進位，謝謝" queryTableFieldId="1" dataDxfId="2881" dataCellStyle="一般 2"/>
    <tableColumn id="2" uniqueName="2" name="F2" queryTableFieldId="2" dataDxfId="2880" dataCellStyle="一般 2"/>
    <tableColumn id="3" uniqueName="3" name="F3" queryTableFieldId="3" dataDxfId="2879" dataCellStyle="一般 2"/>
    <tableColumn id="4" uniqueName="4" name="F4" queryTableFieldId="4" dataDxfId="2878" dataCellStyle="一般 2"/>
    <tableColumn id="5" uniqueName="5" name="F5" queryTableFieldId="5" dataDxfId="2877" dataCellStyle="一般 2"/>
    <tableColumn id="6" uniqueName="6" name="F6" queryTableFieldId="6" dataDxfId="2876" dataCellStyle="一般 2"/>
    <tableColumn id="7" uniqueName="7" name="F7" queryTableFieldId="7" dataDxfId="2875" dataCellStyle="一般 2"/>
    <tableColumn id="8" uniqueName="8" name="F8" queryTableFieldId="8" dataDxfId="2874" dataCellStyle="一般 2"/>
    <tableColumn id="9" uniqueName="9" name="F9" queryTableFieldId="9" dataDxfId="2873" dataCellStyle="一般 2"/>
    <tableColumn id="10" uniqueName="10" name="F10" queryTableFieldId="10" dataDxfId="2872" dataCellStyle="一般 2"/>
    <tableColumn id="11" uniqueName="11" name="F11" queryTableFieldId="11" dataDxfId="2871" dataCellStyle="一般 2"/>
    <tableColumn id="12" uniqueName="12" name="F12" queryTableFieldId="12" dataDxfId="2870" dataCellStyle="一般 2"/>
    <tableColumn id="13" uniqueName="13" name="F13" queryTableFieldId="13" dataDxfId="2869" dataCellStyle="一般 2"/>
    <tableColumn id="14" uniqueName="14" name="F14" queryTableFieldId="14" dataDxfId="2868" dataCellStyle="一般 2"/>
    <tableColumn id="15" uniqueName="15" name="F15" queryTableFieldId="15" dataDxfId="2867" dataCellStyle="一般 2"/>
    <tableColumn id="16" uniqueName="16" name="F16" queryTableFieldId="16" dataDxfId="2866" dataCellStyle="一般 2"/>
    <tableColumn id="17" uniqueName="17" name="F17" queryTableFieldId="17" dataDxfId="2865" dataCellStyle="一般 2"/>
    <tableColumn id="18" uniqueName="18" name="F18" queryTableFieldId="18" dataDxfId="2864" dataCellStyle="一般 2"/>
    <tableColumn id="19" uniqueName="19" name="F19" queryTableFieldId="19" dataDxfId="2863" dataCellStyle="一般 2"/>
    <tableColumn id="20" uniqueName="20" name="F20" queryTableFieldId="20" dataDxfId="2862" dataCellStyle="一般 2"/>
    <tableColumn id="21" uniqueName="21" name="F21" queryTableFieldId="21" dataDxfId="2861" dataCellStyle="一般 2"/>
    <tableColumn id="22" uniqueName="22" name="2024/6/24 14:52" queryTableFieldId="22" dataDxfId="2860" dataCellStyle="一般 2"/>
    <tableColumn id="23" uniqueName="23" name="F23" queryTableFieldId="23" dataDxfId="2859" dataCellStyle="一般 2"/>
    <tableColumn id="24" uniqueName="24" name="F24" queryTableFieldId="24" dataDxfId="2858" dataCellStyle="一般 2"/>
    <tableColumn id="25" uniqueName="25" name="F25" queryTableFieldId="25" dataDxfId="2857" dataCellStyle="一般 2"/>
    <tableColumn id="26" uniqueName="26" name="F26" queryTableFieldId="26" dataDxfId="2856" dataCellStyle="一般 2"/>
    <tableColumn id="27" uniqueName="27" name="F27" queryTableFieldId="27" dataDxfId="2855" dataCellStyle="一般 2"/>
    <tableColumn id="28" uniqueName="28" name="F28" queryTableFieldId="28" dataDxfId="2854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754" dataDxfId="2753" headerRowCellStyle="一般 2" dataCellStyle="一般 2">
  <autoFilter ref="AG13:BH189"/>
  <tableColumns count="28">
    <tableColumn id="1" uniqueName="1" name="請直接以10進位，謝謝" queryTableFieldId="1" dataDxfId="2752" dataCellStyle="一般 2"/>
    <tableColumn id="2" uniqueName="2" name="F2" queryTableFieldId="2" dataDxfId="2751" dataCellStyle="一般 2"/>
    <tableColumn id="3" uniqueName="3" name="F3" queryTableFieldId="3" dataDxfId="2750" dataCellStyle="一般 2"/>
    <tableColumn id="4" uniqueName="4" name="F4" queryTableFieldId="4" dataDxfId="2749" dataCellStyle="一般 2"/>
    <tableColumn id="5" uniqueName="5" name="F5" queryTableFieldId="5" dataDxfId="2748" dataCellStyle="一般 2"/>
    <tableColumn id="6" uniqueName="6" name="F6" queryTableFieldId="6" dataDxfId="2747" dataCellStyle="一般 2"/>
    <tableColumn id="7" uniqueName="7" name="F7" queryTableFieldId="7" dataDxfId="2746" dataCellStyle="一般 2"/>
    <tableColumn id="8" uniqueName="8" name="F8" queryTableFieldId="8" dataDxfId="2745" dataCellStyle="一般 2"/>
    <tableColumn id="9" uniqueName="9" name="F9" queryTableFieldId="9" dataDxfId="2744" dataCellStyle="一般 2"/>
    <tableColumn id="10" uniqueName="10" name="F10" queryTableFieldId="10" dataDxfId="2743" dataCellStyle="一般 2"/>
    <tableColumn id="11" uniqueName="11" name="F11" queryTableFieldId="11" dataDxfId="2742" dataCellStyle="一般 2"/>
    <tableColumn id="12" uniqueName="12" name="F12" queryTableFieldId="12" dataDxfId="2741" dataCellStyle="一般 2"/>
    <tableColumn id="13" uniqueName="13" name="F13" queryTableFieldId="13" dataDxfId="2740" dataCellStyle="一般 2"/>
    <tableColumn id="14" uniqueName="14" name="F14" queryTableFieldId="14" dataDxfId="2739" dataCellStyle="一般 2"/>
    <tableColumn id="15" uniqueName="15" name="F15" queryTableFieldId="15" dataDxfId="2738" dataCellStyle="一般 2"/>
    <tableColumn id="16" uniqueName="16" name="F16" queryTableFieldId="16" dataDxfId="2737" dataCellStyle="一般 2"/>
    <tableColumn id="17" uniqueName="17" name="F17" queryTableFieldId="17" dataDxfId="2736" dataCellStyle="一般 2"/>
    <tableColumn id="18" uniqueName="18" name="F18" queryTableFieldId="18" dataDxfId="2735" dataCellStyle="一般 2"/>
    <tableColumn id="19" uniqueName="19" name="F19" queryTableFieldId="19" dataDxfId="2734" dataCellStyle="一般 2"/>
    <tableColumn id="20" uniqueName="20" name="F20" queryTableFieldId="20" dataDxfId="2733" dataCellStyle="一般 2"/>
    <tableColumn id="21" uniqueName="21" name="F21" queryTableFieldId="21" dataDxfId="2732" dataCellStyle="一般 2"/>
    <tableColumn id="22" uniqueName="22" name="2024/6/24 14:52" queryTableFieldId="22" dataDxfId="2731" dataCellStyle="一般 2"/>
    <tableColumn id="23" uniqueName="23" name="F23" queryTableFieldId="23" dataDxfId="2730" dataCellStyle="一般 2"/>
    <tableColumn id="24" uniqueName="24" name="F24" queryTableFieldId="24" dataDxfId="2729" dataCellStyle="一般 2"/>
    <tableColumn id="25" uniqueName="25" name="F25" queryTableFieldId="25" dataDxfId="2728" dataCellStyle="一般 2"/>
    <tableColumn id="26" uniqueName="26" name="F26" queryTableFieldId="26" dataDxfId="2727" dataCellStyle="一般 2"/>
    <tableColumn id="27" uniqueName="27" name="F27" queryTableFieldId="27" dataDxfId="2726" dataCellStyle="一般 2"/>
    <tableColumn id="28" uniqueName="28" name="F28" queryTableFieldId="28" dataDxfId="2725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" ref="AG13:BH189" tableType="queryTable" totalsRowShown="0" headerRowDxfId="2625" dataDxfId="2624" headerRowCellStyle="一般 2" dataCellStyle="一般 2">
  <autoFilter ref="AG13:BH189"/>
  <tableColumns count="28">
    <tableColumn id="1" uniqueName="1" name="請直接以10進位，謝謝" queryTableFieldId="1" dataDxfId="2623" dataCellStyle="一般 2"/>
    <tableColumn id="2" uniqueName="2" name="F2" queryTableFieldId="2" dataDxfId="2622" dataCellStyle="一般 2"/>
    <tableColumn id="3" uniqueName="3" name="F3" queryTableFieldId="3" dataDxfId="2621" dataCellStyle="一般 2"/>
    <tableColumn id="4" uniqueName="4" name="F4" queryTableFieldId="4" dataDxfId="2620" dataCellStyle="一般 2"/>
    <tableColumn id="5" uniqueName="5" name="F5" queryTableFieldId="5" dataDxfId="2619" dataCellStyle="一般 2"/>
    <tableColumn id="6" uniqueName="6" name="F6" queryTableFieldId="6" dataDxfId="2618" dataCellStyle="一般 2"/>
    <tableColumn id="7" uniqueName="7" name="F7" queryTableFieldId="7" dataDxfId="2617" dataCellStyle="一般 2"/>
    <tableColumn id="8" uniqueName="8" name="F8" queryTableFieldId="8" dataDxfId="2616" dataCellStyle="一般 2"/>
    <tableColumn id="9" uniqueName="9" name="F9" queryTableFieldId="9" dataDxfId="2615" dataCellStyle="一般 2"/>
    <tableColumn id="10" uniqueName="10" name="F10" queryTableFieldId="10" dataDxfId="2614" dataCellStyle="一般 2"/>
    <tableColumn id="11" uniqueName="11" name="F11" queryTableFieldId="11" dataDxfId="2613" dataCellStyle="一般 2"/>
    <tableColumn id="12" uniqueName="12" name="F12" queryTableFieldId="12" dataDxfId="2612" dataCellStyle="一般 2"/>
    <tableColumn id="13" uniqueName="13" name="F13" queryTableFieldId="13" dataDxfId="2611" dataCellStyle="一般 2"/>
    <tableColumn id="14" uniqueName="14" name="F14" queryTableFieldId="14" dataDxfId="2610" dataCellStyle="一般 2"/>
    <tableColumn id="15" uniqueName="15" name="F15" queryTableFieldId="15" dataDxfId="2609" dataCellStyle="一般 2"/>
    <tableColumn id="16" uniqueName="16" name="F16" queryTableFieldId="16" dataDxfId="2608" dataCellStyle="一般 2"/>
    <tableColumn id="17" uniqueName="17" name="F17" queryTableFieldId="17" dataDxfId="2607" dataCellStyle="一般 2"/>
    <tableColumn id="18" uniqueName="18" name="F18" queryTableFieldId="18" dataDxfId="2606" dataCellStyle="一般 2"/>
    <tableColumn id="19" uniqueName="19" name="F19" queryTableFieldId="19" dataDxfId="2605" dataCellStyle="一般 2"/>
    <tableColumn id="20" uniqueName="20" name="F20" queryTableFieldId="20" dataDxfId="2604" dataCellStyle="一般 2"/>
    <tableColumn id="21" uniqueName="21" name="F21" queryTableFieldId="21" dataDxfId="2603" dataCellStyle="一般 2"/>
    <tableColumn id="22" uniqueName="22" name="2024/6/24 14:52" queryTableFieldId="22" dataDxfId="2602" dataCellStyle="一般 2"/>
    <tableColumn id="23" uniqueName="23" name="F23" queryTableFieldId="23" dataDxfId="2601" dataCellStyle="一般 2"/>
    <tableColumn id="24" uniqueName="24" name="F24" queryTableFieldId="24" dataDxfId="2600" dataCellStyle="一般 2"/>
    <tableColumn id="25" uniqueName="25" name="F25" queryTableFieldId="25" dataDxfId="2599" dataCellStyle="一般 2"/>
    <tableColumn id="26" uniqueName="26" name="F26" queryTableFieldId="26" dataDxfId="2598" dataCellStyle="一般 2"/>
    <tableColumn id="27" uniqueName="27" name="F27" queryTableFieldId="27" dataDxfId="2597" dataCellStyle="一般 2"/>
    <tableColumn id="28" uniqueName="28" name="F28" queryTableFieldId="28" dataDxfId="2596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" ref="AG13:BH189" tableType="queryTable" totalsRowShown="0" headerRowDxfId="2496" dataDxfId="2495" headerRowCellStyle="一般 2" dataCellStyle="一般 2">
  <autoFilter ref="AG13:BH189"/>
  <tableColumns count="28">
    <tableColumn id="1" uniqueName="1" name="請直接以10進位，謝謝" queryTableFieldId="1" dataDxfId="2494" dataCellStyle="一般 2"/>
    <tableColumn id="2" uniqueName="2" name="F2" queryTableFieldId="2" dataDxfId="2493" dataCellStyle="一般 2"/>
    <tableColumn id="3" uniqueName="3" name="F3" queryTableFieldId="3" dataDxfId="2492" dataCellStyle="一般 2"/>
    <tableColumn id="4" uniqueName="4" name="F4" queryTableFieldId="4" dataDxfId="2491" dataCellStyle="一般 2"/>
    <tableColumn id="5" uniqueName="5" name="F5" queryTableFieldId="5" dataDxfId="2490" dataCellStyle="一般 2"/>
    <tableColumn id="6" uniqueName="6" name="F6" queryTableFieldId="6" dataDxfId="2489" dataCellStyle="一般 2"/>
    <tableColumn id="7" uniqueName="7" name="F7" queryTableFieldId="7" dataDxfId="2488" dataCellStyle="一般 2"/>
    <tableColumn id="8" uniqueName="8" name="F8" queryTableFieldId="8" dataDxfId="2487" dataCellStyle="一般 2"/>
    <tableColumn id="9" uniqueName="9" name="F9" queryTableFieldId="9" dataDxfId="2486" dataCellStyle="一般 2"/>
    <tableColumn id="10" uniqueName="10" name="F10" queryTableFieldId="10" dataDxfId="2485" dataCellStyle="一般 2"/>
    <tableColumn id="11" uniqueName="11" name="F11" queryTableFieldId="11" dataDxfId="2484" dataCellStyle="一般 2"/>
    <tableColumn id="12" uniqueName="12" name="F12" queryTableFieldId="12" dataDxfId="2483" dataCellStyle="一般 2"/>
    <tableColumn id="13" uniqueName="13" name="F13" queryTableFieldId="13" dataDxfId="2482" dataCellStyle="一般 2"/>
    <tableColumn id="14" uniqueName="14" name="F14" queryTableFieldId="14" dataDxfId="2481" dataCellStyle="一般 2"/>
    <tableColumn id="15" uniqueName="15" name="F15" queryTableFieldId="15" dataDxfId="2480" dataCellStyle="一般 2"/>
    <tableColumn id="16" uniqueName="16" name="F16" queryTableFieldId="16" dataDxfId="2479" dataCellStyle="一般 2"/>
    <tableColumn id="17" uniqueName="17" name="F17" queryTableFieldId="17" dataDxfId="2478" dataCellStyle="一般 2"/>
    <tableColumn id="18" uniqueName="18" name="F18" queryTableFieldId="18" dataDxfId="2477" dataCellStyle="一般 2"/>
    <tableColumn id="19" uniqueName="19" name="F19" queryTableFieldId="19" dataDxfId="2476" dataCellStyle="一般 2"/>
    <tableColumn id="20" uniqueName="20" name="F20" queryTableFieldId="20" dataDxfId="2475" dataCellStyle="一般 2"/>
    <tableColumn id="21" uniqueName="21" name="F21" queryTableFieldId="21" dataDxfId="2474" dataCellStyle="一般 2"/>
    <tableColumn id="22" uniqueName="22" name="2024/6/24 14:52" queryTableFieldId="22" dataDxfId="2473" dataCellStyle="一般 2"/>
    <tableColumn id="23" uniqueName="23" name="F23" queryTableFieldId="23" dataDxfId="2472" dataCellStyle="一般 2"/>
    <tableColumn id="24" uniqueName="24" name="F24" queryTableFieldId="24" dataDxfId="2471" dataCellStyle="一般 2"/>
    <tableColumn id="25" uniqueName="25" name="F25" queryTableFieldId="25" dataDxfId="2470" dataCellStyle="一般 2"/>
    <tableColumn id="26" uniqueName="26" name="F26" queryTableFieldId="26" dataDxfId="2469" dataCellStyle="一般 2"/>
    <tableColumn id="27" uniqueName="27" name="F27" queryTableFieldId="27" dataDxfId="2468" dataCellStyle="一般 2"/>
    <tableColumn id="28" uniqueName="28" name="F28" queryTableFieldId="28" dataDxfId="2467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" ref="AG13:BH189" tableType="queryTable" totalsRowShown="0" headerRowDxfId="2367" dataDxfId="2366" headerRowCellStyle="一般 2" dataCellStyle="一般 2">
  <autoFilter ref="AG13:BH189"/>
  <tableColumns count="28">
    <tableColumn id="1" uniqueName="1" name="請直接以10進位，謝謝" queryTableFieldId="1" dataDxfId="2365" dataCellStyle="一般 2"/>
    <tableColumn id="2" uniqueName="2" name="F2" queryTableFieldId="2" dataDxfId="2364" dataCellStyle="一般 2"/>
    <tableColumn id="3" uniqueName="3" name="F3" queryTableFieldId="3" dataDxfId="2363" dataCellStyle="一般 2"/>
    <tableColumn id="4" uniqueName="4" name="F4" queryTableFieldId="4" dataDxfId="2362" dataCellStyle="一般 2"/>
    <tableColumn id="5" uniqueName="5" name="F5" queryTableFieldId="5" dataDxfId="2361" dataCellStyle="一般 2"/>
    <tableColumn id="6" uniqueName="6" name="F6" queryTableFieldId="6" dataDxfId="2360" dataCellStyle="一般 2"/>
    <tableColumn id="7" uniqueName="7" name="F7" queryTableFieldId="7" dataDxfId="2359" dataCellStyle="一般 2"/>
    <tableColumn id="8" uniqueName="8" name="F8" queryTableFieldId="8" dataDxfId="2358" dataCellStyle="一般 2"/>
    <tableColumn id="9" uniqueName="9" name="F9" queryTableFieldId="9" dataDxfId="2357" dataCellStyle="一般 2"/>
    <tableColumn id="10" uniqueName="10" name="F10" queryTableFieldId="10" dataDxfId="2356" dataCellStyle="一般 2"/>
    <tableColumn id="11" uniqueName="11" name="F11" queryTableFieldId="11" dataDxfId="2355" dataCellStyle="一般 2"/>
    <tableColumn id="12" uniqueName="12" name="F12" queryTableFieldId="12" dataDxfId="2354" dataCellStyle="一般 2"/>
    <tableColumn id="13" uniqueName="13" name="F13" queryTableFieldId="13" dataDxfId="2353" dataCellStyle="一般 2"/>
    <tableColumn id="14" uniqueName="14" name="F14" queryTableFieldId="14" dataDxfId="2352" dataCellStyle="一般 2"/>
    <tableColumn id="15" uniqueName="15" name="F15" queryTableFieldId="15" dataDxfId="2351" dataCellStyle="一般 2"/>
    <tableColumn id="16" uniqueName="16" name="F16" queryTableFieldId="16" dataDxfId="2350" dataCellStyle="一般 2"/>
    <tableColumn id="17" uniqueName="17" name="F17" queryTableFieldId="17" dataDxfId="2349" dataCellStyle="一般 2"/>
    <tableColumn id="18" uniqueName="18" name="F18" queryTableFieldId="18" dataDxfId="2348" dataCellStyle="一般 2"/>
    <tableColumn id="19" uniqueName="19" name="F19" queryTableFieldId="19" dataDxfId="2347" dataCellStyle="一般 2"/>
    <tableColumn id="20" uniqueName="20" name="F20" queryTableFieldId="20" dataDxfId="2346" dataCellStyle="一般 2"/>
    <tableColumn id="21" uniqueName="21" name="F21" queryTableFieldId="21" dataDxfId="2345" dataCellStyle="一般 2"/>
    <tableColumn id="22" uniqueName="22" name="2024/6/24 14:52" queryTableFieldId="22" dataDxfId="2344" dataCellStyle="一般 2"/>
    <tableColumn id="23" uniqueName="23" name="F23" queryTableFieldId="23" dataDxfId="2343" dataCellStyle="一般 2"/>
    <tableColumn id="24" uniqueName="24" name="F24" queryTableFieldId="24" dataDxfId="2342" dataCellStyle="一般 2"/>
    <tableColumn id="25" uniqueName="25" name="F25" queryTableFieldId="25" dataDxfId="2341" dataCellStyle="一般 2"/>
    <tableColumn id="26" uniqueName="26" name="F26" queryTableFieldId="26" dataDxfId="2340" dataCellStyle="一般 2"/>
    <tableColumn id="27" uniqueName="27" name="F27" queryTableFieldId="27" dataDxfId="2339" dataCellStyle="一般 2"/>
    <tableColumn id="28" uniqueName="28" name="F28" queryTableFieldId="28" dataDxfId="2338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" ref="AG13:BH189" tableType="queryTable" totalsRowShown="0" headerRowDxfId="2238" dataDxfId="2237" headerRowCellStyle="一般 2" dataCellStyle="一般 2">
  <autoFilter ref="AG13:BH189"/>
  <tableColumns count="28">
    <tableColumn id="1" uniqueName="1" name="請直接以10進位，謝謝" queryTableFieldId="1" dataDxfId="2236" dataCellStyle="一般 2"/>
    <tableColumn id="2" uniqueName="2" name="F2" queryTableFieldId="2" dataDxfId="2235" dataCellStyle="一般 2"/>
    <tableColumn id="3" uniqueName="3" name="F3" queryTableFieldId="3" dataDxfId="2234" dataCellStyle="一般 2"/>
    <tableColumn id="4" uniqueName="4" name="F4" queryTableFieldId="4" dataDxfId="2233" dataCellStyle="一般 2"/>
    <tableColumn id="5" uniqueName="5" name="F5" queryTableFieldId="5" dataDxfId="2232" dataCellStyle="一般 2"/>
    <tableColumn id="6" uniqueName="6" name="F6" queryTableFieldId="6" dataDxfId="2231" dataCellStyle="一般 2"/>
    <tableColumn id="7" uniqueName="7" name="F7" queryTableFieldId="7" dataDxfId="2230" dataCellStyle="一般 2"/>
    <tableColumn id="8" uniqueName="8" name="F8" queryTableFieldId="8" dataDxfId="2229" dataCellStyle="一般 2"/>
    <tableColumn id="9" uniqueName="9" name="F9" queryTableFieldId="9" dataDxfId="2228" dataCellStyle="一般 2"/>
    <tableColumn id="10" uniqueName="10" name="F10" queryTableFieldId="10" dataDxfId="2227" dataCellStyle="一般 2"/>
    <tableColumn id="11" uniqueName="11" name="F11" queryTableFieldId="11" dataDxfId="2226" dataCellStyle="一般 2"/>
    <tableColumn id="12" uniqueName="12" name="F12" queryTableFieldId="12" dataDxfId="2225" dataCellStyle="一般 2"/>
    <tableColumn id="13" uniqueName="13" name="F13" queryTableFieldId="13" dataDxfId="2224" dataCellStyle="一般 2"/>
    <tableColumn id="14" uniqueName="14" name="F14" queryTableFieldId="14" dataDxfId="2223" dataCellStyle="一般 2"/>
    <tableColumn id="15" uniqueName="15" name="F15" queryTableFieldId="15" dataDxfId="2222" dataCellStyle="一般 2"/>
    <tableColumn id="16" uniqueName="16" name="F16" queryTableFieldId="16" dataDxfId="2221" dataCellStyle="一般 2"/>
    <tableColumn id="17" uniqueName="17" name="F17" queryTableFieldId="17" dataDxfId="2220" dataCellStyle="一般 2"/>
    <tableColumn id="18" uniqueName="18" name="F18" queryTableFieldId="18" dataDxfId="2219" dataCellStyle="一般 2"/>
    <tableColumn id="19" uniqueName="19" name="F19" queryTableFieldId="19" dataDxfId="2218" dataCellStyle="一般 2"/>
    <tableColumn id="20" uniqueName="20" name="F20" queryTableFieldId="20" dataDxfId="2217" dataCellStyle="一般 2"/>
    <tableColumn id="21" uniqueName="21" name="F21" queryTableFieldId="21" dataDxfId="2216" dataCellStyle="一般 2"/>
    <tableColumn id="22" uniqueName="22" name="2024/6/24 14:52" queryTableFieldId="22" dataDxfId="2215" dataCellStyle="一般 2"/>
    <tableColumn id="23" uniqueName="23" name="F23" queryTableFieldId="23" dataDxfId="2214" dataCellStyle="一般 2"/>
    <tableColumn id="24" uniqueName="24" name="F24" queryTableFieldId="24" dataDxfId="2213" dataCellStyle="一般 2"/>
    <tableColumn id="25" uniqueName="25" name="F25" queryTableFieldId="25" dataDxfId="2212" dataCellStyle="一般 2"/>
    <tableColumn id="26" uniqueName="26" name="F26" queryTableFieldId="26" dataDxfId="2211" dataCellStyle="一般 2"/>
    <tableColumn id="27" uniqueName="27" name="F27" queryTableFieldId="27" dataDxfId="2210" dataCellStyle="一般 2"/>
    <tableColumn id="28" uniqueName="28" name="F28" queryTableFieldId="28" dataDxfId="2209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" ref="AG13:BH189" tableType="queryTable" totalsRowShown="0" headerRowDxfId="2109" dataDxfId="2108" headerRowCellStyle="一般 2" dataCellStyle="一般 2">
  <autoFilter ref="AG13:BH189"/>
  <tableColumns count="28">
    <tableColumn id="1" uniqueName="1" name="請直接以10進位，謝謝" queryTableFieldId="1" dataDxfId="2107" dataCellStyle="一般 2"/>
    <tableColumn id="2" uniqueName="2" name="F2" queryTableFieldId="2" dataDxfId="2106" dataCellStyle="一般 2"/>
    <tableColumn id="3" uniqueName="3" name="F3" queryTableFieldId="3" dataDxfId="2105" dataCellStyle="一般 2"/>
    <tableColumn id="4" uniqueName="4" name="F4" queryTableFieldId="4" dataDxfId="2104" dataCellStyle="一般 2"/>
    <tableColumn id="5" uniqueName="5" name="F5" queryTableFieldId="5" dataDxfId="2103" dataCellStyle="一般 2"/>
    <tableColumn id="6" uniqueName="6" name="F6" queryTableFieldId="6" dataDxfId="2102" dataCellStyle="一般 2"/>
    <tableColumn id="7" uniqueName="7" name="F7" queryTableFieldId="7" dataDxfId="2101" dataCellStyle="一般 2"/>
    <tableColumn id="8" uniqueName="8" name="F8" queryTableFieldId="8" dataDxfId="2100" dataCellStyle="一般 2"/>
    <tableColumn id="9" uniqueName="9" name="F9" queryTableFieldId="9" dataDxfId="2099" dataCellStyle="一般 2"/>
    <tableColumn id="10" uniqueName="10" name="F10" queryTableFieldId="10" dataDxfId="2098" dataCellStyle="一般 2"/>
    <tableColumn id="11" uniqueName="11" name="F11" queryTableFieldId="11" dataDxfId="2097" dataCellStyle="一般 2"/>
    <tableColumn id="12" uniqueName="12" name="F12" queryTableFieldId="12" dataDxfId="2096" dataCellStyle="一般 2"/>
    <tableColumn id="13" uniqueName="13" name="F13" queryTableFieldId="13" dataDxfId="2095" dataCellStyle="一般 2"/>
    <tableColumn id="14" uniqueName="14" name="F14" queryTableFieldId="14" dataDxfId="2094" dataCellStyle="一般 2"/>
    <tableColumn id="15" uniqueName="15" name="F15" queryTableFieldId="15" dataDxfId="2093" dataCellStyle="一般 2"/>
    <tableColumn id="16" uniqueName="16" name="F16" queryTableFieldId="16" dataDxfId="2092" dataCellStyle="一般 2"/>
    <tableColumn id="17" uniqueName="17" name="F17" queryTableFieldId="17" dataDxfId="2091" dataCellStyle="一般 2"/>
    <tableColumn id="18" uniqueName="18" name="F18" queryTableFieldId="18" dataDxfId="2090" dataCellStyle="一般 2"/>
    <tableColumn id="19" uniqueName="19" name="F19" queryTableFieldId="19" dataDxfId="2089" dataCellStyle="一般 2"/>
    <tableColumn id="20" uniqueName="20" name="F20" queryTableFieldId="20" dataDxfId="2088" dataCellStyle="一般 2"/>
    <tableColumn id="21" uniqueName="21" name="F21" queryTableFieldId="21" dataDxfId="2087" dataCellStyle="一般 2"/>
    <tableColumn id="22" uniqueName="22" name="2024/6/24 14:52" queryTableFieldId="22" dataDxfId="2086" dataCellStyle="一般 2"/>
    <tableColumn id="23" uniqueName="23" name="F23" queryTableFieldId="23" dataDxfId="2085" dataCellStyle="一般 2"/>
    <tableColumn id="24" uniqueName="24" name="F24" queryTableFieldId="24" dataDxfId="2084" dataCellStyle="一般 2"/>
    <tableColumn id="25" uniqueName="25" name="F25" queryTableFieldId="25" dataDxfId="2083" dataCellStyle="一般 2"/>
    <tableColumn id="26" uniqueName="26" name="F26" queryTableFieldId="26" dataDxfId="2082" dataCellStyle="一般 2"/>
    <tableColumn id="27" uniqueName="27" name="F27" queryTableFieldId="27" dataDxfId="2081" dataCellStyle="一般 2"/>
    <tableColumn id="28" uniqueName="28" name="F28" queryTableFieldId="28" dataDxfId="2080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" ref="AG13:BH189" tableType="queryTable" totalsRowShown="0" headerRowDxfId="1979" dataDxfId="1978" headerRowCellStyle="一般 2" dataCellStyle="一般 2">
  <autoFilter ref="AG13:BH189"/>
  <tableColumns count="28">
    <tableColumn id="1" uniqueName="1" name="請直接以10進位，謝謝" queryTableFieldId="1" dataDxfId="1977" dataCellStyle="一般 2"/>
    <tableColumn id="2" uniqueName="2" name="F2" queryTableFieldId="2" dataDxfId="1976" dataCellStyle="一般 2"/>
    <tableColumn id="3" uniqueName="3" name="F3" queryTableFieldId="3" dataDxfId="1975" dataCellStyle="一般 2"/>
    <tableColumn id="4" uniqueName="4" name="F4" queryTableFieldId="4" dataDxfId="1974" dataCellStyle="一般 2"/>
    <tableColumn id="5" uniqueName="5" name="F5" queryTableFieldId="5" dataDxfId="1973" dataCellStyle="一般 2"/>
    <tableColumn id="6" uniqueName="6" name="F6" queryTableFieldId="6" dataDxfId="1972" dataCellStyle="一般 2"/>
    <tableColumn id="7" uniqueName="7" name="F7" queryTableFieldId="7" dataDxfId="1971" dataCellStyle="一般 2"/>
    <tableColumn id="8" uniqueName="8" name="F8" queryTableFieldId="8" dataDxfId="1970" dataCellStyle="一般 2"/>
    <tableColumn id="9" uniqueName="9" name="F9" queryTableFieldId="9" dataDxfId="1969" dataCellStyle="一般 2"/>
    <tableColumn id="10" uniqueName="10" name="F10" queryTableFieldId="10" dataDxfId="1968" dataCellStyle="一般 2"/>
    <tableColumn id="11" uniqueName="11" name="F11" queryTableFieldId="11" dataDxfId="1967" dataCellStyle="一般 2"/>
    <tableColumn id="12" uniqueName="12" name="F12" queryTableFieldId="12" dataDxfId="1966" dataCellStyle="一般 2"/>
    <tableColumn id="13" uniqueName="13" name="F13" queryTableFieldId="13" dataDxfId="1965" dataCellStyle="一般 2"/>
    <tableColumn id="14" uniqueName="14" name="F14" queryTableFieldId="14" dataDxfId="1964" dataCellStyle="一般 2"/>
    <tableColumn id="15" uniqueName="15" name="F15" queryTableFieldId="15" dataDxfId="1963" dataCellStyle="一般 2"/>
    <tableColumn id="16" uniqueName="16" name="F16" queryTableFieldId="16" dataDxfId="1962" dataCellStyle="一般 2"/>
    <tableColumn id="17" uniqueName="17" name="F17" queryTableFieldId="17" dataDxfId="1961" dataCellStyle="一般 2"/>
    <tableColumn id="18" uniqueName="18" name="F18" queryTableFieldId="18" dataDxfId="1960" dataCellStyle="一般 2"/>
    <tableColumn id="19" uniqueName="19" name="F19" queryTableFieldId="19" dataDxfId="1959" dataCellStyle="一般 2"/>
    <tableColumn id="20" uniqueName="20" name="F20" queryTableFieldId="20" dataDxfId="1958" dataCellStyle="一般 2"/>
    <tableColumn id="21" uniqueName="21" name="F21" queryTableFieldId="21" dataDxfId="1957" dataCellStyle="一般 2"/>
    <tableColumn id="22" uniqueName="22" name="2024/6/24 14:52" queryTableFieldId="22" dataDxfId="1956" dataCellStyle="一般 2"/>
    <tableColumn id="23" uniqueName="23" name="F23" queryTableFieldId="23" dataDxfId="1955" dataCellStyle="一般 2"/>
    <tableColumn id="24" uniqueName="24" name="F24" queryTableFieldId="24" dataDxfId="1954" dataCellStyle="一般 2"/>
    <tableColumn id="25" uniqueName="25" name="F25" queryTableFieldId="25" dataDxfId="1953" dataCellStyle="一般 2"/>
    <tableColumn id="26" uniqueName="26" name="F26" queryTableFieldId="26" dataDxfId="1952" dataCellStyle="一般 2"/>
    <tableColumn id="27" uniqueName="27" name="F27" queryTableFieldId="27" dataDxfId="1951" dataCellStyle="一般 2"/>
    <tableColumn id="28" uniqueName="28" name="F28" queryTableFieldId="28" dataDxfId="1950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849" dataDxfId="1848" headerRowCellStyle="一般 2" dataCellStyle="一般 2">
  <autoFilter ref="AG13:BH189"/>
  <tableColumns count="28">
    <tableColumn id="1" uniqueName="1" name="請直接以10進位，謝謝" queryTableFieldId="1" dataDxfId="1847" dataCellStyle="一般 2"/>
    <tableColumn id="2" uniqueName="2" name="F2" queryTableFieldId="2" dataDxfId="1846" dataCellStyle="一般 2"/>
    <tableColumn id="3" uniqueName="3" name="F3" queryTableFieldId="3" dataDxfId="1845" dataCellStyle="一般 2"/>
    <tableColumn id="4" uniqueName="4" name="F4" queryTableFieldId="4" dataDxfId="1844" dataCellStyle="一般 2"/>
    <tableColumn id="5" uniqueName="5" name="F5" queryTableFieldId="5" dataDxfId="1843" dataCellStyle="一般 2"/>
    <tableColumn id="6" uniqueName="6" name="F6" queryTableFieldId="6" dataDxfId="1842" dataCellStyle="一般 2"/>
    <tableColumn id="7" uniqueName="7" name="F7" queryTableFieldId="7" dataDxfId="1841" dataCellStyle="一般 2"/>
    <tableColumn id="8" uniqueName="8" name="F8" queryTableFieldId="8" dataDxfId="1840" dataCellStyle="一般 2"/>
    <tableColumn id="9" uniqueName="9" name="F9" queryTableFieldId="9" dataDxfId="1839" dataCellStyle="一般 2"/>
    <tableColumn id="10" uniqueName="10" name="F10" queryTableFieldId="10" dataDxfId="1838" dataCellStyle="一般 2"/>
    <tableColumn id="11" uniqueName="11" name="F11" queryTableFieldId="11" dataDxfId="1837" dataCellStyle="一般 2"/>
    <tableColumn id="12" uniqueName="12" name="F12" queryTableFieldId="12" dataDxfId="1836" dataCellStyle="一般 2"/>
    <tableColumn id="13" uniqueName="13" name="F13" queryTableFieldId="13" dataDxfId="1835" dataCellStyle="一般 2"/>
    <tableColumn id="14" uniqueName="14" name="F14" queryTableFieldId="14" dataDxfId="1834" dataCellStyle="一般 2"/>
    <tableColumn id="15" uniqueName="15" name="F15" queryTableFieldId="15" dataDxfId="1833" dataCellStyle="一般 2"/>
    <tableColumn id="16" uniqueName="16" name="F16" queryTableFieldId="16" dataDxfId="1832" dataCellStyle="一般 2"/>
    <tableColumn id="17" uniqueName="17" name="F17" queryTableFieldId="17" dataDxfId="1831" dataCellStyle="一般 2"/>
    <tableColumn id="18" uniqueName="18" name="F18" queryTableFieldId="18" dataDxfId="1830" dataCellStyle="一般 2"/>
    <tableColumn id="19" uniqueName="19" name="F19" queryTableFieldId="19" dataDxfId="1829" dataCellStyle="一般 2"/>
    <tableColumn id="20" uniqueName="20" name="F20" queryTableFieldId="20" dataDxfId="1828" dataCellStyle="一般 2"/>
    <tableColumn id="21" uniqueName="21" name="F21" queryTableFieldId="21" dataDxfId="1827" dataCellStyle="一般 2"/>
    <tableColumn id="22" uniqueName="22" name="2024/6/24 14:52" queryTableFieldId="22" dataDxfId="1826" dataCellStyle="一般 2"/>
    <tableColumn id="23" uniqueName="23" name="F23" queryTableFieldId="23" dataDxfId="1825" dataCellStyle="一般 2"/>
    <tableColumn id="24" uniqueName="24" name="F24" queryTableFieldId="24" dataDxfId="1824" dataCellStyle="一般 2"/>
    <tableColumn id="25" uniqueName="25" name="F25" queryTableFieldId="25" dataDxfId="1823" dataCellStyle="一般 2"/>
    <tableColumn id="26" uniqueName="26" name="F26" queryTableFieldId="26" dataDxfId="1822" dataCellStyle="一般 2"/>
    <tableColumn id="27" uniqueName="27" name="F27" queryTableFieldId="27" dataDxfId="1821" dataCellStyle="一般 2"/>
    <tableColumn id="28" uniqueName="28" name="F28" queryTableFieldId="28" dataDxfId="1820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719" dataDxfId="1718" headerRowCellStyle="一般 2" dataCellStyle="一般 2">
  <autoFilter ref="AG13:BH189"/>
  <tableColumns count="28">
    <tableColumn id="1" uniqueName="1" name="請直接以10進位，謝謝" queryTableFieldId="1" dataDxfId="1717" dataCellStyle="一般 2"/>
    <tableColumn id="2" uniqueName="2" name="F2" queryTableFieldId="2" dataDxfId="1716" dataCellStyle="一般 2"/>
    <tableColumn id="3" uniqueName="3" name="F3" queryTableFieldId="3" dataDxfId="1715" dataCellStyle="一般 2"/>
    <tableColumn id="4" uniqueName="4" name="F4" queryTableFieldId="4" dataDxfId="1714" dataCellStyle="一般 2"/>
    <tableColumn id="5" uniqueName="5" name="F5" queryTableFieldId="5" dataDxfId="1713" dataCellStyle="一般 2"/>
    <tableColumn id="6" uniqueName="6" name="F6" queryTableFieldId="6" dataDxfId="1712" dataCellStyle="一般 2"/>
    <tableColumn id="7" uniqueName="7" name="F7" queryTableFieldId="7" dataDxfId="1711" dataCellStyle="一般 2"/>
    <tableColumn id="8" uniqueName="8" name="F8" queryTableFieldId="8" dataDxfId="1710" dataCellStyle="一般 2"/>
    <tableColumn id="9" uniqueName="9" name="F9" queryTableFieldId="9" dataDxfId="1709" dataCellStyle="一般 2"/>
    <tableColumn id="10" uniqueName="10" name="F10" queryTableFieldId="10" dataDxfId="1708" dataCellStyle="一般 2"/>
    <tableColumn id="11" uniqueName="11" name="F11" queryTableFieldId="11" dataDxfId="1707" dataCellStyle="一般 2"/>
    <tableColumn id="12" uniqueName="12" name="F12" queryTableFieldId="12" dataDxfId="1706" dataCellStyle="一般 2"/>
    <tableColumn id="13" uniqueName="13" name="F13" queryTableFieldId="13" dataDxfId="1705" dataCellStyle="一般 2"/>
    <tableColumn id="14" uniqueName="14" name="F14" queryTableFieldId="14" dataDxfId="1704" dataCellStyle="一般 2"/>
    <tableColumn id="15" uniqueName="15" name="F15" queryTableFieldId="15" dataDxfId="1703" dataCellStyle="一般 2"/>
    <tableColumn id="16" uniqueName="16" name="F16" queryTableFieldId="16" dataDxfId="1702" dataCellStyle="一般 2"/>
    <tableColumn id="17" uniqueName="17" name="F17" queryTableFieldId="17" dataDxfId="1701" dataCellStyle="一般 2"/>
    <tableColumn id="18" uniqueName="18" name="F18" queryTableFieldId="18" dataDxfId="1700" dataCellStyle="一般 2"/>
    <tableColumn id="19" uniqueName="19" name="F19" queryTableFieldId="19" dataDxfId="1699" dataCellStyle="一般 2"/>
    <tableColumn id="20" uniqueName="20" name="F20" queryTableFieldId="20" dataDxfId="1698" dataCellStyle="一般 2"/>
    <tableColumn id="21" uniqueName="21" name="F21" queryTableFieldId="21" dataDxfId="1697" dataCellStyle="一般 2"/>
    <tableColumn id="22" uniqueName="22" name="2024/6/24 14:52" queryTableFieldId="22" dataDxfId="1696" dataCellStyle="一般 2"/>
    <tableColumn id="23" uniqueName="23" name="F23" queryTableFieldId="23" dataDxfId="1695" dataCellStyle="一般 2"/>
    <tableColumn id="24" uniqueName="24" name="F24" queryTableFieldId="24" dataDxfId="1694" dataCellStyle="一般 2"/>
    <tableColumn id="25" uniqueName="25" name="F25" queryTableFieldId="25" dataDxfId="1693" dataCellStyle="一般 2"/>
    <tableColumn id="26" uniqueName="26" name="F26" queryTableFieldId="26" dataDxfId="1692" dataCellStyle="一般 2"/>
    <tableColumn id="27" uniqueName="27" name="F27" queryTableFieldId="27" dataDxfId="1691" dataCellStyle="一般 2"/>
    <tableColumn id="28" uniqueName="28" name="F28" queryTableFieldId="28" dataDxfId="1690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589" dataDxfId="1588" headerRowCellStyle="一般 2" dataCellStyle="一般 2">
  <autoFilter ref="AG13:BH189"/>
  <tableColumns count="28">
    <tableColumn id="1" uniqueName="1" name="請直接以10進位，謝謝" queryTableFieldId="1" dataDxfId="1587" dataCellStyle="一般 2"/>
    <tableColumn id="2" uniqueName="2" name="F2" queryTableFieldId="2" dataDxfId="1586" dataCellStyle="一般 2"/>
    <tableColumn id="3" uniqueName="3" name="F3" queryTableFieldId="3" dataDxfId="1585" dataCellStyle="一般 2"/>
    <tableColumn id="4" uniqueName="4" name="F4" queryTableFieldId="4" dataDxfId="1584" dataCellStyle="一般 2"/>
    <tableColumn id="5" uniqueName="5" name="F5" queryTableFieldId="5" dataDxfId="1583" dataCellStyle="一般 2"/>
    <tableColumn id="6" uniqueName="6" name="F6" queryTableFieldId="6" dataDxfId="1582" dataCellStyle="一般 2"/>
    <tableColumn id="7" uniqueName="7" name="F7" queryTableFieldId="7" dataDxfId="1581" dataCellStyle="一般 2"/>
    <tableColumn id="8" uniqueName="8" name="F8" queryTableFieldId="8" dataDxfId="1580" dataCellStyle="一般 2"/>
    <tableColumn id="9" uniqueName="9" name="F9" queryTableFieldId="9" dataDxfId="1579" dataCellStyle="一般 2"/>
    <tableColumn id="10" uniqueName="10" name="F10" queryTableFieldId="10" dataDxfId="1578" dataCellStyle="一般 2"/>
    <tableColumn id="11" uniqueName="11" name="F11" queryTableFieldId="11" dataDxfId="1577" dataCellStyle="一般 2"/>
    <tableColumn id="12" uniqueName="12" name="F12" queryTableFieldId="12" dataDxfId="1576" dataCellStyle="一般 2"/>
    <tableColumn id="13" uniqueName="13" name="F13" queryTableFieldId="13" dataDxfId="1575" dataCellStyle="一般 2"/>
    <tableColumn id="14" uniqueName="14" name="F14" queryTableFieldId="14" dataDxfId="1574" dataCellStyle="一般 2"/>
    <tableColumn id="15" uniqueName="15" name="F15" queryTableFieldId="15" dataDxfId="1573" dataCellStyle="一般 2"/>
    <tableColumn id="16" uniqueName="16" name="F16" queryTableFieldId="16" dataDxfId="1572" dataCellStyle="一般 2"/>
    <tableColumn id="17" uniqueName="17" name="F17" queryTableFieldId="17" dataDxfId="1571" dataCellStyle="一般 2"/>
    <tableColumn id="18" uniqueName="18" name="F18" queryTableFieldId="18" dataDxfId="1570" dataCellStyle="一般 2"/>
    <tableColumn id="19" uniqueName="19" name="F19" queryTableFieldId="19" dataDxfId="1569" dataCellStyle="一般 2"/>
    <tableColumn id="20" uniqueName="20" name="F20" queryTableFieldId="20" dataDxfId="1568" dataCellStyle="一般 2"/>
    <tableColumn id="21" uniqueName="21" name="F21" queryTableFieldId="21" dataDxfId="1567" dataCellStyle="一般 2"/>
    <tableColumn id="22" uniqueName="22" name="2024/6/24 14:52" queryTableFieldId="22" dataDxfId="1566" dataCellStyle="一般 2"/>
    <tableColumn id="23" uniqueName="23" name="F23" queryTableFieldId="23" dataDxfId="1565" dataCellStyle="一般 2"/>
    <tableColumn id="24" uniqueName="24" name="F24" queryTableFieldId="24" dataDxfId="1564" dataCellStyle="一般 2"/>
    <tableColumn id="25" uniqueName="25" name="F25" queryTableFieldId="25" dataDxfId="1563" dataCellStyle="一般 2"/>
    <tableColumn id="26" uniqueName="26" name="F26" queryTableFieldId="26" dataDxfId="1562" dataCellStyle="一般 2"/>
    <tableColumn id="27" uniqueName="27" name="F27" queryTableFieldId="27" dataDxfId="1561" dataCellStyle="一般 2"/>
    <tableColumn id="28" uniqueName="28" name="F28" queryTableFieldId="28" dataDxfId="1560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459" dataDxfId="1458" headerRowCellStyle="一般 2" dataCellStyle="一般 2">
  <autoFilter ref="AG13:BH189"/>
  <tableColumns count="28">
    <tableColumn id="1" uniqueName="1" name="請直接以10進位，謝謝" queryTableFieldId="1" dataDxfId="1457" dataCellStyle="一般 2"/>
    <tableColumn id="2" uniqueName="2" name="F2" queryTableFieldId="2" dataDxfId="1456" dataCellStyle="一般 2"/>
    <tableColumn id="3" uniqueName="3" name="F3" queryTableFieldId="3" dataDxfId="1455" dataCellStyle="一般 2"/>
    <tableColumn id="4" uniqueName="4" name="F4" queryTableFieldId="4" dataDxfId="1454" dataCellStyle="一般 2"/>
    <tableColumn id="5" uniqueName="5" name="F5" queryTableFieldId="5" dataDxfId="1453" dataCellStyle="一般 2"/>
    <tableColumn id="6" uniqueName="6" name="F6" queryTableFieldId="6" dataDxfId="1452" dataCellStyle="一般 2"/>
    <tableColumn id="7" uniqueName="7" name="F7" queryTableFieldId="7" dataDxfId="1451" dataCellStyle="一般 2"/>
    <tableColumn id="8" uniqueName="8" name="F8" queryTableFieldId="8" dataDxfId="1450" dataCellStyle="一般 2"/>
    <tableColumn id="9" uniqueName="9" name="F9" queryTableFieldId="9" dataDxfId="1449" dataCellStyle="一般 2"/>
    <tableColumn id="10" uniqueName="10" name="F10" queryTableFieldId="10" dataDxfId="1448" dataCellStyle="一般 2"/>
    <tableColumn id="11" uniqueName="11" name="F11" queryTableFieldId="11" dataDxfId="1447" dataCellStyle="一般 2"/>
    <tableColumn id="12" uniqueName="12" name="F12" queryTableFieldId="12" dataDxfId="1446" dataCellStyle="一般 2"/>
    <tableColumn id="13" uniqueName="13" name="F13" queryTableFieldId="13" dataDxfId="1445" dataCellStyle="一般 2"/>
    <tableColumn id="14" uniqueName="14" name="F14" queryTableFieldId="14" dataDxfId="1444" dataCellStyle="一般 2"/>
    <tableColumn id="15" uniqueName="15" name="F15" queryTableFieldId="15" dataDxfId="1443" dataCellStyle="一般 2"/>
    <tableColumn id="16" uniqueName="16" name="F16" queryTableFieldId="16" dataDxfId="1442" dataCellStyle="一般 2"/>
    <tableColumn id="17" uniqueName="17" name="F17" queryTableFieldId="17" dataDxfId="1441" dataCellStyle="一般 2"/>
    <tableColumn id="18" uniqueName="18" name="F18" queryTableFieldId="18" dataDxfId="1440" dataCellStyle="一般 2"/>
    <tableColumn id="19" uniqueName="19" name="F19" queryTableFieldId="19" dataDxfId="1439" dataCellStyle="一般 2"/>
    <tableColumn id="20" uniqueName="20" name="F20" queryTableFieldId="20" dataDxfId="1438" dataCellStyle="一般 2"/>
    <tableColumn id="21" uniqueName="21" name="F21" queryTableFieldId="21" dataDxfId="1437" dataCellStyle="一般 2"/>
    <tableColumn id="22" uniqueName="22" name="2024/6/24 14:52" queryTableFieldId="22" dataDxfId="1436" dataCellStyle="一般 2"/>
    <tableColumn id="23" uniqueName="23" name="F23" queryTableFieldId="23" dataDxfId="1435" dataCellStyle="一般 2"/>
    <tableColumn id="24" uniqueName="24" name="F24" queryTableFieldId="24" dataDxfId="1434" dataCellStyle="一般 2"/>
    <tableColumn id="25" uniqueName="25" name="F25" queryTableFieldId="25" dataDxfId="1433" dataCellStyle="一般 2"/>
    <tableColumn id="26" uniqueName="26" name="F26" queryTableFieldId="26" dataDxfId="1432" dataCellStyle="一般 2"/>
    <tableColumn id="27" uniqueName="27" name="F27" queryTableFieldId="27" dataDxfId="1431" dataCellStyle="一般 2"/>
    <tableColumn id="28" uniqueName="28" name="F28" queryTableFieldId="28" dataDxfId="1430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329" dataDxfId="1328" headerRowCellStyle="一般 2" dataCellStyle="一般 2">
  <autoFilter ref="AG13:BH189"/>
  <tableColumns count="28">
    <tableColumn id="1" uniqueName="1" name="請直接以10進位，謝謝" queryTableFieldId="1" dataDxfId="1327" dataCellStyle="一般 2"/>
    <tableColumn id="2" uniqueName="2" name="F2" queryTableFieldId="2" dataDxfId="1326" dataCellStyle="一般 2"/>
    <tableColumn id="3" uniqueName="3" name="F3" queryTableFieldId="3" dataDxfId="1325" dataCellStyle="一般 2"/>
    <tableColumn id="4" uniqueName="4" name="F4" queryTableFieldId="4" dataDxfId="1324" dataCellStyle="一般 2"/>
    <tableColumn id="5" uniqueName="5" name="F5" queryTableFieldId="5" dataDxfId="1323" dataCellStyle="一般 2"/>
    <tableColumn id="6" uniqueName="6" name="F6" queryTableFieldId="6" dataDxfId="1322" dataCellStyle="一般 2"/>
    <tableColumn id="7" uniqueName="7" name="F7" queryTableFieldId="7" dataDxfId="1321" dataCellStyle="一般 2"/>
    <tableColumn id="8" uniqueName="8" name="F8" queryTableFieldId="8" dataDxfId="1320" dataCellStyle="一般 2"/>
    <tableColumn id="9" uniqueName="9" name="F9" queryTableFieldId="9" dataDxfId="1319" dataCellStyle="一般 2"/>
    <tableColumn id="10" uniqueName="10" name="F10" queryTableFieldId="10" dataDxfId="1318" dataCellStyle="一般 2"/>
    <tableColumn id="11" uniqueName="11" name="F11" queryTableFieldId="11" dataDxfId="1317" dataCellStyle="一般 2"/>
    <tableColumn id="12" uniqueName="12" name="F12" queryTableFieldId="12" dataDxfId="1316" dataCellStyle="一般 2"/>
    <tableColumn id="13" uniqueName="13" name="F13" queryTableFieldId="13" dataDxfId="1315" dataCellStyle="一般 2"/>
    <tableColumn id="14" uniqueName="14" name="F14" queryTableFieldId="14" dataDxfId="1314" dataCellStyle="一般 2"/>
    <tableColumn id="15" uniqueName="15" name="F15" queryTableFieldId="15" dataDxfId="1313" dataCellStyle="一般 2"/>
    <tableColumn id="16" uniqueName="16" name="F16" queryTableFieldId="16" dataDxfId="1312" dataCellStyle="一般 2"/>
    <tableColumn id="17" uniqueName="17" name="F17" queryTableFieldId="17" dataDxfId="1311" dataCellStyle="一般 2"/>
    <tableColumn id="18" uniqueName="18" name="F18" queryTableFieldId="18" dataDxfId="1310" dataCellStyle="一般 2"/>
    <tableColumn id="19" uniqueName="19" name="F19" queryTableFieldId="19" dataDxfId="1309" dataCellStyle="一般 2"/>
    <tableColumn id="20" uniqueName="20" name="F20" queryTableFieldId="20" dataDxfId="1308" dataCellStyle="一般 2"/>
    <tableColumn id="21" uniqueName="21" name="F21" queryTableFieldId="21" dataDxfId="1307" dataCellStyle="一般 2"/>
    <tableColumn id="22" uniqueName="22" name="2024/6/24 14:52" queryTableFieldId="22" dataDxfId="1306" dataCellStyle="一般 2"/>
    <tableColumn id="23" uniqueName="23" name="F23" queryTableFieldId="23" dataDxfId="1305" dataCellStyle="一般 2"/>
    <tableColumn id="24" uniqueName="24" name="F24" queryTableFieldId="24" dataDxfId="1304" dataCellStyle="一般 2"/>
    <tableColumn id="25" uniqueName="25" name="F25" queryTableFieldId="25" dataDxfId="1303" dataCellStyle="一般 2"/>
    <tableColumn id="26" uniqueName="26" name="F26" queryTableFieldId="26" dataDxfId="1302" dataCellStyle="一般 2"/>
    <tableColumn id="27" uniqueName="27" name="F27" queryTableFieldId="27" dataDxfId="1301" dataCellStyle="一般 2"/>
    <tableColumn id="28" uniqueName="28" name="F28" queryTableFieldId="28" dataDxfId="1300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199" dataDxfId="1198" headerRowCellStyle="一般 2" dataCellStyle="一般 2">
  <autoFilter ref="AG13:BH189"/>
  <tableColumns count="28">
    <tableColumn id="1" uniqueName="1" name="請直接以10進位，謝謝" queryTableFieldId="1" dataDxfId="1197" dataCellStyle="一般 2"/>
    <tableColumn id="2" uniqueName="2" name="F2" queryTableFieldId="2" dataDxfId="1196" dataCellStyle="一般 2"/>
    <tableColumn id="3" uniqueName="3" name="F3" queryTableFieldId="3" dataDxfId="1195" dataCellStyle="一般 2"/>
    <tableColumn id="4" uniqueName="4" name="F4" queryTableFieldId="4" dataDxfId="1194" dataCellStyle="一般 2"/>
    <tableColumn id="5" uniqueName="5" name="F5" queryTableFieldId="5" dataDxfId="1193" dataCellStyle="一般 2"/>
    <tableColumn id="6" uniqueName="6" name="F6" queryTableFieldId="6" dataDxfId="1192" dataCellStyle="一般 2"/>
    <tableColumn id="7" uniqueName="7" name="F7" queryTableFieldId="7" dataDxfId="1191" dataCellStyle="一般 2"/>
    <tableColumn id="8" uniqueName="8" name="F8" queryTableFieldId="8" dataDxfId="1190" dataCellStyle="一般 2"/>
    <tableColumn id="9" uniqueName="9" name="F9" queryTableFieldId="9" dataDxfId="1189" dataCellStyle="一般 2"/>
    <tableColumn id="10" uniqueName="10" name="F10" queryTableFieldId="10" dataDxfId="1188" dataCellStyle="一般 2"/>
    <tableColumn id="11" uniqueName="11" name="F11" queryTableFieldId="11" dataDxfId="1187" dataCellStyle="一般 2"/>
    <tableColumn id="12" uniqueName="12" name="F12" queryTableFieldId="12" dataDxfId="1186" dataCellStyle="一般 2"/>
    <tableColumn id="13" uniqueName="13" name="F13" queryTableFieldId="13" dataDxfId="1185" dataCellStyle="一般 2"/>
    <tableColumn id="14" uniqueName="14" name="F14" queryTableFieldId="14" dataDxfId="1184" dataCellStyle="一般 2"/>
    <tableColumn id="15" uniqueName="15" name="F15" queryTableFieldId="15" dataDxfId="1183" dataCellStyle="一般 2"/>
    <tableColumn id="16" uniqueName="16" name="F16" queryTableFieldId="16" dataDxfId="1182" dataCellStyle="一般 2"/>
    <tableColumn id="17" uniqueName="17" name="F17" queryTableFieldId="17" dataDxfId="1181" dataCellStyle="一般 2"/>
    <tableColumn id="18" uniqueName="18" name="F18" queryTableFieldId="18" dataDxfId="1180" dataCellStyle="一般 2"/>
    <tableColumn id="19" uniqueName="19" name="F19" queryTableFieldId="19" dataDxfId="1179" dataCellStyle="一般 2"/>
    <tableColumn id="20" uniqueName="20" name="F20" queryTableFieldId="20" dataDxfId="1178" dataCellStyle="一般 2"/>
    <tableColumn id="21" uniqueName="21" name="F21" queryTableFieldId="21" dataDxfId="1177" dataCellStyle="一般 2"/>
    <tableColumn id="22" uniqueName="22" name="2024/6/24 14:52" queryTableFieldId="22" dataDxfId="1176" dataCellStyle="一般 2"/>
    <tableColumn id="23" uniqueName="23" name="F23" queryTableFieldId="23" dataDxfId="1175" dataCellStyle="一般 2"/>
    <tableColumn id="24" uniqueName="24" name="F24" queryTableFieldId="24" dataDxfId="1174" dataCellStyle="一般 2"/>
    <tableColumn id="25" uniqueName="25" name="F25" queryTableFieldId="25" dataDxfId="1173" dataCellStyle="一般 2"/>
    <tableColumn id="26" uniqueName="26" name="F26" queryTableFieldId="26" dataDxfId="1172" dataCellStyle="一般 2"/>
    <tableColumn id="27" uniqueName="27" name="F27" queryTableFieldId="27" dataDxfId="1171" dataCellStyle="一般 2"/>
    <tableColumn id="28" uniqueName="28" name="F28" queryTableFieldId="28" dataDxfId="1170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069" dataDxfId="1068" headerRowCellStyle="一般 2" dataCellStyle="一般 2">
  <autoFilter ref="AG13:BH189"/>
  <tableColumns count="28">
    <tableColumn id="1" uniqueName="1" name="請直接以10進位，謝謝" queryTableFieldId="1" dataDxfId="1067" dataCellStyle="一般 2"/>
    <tableColumn id="2" uniqueName="2" name="F2" queryTableFieldId="2" dataDxfId="1066" dataCellStyle="一般 2"/>
    <tableColumn id="3" uniqueName="3" name="F3" queryTableFieldId="3" dataDxfId="1065" dataCellStyle="一般 2"/>
    <tableColumn id="4" uniqueName="4" name="F4" queryTableFieldId="4" dataDxfId="1064" dataCellStyle="一般 2"/>
    <tableColumn id="5" uniqueName="5" name="F5" queryTableFieldId="5" dataDxfId="1063" dataCellStyle="一般 2"/>
    <tableColumn id="6" uniqueName="6" name="F6" queryTableFieldId="6" dataDxfId="1062" dataCellStyle="一般 2"/>
    <tableColumn id="7" uniqueName="7" name="F7" queryTableFieldId="7" dataDxfId="1061" dataCellStyle="一般 2"/>
    <tableColumn id="8" uniqueName="8" name="F8" queryTableFieldId="8" dataDxfId="1060" dataCellStyle="一般 2"/>
    <tableColumn id="9" uniqueName="9" name="F9" queryTableFieldId="9" dataDxfId="1059" dataCellStyle="一般 2"/>
    <tableColumn id="10" uniqueName="10" name="F10" queryTableFieldId="10" dataDxfId="1058" dataCellStyle="一般 2"/>
    <tableColumn id="11" uniqueName="11" name="F11" queryTableFieldId="11" dataDxfId="1057" dataCellStyle="一般 2"/>
    <tableColumn id="12" uniqueName="12" name="F12" queryTableFieldId="12" dataDxfId="1056" dataCellStyle="一般 2"/>
    <tableColumn id="13" uniqueName="13" name="F13" queryTableFieldId="13" dataDxfId="1055" dataCellStyle="一般 2"/>
    <tableColumn id="14" uniqueName="14" name="F14" queryTableFieldId="14" dataDxfId="1054" dataCellStyle="一般 2"/>
    <tableColumn id="15" uniqueName="15" name="F15" queryTableFieldId="15" dataDxfId="1053" dataCellStyle="一般 2"/>
    <tableColumn id="16" uniqueName="16" name="F16" queryTableFieldId="16" dataDxfId="1052" dataCellStyle="一般 2"/>
    <tableColumn id="17" uniqueName="17" name="F17" queryTableFieldId="17" dataDxfId="1051" dataCellStyle="一般 2"/>
    <tableColumn id="18" uniqueName="18" name="F18" queryTableFieldId="18" dataDxfId="1050" dataCellStyle="一般 2"/>
    <tableColumn id="19" uniqueName="19" name="F19" queryTableFieldId="19" dataDxfId="1049" dataCellStyle="一般 2"/>
    <tableColumn id="20" uniqueName="20" name="F20" queryTableFieldId="20" dataDxfId="1048" dataCellStyle="一般 2"/>
    <tableColumn id="21" uniqueName="21" name="F21" queryTableFieldId="21" dataDxfId="1047" dataCellStyle="一般 2"/>
    <tableColumn id="22" uniqueName="22" name="2024/6/24 14:52" queryTableFieldId="22" dataDxfId="1046" dataCellStyle="一般 2"/>
    <tableColumn id="23" uniqueName="23" name="F23" queryTableFieldId="23" dataDxfId="1045" dataCellStyle="一般 2"/>
    <tableColumn id="24" uniqueName="24" name="F24" queryTableFieldId="24" dataDxfId="1044" dataCellStyle="一般 2"/>
    <tableColumn id="25" uniqueName="25" name="F25" queryTableFieldId="25" dataDxfId="1043" dataCellStyle="一般 2"/>
    <tableColumn id="26" uniqueName="26" name="F26" queryTableFieldId="26" dataDxfId="1042" dataCellStyle="一般 2"/>
    <tableColumn id="27" uniqueName="27" name="F27" queryTableFieldId="27" dataDxfId="1041" dataCellStyle="一般 2"/>
    <tableColumn id="28" uniqueName="28" name="F28" queryTableFieldId="28" dataDxfId="1040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939" dataDxfId="938" headerRowCellStyle="一般 2" dataCellStyle="一般 2">
  <autoFilter ref="AG13:BH189"/>
  <tableColumns count="28">
    <tableColumn id="1" uniqueName="1" name="請直接以10進位，謝謝" queryTableFieldId="1" dataDxfId="937" dataCellStyle="一般 2"/>
    <tableColumn id="2" uniqueName="2" name="F2" queryTableFieldId="2" dataDxfId="936" dataCellStyle="一般 2"/>
    <tableColumn id="3" uniqueName="3" name="F3" queryTableFieldId="3" dataDxfId="935" dataCellStyle="一般 2"/>
    <tableColumn id="4" uniqueName="4" name="F4" queryTableFieldId="4" dataDxfId="934" dataCellStyle="一般 2"/>
    <tableColumn id="5" uniqueName="5" name="F5" queryTableFieldId="5" dataDxfId="933" dataCellStyle="一般 2"/>
    <tableColumn id="6" uniqueName="6" name="F6" queryTableFieldId="6" dataDxfId="932" dataCellStyle="一般 2"/>
    <tableColumn id="7" uniqueName="7" name="F7" queryTableFieldId="7" dataDxfId="931" dataCellStyle="一般 2"/>
    <tableColumn id="8" uniqueName="8" name="F8" queryTableFieldId="8" dataDxfId="930" dataCellStyle="一般 2"/>
    <tableColumn id="9" uniqueName="9" name="F9" queryTableFieldId="9" dataDxfId="929" dataCellStyle="一般 2"/>
    <tableColumn id="10" uniqueName="10" name="F10" queryTableFieldId="10" dataDxfId="928" dataCellStyle="一般 2"/>
    <tableColumn id="11" uniqueName="11" name="F11" queryTableFieldId="11" dataDxfId="927" dataCellStyle="一般 2"/>
    <tableColumn id="12" uniqueName="12" name="F12" queryTableFieldId="12" dataDxfId="926" dataCellStyle="一般 2"/>
    <tableColumn id="13" uniqueName="13" name="F13" queryTableFieldId="13" dataDxfId="925" dataCellStyle="一般 2"/>
    <tableColumn id="14" uniqueName="14" name="F14" queryTableFieldId="14" dataDxfId="924" dataCellStyle="一般 2"/>
    <tableColumn id="15" uniqueName="15" name="F15" queryTableFieldId="15" dataDxfId="923" dataCellStyle="一般 2"/>
    <tableColumn id="16" uniqueName="16" name="F16" queryTableFieldId="16" dataDxfId="922" dataCellStyle="一般 2"/>
    <tableColumn id="17" uniqueName="17" name="F17" queryTableFieldId="17" dataDxfId="921" dataCellStyle="一般 2"/>
    <tableColumn id="18" uniqueName="18" name="F18" queryTableFieldId="18" dataDxfId="920" dataCellStyle="一般 2"/>
    <tableColumn id="19" uniqueName="19" name="F19" queryTableFieldId="19" dataDxfId="919" dataCellStyle="一般 2"/>
    <tableColumn id="20" uniqueName="20" name="F20" queryTableFieldId="20" dataDxfId="918" dataCellStyle="一般 2"/>
    <tableColumn id="21" uniqueName="21" name="F21" queryTableFieldId="21" dataDxfId="917" dataCellStyle="一般 2"/>
    <tableColumn id="22" uniqueName="22" name="2024/6/24 14:52" queryTableFieldId="22" dataDxfId="916" dataCellStyle="一般 2"/>
    <tableColumn id="23" uniqueName="23" name="F23" queryTableFieldId="23" dataDxfId="915" dataCellStyle="一般 2"/>
    <tableColumn id="24" uniqueName="24" name="F24" queryTableFieldId="24" dataDxfId="914" dataCellStyle="一般 2"/>
    <tableColumn id="25" uniqueName="25" name="F25" queryTableFieldId="25" dataDxfId="913" dataCellStyle="一般 2"/>
    <tableColumn id="26" uniqueName="26" name="F26" queryTableFieldId="26" dataDxfId="912" dataCellStyle="一般 2"/>
    <tableColumn id="27" uniqueName="27" name="F27" queryTableFieldId="27" dataDxfId="911" dataCellStyle="一般 2"/>
    <tableColumn id="28" uniqueName="28" name="F28" queryTableFieldId="28" dataDxfId="910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809" dataDxfId="808" headerRowCellStyle="一般 2" dataCellStyle="一般 2">
  <autoFilter ref="AG13:BH189"/>
  <tableColumns count="28">
    <tableColumn id="1" uniqueName="1" name="請直接以10進位，謝謝" queryTableFieldId="1" dataDxfId="807" dataCellStyle="一般 2"/>
    <tableColumn id="2" uniqueName="2" name="F2" queryTableFieldId="2" dataDxfId="806" dataCellStyle="一般 2"/>
    <tableColumn id="3" uniqueName="3" name="F3" queryTableFieldId="3" dataDxfId="805" dataCellStyle="一般 2"/>
    <tableColumn id="4" uniqueName="4" name="F4" queryTableFieldId="4" dataDxfId="804" dataCellStyle="一般 2"/>
    <tableColumn id="5" uniqueName="5" name="F5" queryTableFieldId="5" dataDxfId="803" dataCellStyle="一般 2"/>
    <tableColumn id="6" uniqueName="6" name="F6" queryTableFieldId="6" dataDxfId="802" dataCellStyle="一般 2"/>
    <tableColumn id="7" uniqueName="7" name="F7" queryTableFieldId="7" dataDxfId="801" dataCellStyle="一般 2"/>
    <tableColumn id="8" uniqueName="8" name="F8" queryTableFieldId="8" dataDxfId="800" dataCellStyle="一般 2"/>
    <tableColumn id="9" uniqueName="9" name="F9" queryTableFieldId="9" dataDxfId="799" dataCellStyle="一般 2"/>
    <tableColumn id="10" uniqueName="10" name="F10" queryTableFieldId="10" dataDxfId="798" dataCellStyle="一般 2"/>
    <tableColumn id="11" uniqueName="11" name="F11" queryTableFieldId="11" dataDxfId="797" dataCellStyle="一般 2"/>
    <tableColumn id="12" uniqueName="12" name="F12" queryTableFieldId="12" dataDxfId="796" dataCellStyle="一般 2"/>
    <tableColumn id="13" uniqueName="13" name="F13" queryTableFieldId="13" dataDxfId="795" dataCellStyle="一般 2"/>
    <tableColumn id="14" uniqueName="14" name="F14" queryTableFieldId="14" dataDxfId="794" dataCellStyle="一般 2"/>
    <tableColumn id="15" uniqueName="15" name="F15" queryTableFieldId="15" dataDxfId="793" dataCellStyle="一般 2"/>
    <tableColumn id="16" uniqueName="16" name="F16" queryTableFieldId="16" dataDxfId="792" dataCellStyle="一般 2"/>
    <tableColumn id="17" uniqueName="17" name="F17" queryTableFieldId="17" dataDxfId="791" dataCellStyle="一般 2"/>
    <tableColumn id="18" uniqueName="18" name="F18" queryTableFieldId="18" dataDxfId="790" dataCellStyle="一般 2"/>
    <tableColumn id="19" uniqueName="19" name="F19" queryTableFieldId="19" dataDxfId="789" dataCellStyle="一般 2"/>
    <tableColumn id="20" uniqueName="20" name="F20" queryTableFieldId="20" dataDxfId="788" dataCellStyle="一般 2"/>
    <tableColumn id="21" uniqueName="21" name="F21" queryTableFieldId="21" dataDxfId="787" dataCellStyle="一般 2"/>
    <tableColumn id="22" uniqueName="22" name="2024/6/24 14:52" queryTableFieldId="22" dataDxfId="786" dataCellStyle="一般 2"/>
    <tableColumn id="23" uniqueName="23" name="F23" queryTableFieldId="23" dataDxfId="785" dataCellStyle="一般 2"/>
    <tableColumn id="24" uniqueName="24" name="F24" queryTableFieldId="24" dataDxfId="784" dataCellStyle="一般 2"/>
    <tableColumn id="25" uniqueName="25" name="F25" queryTableFieldId="25" dataDxfId="783" dataCellStyle="一般 2"/>
    <tableColumn id="26" uniqueName="26" name="F26" queryTableFieldId="26" dataDxfId="782" dataCellStyle="一般 2"/>
    <tableColumn id="27" uniqueName="27" name="F27" queryTableFieldId="27" dataDxfId="781" dataCellStyle="一般 2"/>
    <tableColumn id="28" uniqueName="28" name="F28" queryTableFieldId="28" dataDxfId="780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679" dataDxfId="678" headerRowCellStyle="一般 2" dataCellStyle="一般 2">
  <autoFilter ref="AG13:BH189"/>
  <tableColumns count="28">
    <tableColumn id="1" uniqueName="1" name="請直接以10進位，謝謝" queryTableFieldId="1" dataDxfId="677" dataCellStyle="一般 2"/>
    <tableColumn id="2" uniqueName="2" name="F2" queryTableFieldId="2" dataDxfId="676" dataCellStyle="一般 2"/>
    <tableColumn id="3" uniqueName="3" name="F3" queryTableFieldId="3" dataDxfId="675" dataCellStyle="一般 2"/>
    <tableColumn id="4" uniqueName="4" name="F4" queryTableFieldId="4" dataDxfId="674" dataCellStyle="一般 2"/>
    <tableColumn id="5" uniqueName="5" name="F5" queryTableFieldId="5" dataDxfId="673" dataCellStyle="一般 2"/>
    <tableColumn id="6" uniqueName="6" name="F6" queryTableFieldId="6" dataDxfId="672" dataCellStyle="一般 2"/>
    <tableColumn id="7" uniqueName="7" name="F7" queryTableFieldId="7" dataDxfId="671" dataCellStyle="一般 2"/>
    <tableColumn id="8" uniqueName="8" name="F8" queryTableFieldId="8" dataDxfId="670" dataCellStyle="一般 2"/>
    <tableColumn id="9" uniqueName="9" name="F9" queryTableFieldId="9" dataDxfId="669" dataCellStyle="一般 2"/>
    <tableColumn id="10" uniqueName="10" name="F10" queryTableFieldId="10" dataDxfId="668" dataCellStyle="一般 2"/>
    <tableColumn id="11" uniqueName="11" name="F11" queryTableFieldId="11" dataDxfId="667" dataCellStyle="一般 2"/>
    <tableColumn id="12" uniqueName="12" name="F12" queryTableFieldId="12" dataDxfId="666" dataCellStyle="一般 2"/>
    <tableColumn id="13" uniqueName="13" name="F13" queryTableFieldId="13" dataDxfId="665" dataCellStyle="一般 2"/>
    <tableColumn id="14" uniqueName="14" name="F14" queryTableFieldId="14" dataDxfId="664" dataCellStyle="一般 2"/>
    <tableColumn id="15" uniqueName="15" name="F15" queryTableFieldId="15" dataDxfId="663" dataCellStyle="一般 2"/>
    <tableColumn id="16" uniqueName="16" name="F16" queryTableFieldId="16" dataDxfId="662" dataCellStyle="一般 2"/>
    <tableColumn id="17" uniqueName="17" name="F17" queryTableFieldId="17" dataDxfId="661" dataCellStyle="一般 2"/>
    <tableColumn id="18" uniqueName="18" name="F18" queryTableFieldId="18" dataDxfId="660" dataCellStyle="一般 2"/>
    <tableColumn id="19" uniqueName="19" name="F19" queryTableFieldId="19" dataDxfId="659" dataCellStyle="一般 2"/>
    <tableColumn id="20" uniqueName="20" name="F20" queryTableFieldId="20" dataDxfId="658" dataCellStyle="一般 2"/>
    <tableColumn id="21" uniqueName="21" name="F21" queryTableFieldId="21" dataDxfId="657" dataCellStyle="一般 2"/>
    <tableColumn id="22" uniqueName="22" name="2024/6/24 14:52" queryTableFieldId="22" dataDxfId="656" dataCellStyle="一般 2"/>
    <tableColumn id="23" uniqueName="23" name="F23" queryTableFieldId="23" dataDxfId="655" dataCellStyle="一般 2"/>
    <tableColumn id="24" uniqueName="24" name="F24" queryTableFieldId="24" dataDxfId="654" dataCellStyle="一般 2"/>
    <tableColumn id="25" uniqueName="25" name="F25" queryTableFieldId="25" dataDxfId="653" dataCellStyle="一般 2"/>
    <tableColumn id="26" uniqueName="26" name="F26" queryTableFieldId="26" dataDxfId="652" dataCellStyle="一般 2"/>
    <tableColumn id="27" uniqueName="27" name="F27" queryTableFieldId="27" dataDxfId="651" dataCellStyle="一般 2"/>
    <tableColumn id="28" uniqueName="28" name="F28" queryTableFieldId="28" dataDxfId="650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549" dataDxfId="548" headerRowCellStyle="一般 2" dataCellStyle="一般 2">
  <autoFilter ref="AG13:BH189"/>
  <tableColumns count="28">
    <tableColumn id="1" uniqueName="1" name="請直接以10進位，謝謝" queryTableFieldId="1" dataDxfId="547" dataCellStyle="一般 2"/>
    <tableColumn id="2" uniqueName="2" name="F2" queryTableFieldId="2" dataDxfId="546" dataCellStyle="一般 2"/>
    <tableColumn id="3" uniqueName="3" name="F3" queryTableFieldId="3" dataDxfId="545" dataCellStyle="一般 2"/>
    <tableColumn id="4" uniqueName="4" name="F4" queryTableFieldId="4" dataDxfId="544" dataCellStyle="一般 2"/>
    <tableColumn id="5" uniqueName="5" name="F5" queryTableFieldId="5" dataDxfId="543" dataCellStyle="一般 2"/>
    <tableColumn id="6" uniqueName="6" name="F6" queryTableFieldId="6" dataDxfId="542" dataCellStyle="一般 2"/>
    <tableColumn id="7" uniqueName="7" name="F7" queryTableFieldId="7" dataDxfId="541" dataCellStyle="一般 2"/>
    <tableColumn id="8" uniqueName="8" name="F8" queryTableFieldId="8" dataDxfId="540" dataCellStyle="一般 2"/>
    <tableColumn id="9" uniqueName="9" name="F9" queryTableFieldId="9" dataDxfId="539" dataCellStyle="一般 2"/>
    <tableColumn id="10" uniqueName="10" name="F10" queryTableFieldId="10" dataDxfId="538" dataCellStyle="一般 2"/>
    <tableColumn id="11" uniqueName="11" name="F11" queryTableFieldId="11" dataDxfId="537" dataCellStyle="一般 2"/>
    <tableColumn id="12" uniqueName="12" name="F12" queryTableFieldId="12" dataDxfId="536" dataCellStyle="一般 2"/>
    <tableColumn id="13" uniqueName="13" name="F13" queryTableFieldId="13" dataDxfId="535" dataCellStyle="一般 2"/>
    <tableColumn id="14" uniqueName="14" name="F14" queryTableFieldId="14" dataDxfId="534" dataCellStyle="一般 2"/>
    <tableColumn id="15" uniqueName="15" name="F15" queryTableFieldId="15" dataDxfId="533" dataCellStyle="一般 2"/>
    <tableColumn id="16" uniqueName="16" name="F16" queryTableFieldId="16" dataDxfId="532" dataCellStyle="一般 2"/>
    <tableColumn id="17" uniqueName="17" name="F17" queryTableFieldId="17" dataDxfId="531" dataCellStyle="一般 2"/>
    <tableColumn id="18" uniqueName="18" name="F18" queryTableFieldId="18" dataDxfId="530" dataCellStyle="一般 2"/>
    <tableColumn id="19" uniqueName="19" name="F19" queryTableFieldId="19" dataDxfId="529" dataCellStyle="一般 2"/>
    <tableColumn id="20" uniqueName="20" name="F20" queryTableFieldId="20" dataDxfId="528" dataCellStyle="一般 2"/>
    <tableColumn id="21" uniqueName="21" name="F21" queryTableFieldId="21" dataDxfId="527" dataCellStyle="一般 2"/>
    <tableColumn id="22" uniqueName="22" name="2024/6/24 14:52" queryTableFieldId="22" dataDxfId="526" dataCellStyle="一般 2"/>
    <tableColumn id="23" uniqueName="23" name="F23" queryTableFieldId="23" dataDxfId="525" dataCellStyle="一般 2"/>
    <tableColumn id="24" uniqueName="24" name="F24" queryTableFieldId="24" dataDxfId="524" dataCellStyle="一般 2"/>
    <tableColumn id="25" uniqueName="25" name="F25" queryTableFieldId="25" dataDxfId="523" dataCellStyle="一般 2"/>
    <tableColumn id="26" uniqueName="26" name="F26" queryTableFieldId="26" dataDxfId="522" dataCellStyle="一般 2"/>
    <tableColumn id="27" uniqueName="27" name="F27" queryTableFieldId="27" dataDxfId="521" dataCellStyle="一般 2"/>
    <tableColumn id="28" uniqueName="28" name="F28" queryTableFieldId="28" dataDxfId="520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419" dataDxfId="418" headerRowCellStyle="一般 2" dataCellStyle="一般 2">
  <autoFilter ref="AG13:BH189"/>
  <tableColumns count="28">
    <tableColumn id="1" uniqueName="1" name="請直接以10進位，謝謝" queryTableFieldId="1" dataDxfId="417" dataCellStyle="一般 2"/>
    <tableColumn id="2" uniqueName="2" name="F2" queryTableFieldId="2" dataDxfId="416" dataCellStyle="一般 2"/>
    <tableColumn id="3" uniqueName="3" name="F3" queryTableFieldId="3" dataDxfId="415" dataCellStyle="一般 2"/>
    <tableColumn id="4" uniqueName="4" name="F4" queryTableFieldId="4" dataDxfId="414" dataCellStyle="一般 2"/>
    <tableColumn id="5" uniqueName="5" name="F5" queryTableFieldId="5" dataDxfId="413" dataCellStyle="一般 2"/>
    <tableColumn id="6" uniqueName="6" name="F6" queryTableFieldId="6" dataDxfId="412" dataCellStyle="一般 2"/>
    <tableColumn id="7" uniqueName="7" name="F7" queryTableFieldId="7" dataDxfId="411" dataCellStyle="一般 2"/>
    <tableColumn id="8" uniqueName="8" name="F8" queryTableFieldId="8" dataDxfId="410" dataCellStyle="一般 2"/>
    <tableColumn id="9" uniqueName="9" name="F9" queryTableFieldId="9" dataDxfId="409" dataCellStyle="一般 2"/>
    <tableColumn id="10" uniqueName="10" name="F10" queryTableFieldId="10" dataDxfId="408" dataCellStyle="一般 2"/>
    <tableColumn id="11" uniqueName="11" name="F11" queryTableFieldId="11" dataDxfId="407" dataCellStyle="一般 2"/>
    <tableColumn id="12" uniqueName="12" name="F12" queryTableFieldId="12" dataDxfId="406" dataCellStyle="一般 2"/>
    <tableColumn id="13" uniqueName="13" name="F13" queryTableFieldId="13" dataDxfId="405" dataCellStyle="一般 2"/>
    <tableColumn id="14" uniqueName="14" name="F14" queryTableFieldId="14" dataDxfId="404" dataCellStyle="一般 2"/>
    <tableColumn id="15" uniqueName="15" name="F15" queryTableFieldId="15" dataDxfId="403" dataCellStyle="一般 2"/>
    <tableColumn id="16" uniqueName="16" name="F16" queryTableFieldId="16" dataDxfId="402" dataCellStyle="一般 2"/>
    <tableColumn id="17" uniqueName="17" name="F17" queryTableFieldId="17" dataDxfId="401" dataCellStyle="一般 2"/>
    <tableColumn id="18" uniqueName="18" name="F18" queryTableFieldId="18" dataDxfId="400" dataCellStyle="一般 2"/>
    <tableColumn id="19" uniqueName="19" name="F19" queryTableFieldId="19" dataDxfId="399" dataCellStyle="一般 2"/>
    <tableColumn id="20" uniqueName="20" name="F20" queryTableFieldId="20" dataDxfId="398" dataCellStyle="一般 2"/>
    <tableColumn id="21" uniqueName="21" name="F21" queryTableFieldId="21" dataDxfId="397" dataCellStyle="一般 2"/>
    <tableColumn id="22" uniqueName="22" name="2024/6/24 14:52" queryTableFieldId="22" dataDxfId="396" dataCellStyle="一般 2"/>
    <tableColumn id="23" uniqueName="23" name="F23" queryTableFieldId="23" dataDxfId="395" dataCellStyle="一般 2"/>
    <tableColumn id="24" uniqueName="24" name="F24" queryTableFieldId="24" dataDxfId="394" dataCellStyle="一般 2"/>
    <tableColumn id="25" uniqueName="25" name="F25" queryTableFieldId="25" dataDxfId="393" dataCellStyle="一般 2"/>
    <tableColumn id="26" uniqueName="26" name="F26" queryTableFieldId="26" dataDxfId="392" dataCellStyle="一般 2"/>
    <tableColumn id="27" uniqueName="27" name="F27" queryTableFieldId="27" dataDxfId="391" dataCellStyle="一般 2"/>
    <tableColumn id="28" uniqueName="28" name="F28" queryTableFieldId="28" dataDxfId="390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289" dataDxfId="288" headerRowCellStyle="一般 2" dataCellStyle="一般 2">
  <autoFilter ref="AG13:BH189"/>
  <tableColumns count="28">
    <tableColumn id="1" uniqueName="1" name="請直接以10進位，謝謝" queryTableFieldId="1" dataDxfId="287" dataCellStyle="一般 2"/>
    <tableColumn id="2" uniqueName="2" name="F2" queryTableFieldId="2" dataDxfId="286" dataCellStyle="一般 2"/>
    <tableColumn id="3" uniqueName="3" name="F3" queryTableFieldId="3" dataDxfId="285" dataCellStyle="一般 2"/>
    <tableColumn id="4" uniqueName="4" name="F4" queryTableFieldId="4" dataDxfId="284" dataCellStyle="一般 2"/>
    <tableColumn id="5" uniqueName="5" name="F5" queryTableFieldId="5" dataDxfId="283" dataCellStyle="一般 2"/>
    <tableColumn id="6" uniqueName="6" name="F6" queryTableFieldId="6" dataDxfId="282" dataCellStyle="一般 2"/>
    <tableColumn id="7" uniqueName="7" name="F7" queryTableFieldId="7" dataDxfId="281" dataCellStyle="一般 2"/>
    <tableColumn id="8" uniqueName="8" name="F8" queryTableFieldId="8" dataDxfId="280" dataCellStyle="一般 2"/>
    <tableColumn id="9" uniqueName="9" name="F9" queryTableFieldId="9" dataDxfId="279" dataCellStyle="一般 2"/>
    <tableColumn id="10" uniqueName="10" name="F10" queryTableFieldId="10" dataDxfId="278" dataCellStyle="一般 2"/>
    <tableColumn id="11" uniqueName="11" name="F11" queryTableFieldId="11" dataDxfId="277" dataCellStyle="一般 2"/>
    <tableColumn id="12" uniqueName="12" name="F12" queryTableFieldId="12" dataDxfId="276" dataCellStyle="一般 2"/>
    <tableColumn id="13" uniqueName="13" name="F13" queryTableFieldId="13" dataDxfId="275" dataCellStyle="一般 2"/>
    <tableColumn id="14" uniqueName="14" name="F14" queryTableFieldId="14" dataDxfId="274" dataCellStyle="一般 2"/>
    <tableColumn id="15" uniqueName="15" name="F15" queryTableFieldId="15" dataDxfId="273" dataCellStyle="一般 2"/>
    <tableColumn id="16" uniqueName="16" name="F16" queryTableFieldId="16" dataDxfId="272" dataCellStyle="一般 2"/>
    <tableColumn id="17" uniqueName="17" name="F17" queryTableFieldId="17" dataDxfId="271" dataCellStyle="一般 2"/>
    <tableColumn id="18" uniqueName="18" name="F18" queryTableFieldId="18" dataDxfId="270" dataCellStyle="一般 2"/>
    <tableColumn id="19" uniqueName="19" name="F19" queryTableFieldId="19" dataDxfId="269" dataCellStyle="一般 2"/>
    <tableColumn id="20" uniqueName="20" name="F20" queryTableFieldId="20" dataDxfId="268" dataCellStyle="一般 2"/>
    <tableColumn id="21" uniqueName="21" name="F21" queryTableFieldId="21" dataDxfId="267" dataCellStyle="一般 2"/>
    <tableColumn id="22" uniqueName="22" name="2024/6/24 14:52" queryTableFieldId="22" dataDxfId="266" dataCellStyle="一般 2"/>
    <tableColumn id="23" uniqueName="23" name="F23" queryTableFieldId="23" dataDxfId="265" dataCellStyle="一般 2"/>
    <tableColumn id="24" uniqueName="24" name="F24" queryTableFieldId="24" dataDxfId="264" dataCellStyle="一般 2"/>
    <tableColumn id="25" uniqueName="25" name="F25" queryTableFieldId="25" dataDxfId="263" dataCellStyle="一般 2"/>
    <tableColumn id="26" uniqueName="26" name="F26" queryTableFieldId="26" dataDxfId="262" dataCellStyle="一般 2"/>
    <tableColumn id="27" uniqueName="27" name="F27" queryTableFieldId="27" dataDxfId="261" dataCellStyle="一般 2"/>
    <tableColumn id="28" uniqueName="28" name="F28" queryTableFieldId="28" dataDxfId="260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159" dataDxfId="158" headerRowCellStyle="一般 2" dataCellStyle="一般 2">
  <autoFilter ref="AG13:BH189"/>
  <tableColumns count="28">
    <tableColumn id="1" uniqueName="1" name="請直接以10進位，謝謝" queryTableFieldId="1" dataDxfId="157" dataCellStyle="一般 2"/>
    <tableColumn id="2" uniqueName="2" name="F2" queryTableFieldId="2" dataDxfId="156" dataCellStyle="一般 2"/>
    <tableColumn id="3" uniqueName="3" name="F3" queryTableFieldId="3" dataDxfId="155" dataCellStyle="一般 2"/>
    <tableColumn id="4" uniqueName="4" name="F4" queryTableFieldId="4" dataDxfId="154" dataCellStyle="一般 2"/>
    <tableColumn id="5" uniqueName="5" name="F5" queryTableFieldId="5" dataDxfId="153" dataCellStyle="一般 2"/>
    <tableColumn id="6" uniqueName="6" name="F6" queryTableFieldId="6" dataDxfId="152" dataCellStyle="一般 2"/>
    <tableColumn id="7" uniqueName="7" name="F7" queryTableFieldId="7" dataDxfId="151" dataCellStyle="一般 2"/>
    <tableColumn id="8" uniqueName="8" name="F8" queryTableFieldId="8" dataDxfId="150" dataCellStyle="一般 2"/>
    <tableColumn id="9" uniqueName="9" name="F9" queryTableFieldId="9" dataDxfId="149" dataCellStyle="一般 2"/>
    <tableColumn id="10" uniqueName="10" name="F10" queryTableFieldId="10" dataDxfId="148" dataCellStyle="一般 2"/>
    <tableColumn id="11" uniqueName="11" name="F11" queryTableFieldId="11" dataDxfId="147" dataCellStyle="一般 2"/>
    <tableColumn id="12" uniqueName="12" name="F12" queryTableFieldId="12" dataDxfId="146" dataCellStyle="一般 2"/>
    <tableColumn id="13" uniqueName="13" name="F13" queryTableFieldId="13" dataDxfId="145" dataCellStyle="一般 2"/>
    <tableColumn id="14" uniqueName="14" name="F14" queryTableFieldId="14" dataDxfId="144" dataCellStyle="一般 2"/>
    <tableColumn id="15" uniqueName="15" name="F15" queryTableFieldId="15" dataDxfId="143" dataCellStyle="一般 2"/>
    <tableColumn id="16" uniqueName="16" name="F16" queryTableFieldId="16" dataDxfId="142" dataCellStyle="一般 2"/>
    <tableColumn id="17" uniqueName="17" name="F17" queryTableFieldId="17" dataDxfId="141" dataCellStyle="一般 2"/>
    <tableColumn id="18" uniqueName="18" name="F18" queryTableFieldId="18" dataDxfId="140" dataCellStyle="一般 2"/>
    <tableColumn id="19" uniqueName="19" name="F19" queryTableFieldId="19" dataDxfId="139" dataCellStyle="一般 2"/>
    <tableColumn id="20" uniqueName="20" name="F20" queryTableFieldId="20" dataDxfId="138" dataCellStyle="一般 2"/>
    <tableColumn id="21" uniqueName="21" name="F21" queryTableFieldId="21" dataDxfId="137" dataCellStyle="一般 2"/>
    <tableColumn id="22" uniqueName="22" name="2024/6/24 14:52" queryTableFieldId="22" dataDxfId="136" dataCellStyle="一般 2"/>
    <tableColumn id="23" uniqueName="23" name="F23" queryTableFieldId="23" dataDxfId="135" dataCellStyle="一般 2"/>
    <tableColumn id="24" uniqueName="24" name="F24" queryTableFieldId="24" dataDxfId="134" dataCellStyle="一般 2"/>
    <tableColumn id="25" uniqueName="25" name="F25" queryTableFieldId="25" dataDxfId="133" dataCellStyle="一般 2"/>
    <tableColumn id="26" uniqueName="26" name="F26" queryTableFieldId="26" dataDxfId="132" dataCellStyle="一般 2"/>
    <tableColumn id="27" uniqueName="27" name="F27" queryTableFieldId="27" dataDxfId="131" dataCellStyle="一般 2"/>
    <tableColumn id="28" uniqueName="28" name="F28" queryTableFieldId="28" dataDxfId="130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1" zoomScale="70" zoomScaleNormal="100" zoomScaleSheetLayoutView="70" workbookViewId="0">
      <selection activeCell="K26" sqref="K26"/>
    </sheetView>
  </sheetViews>
  <sheetFormatPr defaultColWidth="9" defaultRowHeight="15.75"/>
  <cols>
    <col min="1" max="1" width="7.375" style="54" customWidth="1"/>
    <col min="2" max="2" width="8.625" style="54" customWidth="1"/>
    <col min="3" max="3" width="6.625" style="54" customWidth="1"/>
    <col min="4" max="4" width="7.375" style="54" customWidth="1"/>
    <col min="5" max="5" width="8.625" style="54" customWidth="1"/>
    <col min="6" max="6" width="6.625" style="54" customWidth="1"/>
    <col min="7" max="7" width="7.375" style="54" customWidth="1"/>
    <col min="8" max="8" width="8.625" style="54" customWidth="1"/>
    <col min="9" max="9" width="6.625" style="54" customWidth="1"/>
    <col min="10" max="10" width="7.375" style="54" customWidth="1"/>
    <col min="11" max="11" width="8.625" style="54" customWidth="1"/>
    <col min="12" max="12" width="6.625" style="54" customWidth="1"/>
    <col min="13" max="13" width="23.875" style="54" customWidth="1"/>
    <col min="14" max="14" width="17.625" style="54" customWidth="1"/>
    <col min="15" max="16" width="11.875" style="54" customWidth="1"/>
    <col min="17" max="17" width="17.5" style="63" customWidth="1"/>
    <col min="18" max="18" width="13.625" style="63" customWidth="1"/>
    <col min="19" max="19" width="14.375" style="63" customWidth="1"/>
    <col min="20" max="20" width="9" style="54"/>
    <col min="21" max="21" width="20.75" style="54" bestFit="1" customWidth="1"/>
    <col min="22" max="22" width="9" style="54"/>
    <col min="23" max="23" width="13.75" style="54" bestFit="1" customWidth="1"/>
    <col min="24" max="16384" width="9" style="54"/>
  </cols>
  <sheetData>
    <row r="1" spans="1:24" s="53" customFormat="1" ht="21" customHeight="1" thickBot="1">
      <c r="A1" s="172" t="s">
        <v>172</v>
      </c>
      <c r="B1" s="172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7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15" customHeight="1" thickTop="1">
      <c r="A3" s="119">
        <v>601</v>
      </c>
      <c r="B3" s="120">
        <v>6290</v>
      </c>
      <c r="C3" s="121">
        <v>21</v>
      </c>
      <c r="D3" s="122" t="s">
        <v>76</v>
      </c>
      <c r="E3" s="120">
        <v>7053</v>
      </c>
      <c r="F3" s="121">
        <v>9</v>
      </c>
      <c r="G3" s="119">
        <v>661</v>
      </c>
      <c r="H3" s="120">
        <v>6978</v>
      </c>
      <c r="I3" s="123">
        <v>18</v>
      </c>
      <c r="J3" s="119">
        <v>681</v>
      </c>
      <c r="K3" s="120">
        <v>3920</v>
      </c>
      <c r="L3" s="124">
        <v>19</v>
      </c>
      <c r="M3" s="173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15" customHeight="1">
      <c r="A4" s="119">
        <v>602</v>
      </c>
      <c r="B4" s="120">
        <v>86</v>
      </c>
      <c r="C4" s="121">
        <v>16</v>
      </c>
      <c r="D4" s="122" t="s">
        <v>77</v>
      </c>
      <c r="E4" s="120">
        <v>4647</v>
      </c>
      <c r="F4" s="121">
        <v>18</v>
      </c>
      <c r="G4" s="119">
        <v>662</v>
      </c>
      <c r="H4" s="120">
        <v>5245</v>
      </c>
      <c r="I4" s="123">
        <v>15</v>
      </c>
      <c r="J4" s="119">
        <v>682</v>
      </c>
      <c r="K4" s="120">
        <v>3694</v>
      </c>
      <c r="L4" s="133">
        <v>18</v>
      </c>
      <c r="M4" s="174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15" customHeight="1">
      <c r="A5" s="119">
        <v>603</v>
      </c>
      <c r="B5" s="120">
        <v>4516</v>
      </c>
      <c r="C5" s="121">
        <v>18</v>
      </c>
      <c r="D5" s="122">
        <v>631</v>
      </c>
      <c r="E5" s="120">
        <v>5550</v>
      </c>
      <c r="F5" s="121">
        <v>15</v>
      </c>
      <c r="G5" s="119">
        <v>663</v>
      </c>
      <c r="H5" s="120">
        <v>7343</v>
      </c>
      <c r="I5" s="123">
        <v>19</v>
      </c>
      <c r="J5" s="119">
        <v>683</v>
      </c>
      <c r="K5" s="120">
        <v>1254</v>
      </c>
      <c r="L5" s="133">
        <v>17</v>
      </c>
      <c r="M5" s="174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15" customHeight="1">
      <c r="A6" s="119" t="s">
        <v>78</v>
      </c>
      <c r="B6" s="125">
        <v>3067</v>
      </c>
      <c r="C6" s="126">
        <v>16</v>
      </c>
      <c r="D6" s="127">
        <v>632</v>
      </c>
      <c r="E6" s="125">
        <v>3992</v>
      </c>
      <c r="F6" s="126">
        <v>18</v>
      </c>
      <c r="G6" s="127">
        <v>664</v>
      </c>
      <c r="H6" s="120">
        <v>6385</v>
      </c>
      <c r="I6" s="124">
        <v>18</v>
      </c>
      <c r="J6" s="127">
        <v>684</v>
      </c>
      <c r="K6" s="125">
        <v>4928</v>
      </c>
      <c r="L6" s="133">
        <v>17</v>
      </c>
      <c r="M6" s="174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15" customHeight="1">
      <c r="A7" s="119" t="s">
        <v>79</v>
      </c>
      <c r="B7" s="125">
        <v>1420</v>
      </c>
      <c r="C7" s="126">
        <v>14</v>
      </c>
      <c r="D7" s="127">
        <v>633</v>
      </c>
      <c r="E7" s="125">
        <v>4980</v>
      </c>
      <c r="F7" s="126">
        <v>9</v>
      </c>
      <c r="G7" s="127">
        <v>665</v>
      </c>
      <c r="H7" s="125">
        <v>599</v>
      </c>
      <c r="I7" s="124">
        <v>17</v>
      </c>
      <c r="J7" s="127">
        <v>685</v>
      </c>
      <c r="K7" s="125">
        <v>4722</v>
      </c>
      <c r="L7" s="133">
        <v>17</v>
      </c>
      <c r="M7" s="174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15" customHeight="1">
      <c r="A8" s="119">
        <v>611</v>
      </c>
      <c r="B8" s="125">
        <v>0.08</v>
      </c>
      <c r="C8" s="134">
        <v>25</v>
      </c>
      <c r="D8" s="127">
        <v>634</v>
      </c>
      <c r="E8" s="125">
        <v>6990</v>
      </c>
      <c r="F8" s="126">
        <v>14</v>
      </c>
      <c r="G8" s="127">
        <v>666</v>
      </c>
      <c r="H8" s="125">
        <v>6089</v>
      </c>
      <c r="I8" s="124">
        <v>15</v>
      </c>
      <c r="J8" s="127">
        <v>686</v>
      </c>
      <c r="K8" s="125">
        <v>5542</v>
      </c>
      <c r="L8" s="133">
        <v>17</v>
      </c>
      <c r="M8" s="174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15" customHeight="1">
      <c r="A9" s="119">
        <v>612</v>
      </c>
      <c r="B9" s="125">
        <v>6.58</v>
      </c>
      <c r="C9" s="134">
        <v>25</v>
      </c>
      <c r="D9" s="127">
        <v>641</v>
      </c>
      <c r="E9" s="125">
        <v>4780</v>
      </c>
      <c r="F9" s="126">
        <v>15</v>
      </c>
      <c r="G9" s="127">
        <v>667</v>
      </c>
      <c r="H9" s="125">
        <v>4989</v>
      </c>
      <c r="I9" s="124">
        <v>18</v>
      </c>
      <c r="J9" s="127">
        <v>687</v>
      </c>
      <c r="K9" s="125">
        <v>5071</v>
      </c>
      <c r="L9" s="133">
        <v>19</v>
      </c>
      <c r="M9" s="174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15" customHeight="1">
      <c r="A10" s="119">
        <v>613</v>
      </c>
      <c r="B10" s="125">
        <v>47.14</v>
      </c>
      <c r="C10" s="134">
        <v>25</v>
      </c>
      <c r="D10" s="127">
        <v>642</v>
      </c>
      <c r="E10" s="125">
        <v>4132</v>
      </c>
      <c r="F10" s="126">
        <v>21</v>
      </c>
      <c r="G10" s="127">
        <v>668</v>
      </c>
      <c r="H10" s="125">
        <v>-567</v>
      </c>
      <c r="I10" s="124">
        <v>19</v>
      </c>
      <c r="J10" s="127">
        <v>688</v>
      </c>
      <c r="K10" s="125">
        <v>2846</v>
      </c>
      <c r="L10" s="133">
        <v>18</v>
      </c>
      <c r="M10" s="174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15" customHeight="1">
      <c r="A11" s="119">
        <v>614</v>
      </c>
      <c r="B11" s="125">
        <v>0</v>
      </c>
      <c r="C11" s="134">
        <v>25</v>
      </c>
      <c r="D11" s="127">
        <v>643</v>
      </c>
      <c r="E11" s="125">
        <v>5986</v>
      </c>
      <c r="F11" s="126">
        <v>15</v>
      </c>
      <c r="G11" s="127">
        <v>669</v>
      </c>
      <c r="H11" s="125">
        <v>403</v>
      </c>
      <c r="I11" s="124">
        <v>30</v>
      </c>
      <c r="J11" s="127">
        <v>689</v>
      </c>
      <c r="K11" s="125">
        <v>5718</v>
      </c>
      <c r="L11" s="133">
        <v>19</v>
      </c>
      <c r="M11" s="174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15" customHeight="1">
      <c r="A12" s="119">
        <v>621</v>
      </c>
      <c r="B12" s="125">
        <v>793</v>
      </c>
      <c r="C12" s="126">
        <v>16</v>
      </c>
      <c r="D12" s="127">
        <v>645</v>
      </c>
      <c r="E12" s="125">
        <v>5709</v>
      </c>
      <c r="F12" s="126">
        <v>15</v>
      </c>
      <c r="G12" s="127">
        <v>670</v>
      </c>
      <c r="H12" s="125">
        <v>-9900</v>
      </c>
      <c r="I12" s="124">
        <v>30</v>
      </c>
      <c r="J12" s="127">
        <v>690</v>
      </c>
      <c r="K12" s="125">
        <v>628</v>
      </c>
      <c r="L12" s="124">
        <v>19</v>
      </c>
      <c r="M12" s="174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15" customHeight="1">
      <c r="A13" s="119">
        <v>622</v>
      </c>
      <c r="B13" s="125">
        <v>4329</v>
      </c>
      <c r="C13" s="126">
        <v>18</v>
      </c>
      <c r="D13" s="127">
        <v>651</v>
      </c>
      <c r="E13" s="125">
        <v>4552</v>
      </c>
      <c r="F13" s="126">
        <v>23</v>
      </c>
      <c r="G13" s="127">
        <v>671</v>
      </c>
      <c r="H13" s="125">
        <v>0</v>
      </c>
      <c r="I13" s="124">
        <v>18</v>
      </c>
      <c r="J13" s="127">
        <v>691</v>
      </c>
      <c r="K13" s="125">
        <v>1615</v>
      </c>
      <c r="L13" s="133">
        <v>21</v>
      </c>
      <c r="M13" s="174"/>
      <c r="N13" s="176" t="s">
        <v>171</v>
      </c>
      <c r="O13" s="177" t="s">
        <v>143</v>
      </c>
      <c r="P13" s="178">
        <v>7.0686</v>
      </c>
      <c r="Q13" s="170" t="s">
        <v>148</v>
      </c>
      <c r="S13" s="171">
        <v>7000</v>
      </c>
    </row>
    <row r="14" spans="1:24" s="53" customFormat="1" ht="22.15" customHeight="1">
      <c r="A14" s="119">
        <v>623</v>
      </c>
      <c r="B14" s="125">
        <v>1156</v>
      </c>
      <c r="C14" s="126">
        <v>21</v>
      </c>
      <c r="D14" s="127">
        <v>652</v>
      </c>
      <c r="E14" s="125">
        <v>3101</v>
      </c>
      <c r="F14" s="126">
        <v>18</v>
      </c>
      <c r="G14" s="127">
        <v>672</v>
      </c>
      <c r="H14" s="125">
        <v>10</v>
      </c>
      <c r="I14" s="124">
        <v>15</v>
      </c>
      <c r="J14" s="127">
        <v>692</v>
      </c>
      <c r="K14" s="125">
        <v>3237</v>
      </c>
      <c r="L14" s="133">
        <v>17</v>
      </c>
      <c r="M14" s="174"/>
      <c r="N14" s="176"/>
      <c r="O14" s="177"/>
      <c r="P14" s="178"/>
      <c r="Q14" s="170"/>
      <c r="S14" s="171"/>
    </row>
    <row r="15" spans="1:24" s="53" customFormat="1" ht="22.15" customHeight="1">
      <c r="A15" s="122">
        <v>624</v>
      </c>
      <c r="B15" s="125">
        <v>1882</v>
      </c>
      <c r="C15" s="126">
        <v>16</v>
      </c>
      <c r="D15" s="128">
        <v>653</v>
      </c>
      <c r="E15" s="125">
        <v>5385</v>
      </c>
      <c r="F15" s="126">
        <v>14</v>
      </c>
      <c r="G15" s="127">
        <v>673</v>
      </c>
      <c r="H15" s="125">
        <v>6946</v>
      </c>
      <c r="I15" s="124">
        <v>18</v>
      </c>
      <c r="J15" s="127">
        <v>693</v>
      </c>
      <c r="K15" s="125">
        <v>5268</v>
      </c>
      <c r="L15" s="133">
        <v>18</v>
      </c>
      <c r="M15" s="174"/>
      <c r="N15" s="176"/>
      <c r="O15" s="177"/>
      <c r="P15" s="178"/>
      <c r="Q15" s="170"/>
      <c r="R15" s="55"/>
      <c r="S15" s="140">
        <v>6000</v>
      </c>
    </row>
    <row r="16" spans="1:24" s="53" customFormat="1" ht="22.15" customHeight="1">
      <c r="A16" s="122" t="s">
        <v>80</v>
      </c>
      <c r="B16" s="125">
        <v>5218</v>
      </c>
      <c r="C16" s="126">
        <v>19</v>
      </c>
      <c r="D16" s="127">
        <v>654</v>
      </c>
      <c r="E16" s="125">
        <v>5215</v>
      </c>
      <c r="F16" s="126">
        <v>16</v>
      </c>
      <c r="G16" s="127">
        <v>674</v>
      </c>
      <c r="H16" s="125">
        <v>2142</v>
      </c>
      <c r="I16" s="124">
        <v>15</v>
      </c>
      <c r="J16" s="127">
        <v>694</v>
      </c>
      <c r="K16" s="125">
        <v>179</v>
      </c>
      <c r="L16" s="133">
        <v>18</v>
      </c>
      <c r="M16" s="174"/>
      <c r="Q16" s="55"/>
      <c r="R16" s="55"/>
      <c r="S16" s="55"/>
    </row>
    <row r="17" spans="1:19" s="53" customFormat="1" ht="22.15" customHeight="1">
      <c r="A17" s="122" t="s">
        <v>26</v>
      </c>
      <c r="B17" s="125">
        <v>5770</v>
      </c>
      <c r="C17" s="126">
        <v>23</v>
      </c>
      <c r="D17" s="128">
        <v>655</v>
      </c>
      <c r="E17" s="125">
        <v>4601</v>
      </c>
      <c r="F17" s="126">
        <v>21</v>
      </c>
      <c r="G17" s="127">
        <v>675</v>
      </c>
      <c r="H17" s="125">
        <v>31.82</v>
      </c>
      <c r="I17" s="133">
        <v>25</v>
      </c>
      <c r="J17" s="127">
        <v>695</v>
      </c>
      <c r="K17" s="125">
        <v>4180</v>
      </c>
      <c r="L17" s="133">
        <v>17</v>
      </c>
      <c r="M17" s="174"/>
      <c r="Q17" s="55"/>
      <c r="R17" s="55"/>
      <c r="S17" s="55"/>
    </row>
    <row r="18" spans="1:19" s="53" customFormat="1" ht="22.15" customHeight="1">
      <c r="A18" s="122" t="s">
        <v>27</v>
      </c>
      <c r="B18" s="125">
        <v>1299</v>
      </c>
      <c r="C18" s="126">
        <v>15</v>
      </c>
      <c r="D18" s="127">
        <v>656</v>
      </c>
      <c r="E18" s="125">
        <v>4464</v>
      </c>
      <c r="F18" s="126">
        <v>20</v>
      </c>
      <c r="G18" s="127">
        <v>676</v>
      </c>
      <c r="H18" s="125">
        <v>43.13</v>
      </c>
      <c r="I18" s="133">
        <v>25</v>
      </c>
      <c r="J18" s="127">
        <v>696</v>
      </c>
      <c r="K18" s="125">
        <v>4045</v>
      </c>
      <c r="L18" s="133">
        <v>18</v>
      </c>
      <c r="M18" s="174"/>
      <c r="Q18" s="55"/>
      <c r="R18" s="55"/>
      <c r="S18" s="55"/>
    </row>
    <row r="19" spans="1:19" s="53" customFormat="1" ht="22.15" customHeight="1">
      <c r="A19" s="122" t="s">
        <v>28</v>
      </c>
      <c r="B19" s="125">
        <v>0</v>
      </c>
      <c r="C19" s="126">
        <v>13</v>
      </c>
      <c r="D19" s="127">
        <v>657</v>
      </c>
      <c r="E19" s="125">
        <v>3078</v>
      </c>
      <c r="F19" s="126">
        <v>19</v>
      </c>
      <c r="G19" s="127">
        <v>677</v>
      </c>
      <c r="H19" s="125">
        <v>5.44</v>
      </c>
      <c r="I19" s="133">
        <v>25</v>
      </c>
      <c r="J19" s="127">
        <v>697</v>
      </c>
      <c r="K19" s="125">
        <v>6050</v>
      </c>
      <c r="L19" s="133">
        <v>18</v>
      </c>
      <c r="M19" s="174"/>
      <c r="Q19" s="55"/>
      <c r="R19" s="55"/>
      <c r="S19" s="55"/>
    </row>
    <row r="20" spans="1:19" s="53" customFormat="1" ht="22.15" customHeight="1">
      <c r="A20" s="122" t="s">
        <v>29</v>
      </c>
      <c r="B20" s="125">
        <v>0</v>
      </c>
      <c r="C20" s="126">
        <v>18</v>
      </c>
      <c r="D20" s="128">
        <v>658</v>
      </c>
      <c r="E20" s="125">
        <v>3720</v>
      </c>
      <c r="F20" s="126">
        <v>19</v>
      </c>
      <c r="G20" s="127">
        <v>678</v>
      </c>
      <c r="H20" s="125">
        <v>5.12</v>
      </c>
      <c r="I20" s="133">
        <v>25</v>
      </c>
      <c r="J20" s="127">
        <v>698</v>
      </c>
      <c r="K20" s="125">
        <v>7234</v>
      </c>
      <c r="L20" s="133">
        <v>42</v>
      </c>
      <c r="M20" s="174"/>
      <c r="Q20" s="55"/>
      <c r="R20" s="55"/>
      <c r="S20" s="55"/>
    </row>
    <row r="21" spans="1:19" s="53" customFormat="1" ht="22.15" customHeight="1">
      <c r="A21" s="122" t="s">
        <v>30</v>
      </c>
      <c r="B21" s="125">
        <v>0</v>
      </c>
      <c r="C21" s="126">
        <v>25</v>
      </c>
      <c r="D21" s="127">
        <v>659</v>
      </c>
      <c r="E21" s="125">
        <v>2161</v>
      </c>
      <c r="F21" s="126">
        <v>18</v>
      </c>
      <c r="G21" s="127">
        <v>680</v>
      </c>
      <c r="H21" s="125">
        <v>509</v>
      </c>
      <c r="I21" s="133">
        <v>18</v>
      </c>
      <c r="J21" s="127">
        <v>699</v>
      </c>
      <c r="K21" s="125">
        <v>1857</v>
      </c>
      <c r="L21" s="133">
        <v>20</v>
      </c>
      <c r="M21" s="174"/>
      <c r="Q21" s="55"/>
      <c r="R21" s="55"/>
      <c r="S21" s="55"/>
    </row>
    <row r="22" spans="1:19" s="53" customFormat="1" ht="22.15" customHeight="1" thickBot="1">
      <c r="A22" s="129" t="s">
        <v>81</v>
      </c>
      <c r="B22" s="130">
        <v>6984</v>
      </c>
      <c r="C22" s="130">
        <v>18</v>
      </c>
      <c r="D22" s="131">
        <v>660</v>
      </c>
      <c r="E22" s="130">
        <v>5340</v>
      </c>
      <c r="F22" s="132">
        <v>19</v>
      </c>
      <c r="G22" s="131"/>
      <c r="H22" s="130"/>
      <c r="I22" s="132"/>
      <c r="J22" s="131"/>
      <c r="K22" s="130"/>
      <c r="L22" s="132"/>
      <c r="M22" s="175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72"/>
      <c r="B24" s="172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6288</v>
      </c>
      <c r="C26" s="121">
        <v>21</v>
      </c>
      <c r="D26" s="122" t="s">
        <v>76</v>
      </c>
      <c r="E26" s="120">
        <v>7056</v>
      </c>
      <c r="F26" s="121">
        <v>10</v>
      </c>
      <c r="G26" s="119">
        <v>661</v>
      </c>
      <c r="H26" s="120">
        <v>6982</v>
      </c>
      <c r="I26" s="123">
        <v>20</v>
      </c>
      <c r="J26" s="119">
        <v>681</v>
      </c>
      <c r="K26" s="120">
        <v>3292</v>
      </c>
      <c r="L26" s="124">
        <v>20</v>
      </c>
      <c r="M26" s="173"/>
    </row>
    <row r="27" spans="1:19" ht="21.75" customHeight="1">
      <c r="A27" s="119">
        <v>602</v>
      </c>
      <c r="B27" s="120">
        <v>88</v>
      </c>
      <c r="C27" s="121">
        <v>18</v>
      </c>
      <c r="D27" s="122" t="s">
        <v>77</v>
      </c>
      <c r="E27" s="120">
        <v>4651</v>
      </c>
      <c r="F27" s="121">
        <v>18</v>
      </c>
      <c r="G27" s="119">
        <v>662</v>
      </c>
      <c r="H27" s="120">
        <v>5248</v>
      </c>
      <c r="I27" s="123">
        <v>19</v>
      </c>
      <c r="J27" s="119">
        <v>682</v>
      </c>
      <c r="K27" s="120">
        <v>2535</v>
      </c>
      <c r="L27" s="133">
        <v>19</v>
      </c>
      <c r="M27" s="174"/>
    </row>
    <row r="28" spans="1:19" ht="21.75" customHeight="1">
      <c r="A28" s="119">
        <v>603</v>
      </c>
      <c r="B28" s="120">
        <v>5196</v>
      </c>
      <c r="C28" s="121">
        <v>18</v>
      </c>
      <c r="D28" s="122">
        <v>631</v>
      </c>
      <c r="E28" s="120">
        <v>3240</v>
      </c>
      <c r="F28" s="121">
        <v>16</v>
      </c>
      <c r="G28" s="119">
        <v>663</v>
      </c>
      <c r="H28" s="120">
        <v>7349</v>
      </c>
      <c r="I28" s="123">
        <v>20</v>
      </c>
      <c r="J28" s="119">
        <v>683</v>
      </c>
      <c r="K28" s="120">
        <v>1253</v>
      </c>
      <c r="L28" s="133">
        <v>19</v>
      </c>
      <c r="M28" s="174"/>
    </row>
    <row r="29" spans="1:19" ht="21.75" customHeight="1">
      <c r="A29" s="119" t="s">
        <v>78</v>
      </c>
      <c r="B29" s="125">
        <v>3067</v>
      </c>
      <c r="C29" s="126">
        <v>18</v>
      </c>
      <c r="D29" s="127">
        <v>632</v>
      </c>
      <c r="E29" s="125">
        <v>3991</v>
      </c>
      <c r="F29" s="126">
        <v>19</v>
      </c>
      <c r="G29" s="127">
        <v>664</v>
      </c>
      <c r="H29" s="120">
        <v>5474</v>
      </c>
      <c r="I29" s="124">
        <v>19</v>
      </c>
      <c r="J29" s="127">
        <v>684</v>
      </c>
      <c r="K29" s="125">
        <v>4929</v>
      </c>
      <c r="L29" s="133">
        <v>19</v>
      </c>
      <c r="M29" s="174"/>
    </row>
    <row r="30" spans="1:19" ht="21.75" customHeight="1">
      <c r="A30" s="119" t="s">
        <v>79</v>
      </c>
      <c r="B30" s="125">
        <v>1153</v>
      </c>
      <c r="C30" s="126">
        <v>16</v>
      </c>
      <c r="D30" s="127">
        <v>633</v>
      </c>
      <c r="E30" s="125">
        <v>4883</v>
      </c>
      <c r="F30" s="126">
        <v>10</v>
      </c>
      <c r="G30" s="127">
        <v>665</v>
      </c>
      <c r="H30" s="125">
        <v>596</v>
      </c>
      <c r="I30" s="124">
        <v>22</v>
      </c>
      <c r="J30" s="127">
        <v>685</v>
      </c>
      <c r="K30" s="125">
        <v>4723</v>
      </c>
      <c r="L30" s="133">
        <v>19</v>
      </c>
      <c r="M30" s="174"/>
    </row>
    <row r="31" spans="1:19" ht="21.75" customHeight="1">
      <c r="A31" s="119">
        <v>611</v>
      </c>
      <c r="B31" s="125">
        <v>0.08</v>
      </c>
      <c r="C31" s="134">
        <v>25</v>
      </c>
      <c r="D31" s="127">
        <v>634</v>
      </c>
      <c r="E31" s="125">
        <v>6990</v>
      </c>
      <c r="F31" s="126">
        <v>16</v>
      </c>
      <c r="G31" s="127">
        <v>666</v>
      </c>
      <c r="H31" s="125">
        <v>6092</v>
      </c>
      <c r="I31" s="124">
        <v>16</v>
      </c>
      <c r="J31" s="127">
        <v>686</v>
      </c>
      <c r="K31" s="125">
        <v>5541</v>
      </c>
      <c r="L31" s="133">
        <v>20</v>
      </c>
      <c r="M31" s="174"/>
    </row>
    <row r="32" spans="1:19" ht="21.75" customHeight="1">
      <c r="A32" s="119">
        <v>612</v>
      </c>
      <c r="B32" s="125">
        <v>6.59</v>
      </c>
      <c r="C32" s="134">
        <v>25</v>
      </c>
      <c r="D32" s="127">
        <v>641</v>
      </c>
      <c r="E32" s="125">
        <v>4780</v>
      </c>
      <c r="F32" s="126">
        <v>17</v>
      </c>
      <c r="G32" s="127">
        <v>667</v>
      </c>
      <c r="H32" s="125">
        <v>4989</v>
      </c>
      <c r="I32" s="124">
        <v>19</v>
      </c>
      <c r="J32" s="127">
        <v>687</v>
      </c>
      <c r="K32" s="125">
        <v>5073</v>
      </c>
      <c r="L32" s="133">
        <v>20</v>
      </c>
      <c r="M32" s="174"/>
    </row>
    <row r="33" spans="1:13" ht="21.75" customHeight="1">
      <c r="A33" s="119">
        <v>613</v>
      </c>
      <c r="B33" s="125">
        <v>55.61</v>
      </c>
      <c r="C33" s="134">
        <v>25</v>
      </c>
      <c r="D33" s="127">
        <v>642</v>
      </c>
      <c r="E33" s="125">
        <v>4415</v>
      </c>
      <c r="F33" s="126">
        <v>25</v>
      </c>
      <c r="G33" s="127">
        <v>668</v>
      </c>
      <c r="H33" s="125">
        <v>-568</v>
      </c>
      <c r="I33" s="124">
        <v>22</v>
      </c>
      <c r="J33" s="127">
        <v>688</v>
      </c>
      <c r="K33" s="125">
        <v>2846</v>
      </c>
      <c r="L33" s="133">
        <v>21</v>
      </c>
      <c r="M33" s="174"/>
    </row>
    <row r="34" spans="1:13" ht="21.75" customHeight="1">
      <c r="A34" s="119">
        <v>614</v>
      </c>
      <c r="B34" s="125">
        <v>69.69</v>
      </c>
      <c r="C34" s="134">
        <v>25</v>
      </c>
      <c r="D34" s="127">
        <v>643</v>
      </c>
      <c r="E34" s="125">
        <v>5993</v>
      </c>
      <c r="F34" s="126">
        <v>19</v>
      </c>
      <c r="G34" s="127">
        <v>669</v>
      </c>
      <c r="H34" s="125">
        <v>403</v>
      </c>
      <c r="I34" s="124">
        <v>32</v>
      </c>
      <c r="J34" s="127">
        <v>689</v>
      </c>
      <c r="K34" s="125">
        <v>5717</v>
      </c>
      <c r="L34" s="133">
        <v>18</v>
      </c>
      <c r="M34" s="174"/>
    </row>
    <row r="35" spans="1:13" ht="21.75" customHeight="1">
      <c r="A35" s="119">
        <v>621</v>
      </c>
      <c r="B35" s="125">
        <v>792</v>
      </c>
      <c r="C35" s="126">
        <v>19</v>
      </c>
      <c r="D35" s="127">
        <v>645</v>
      </c>
      <c r="E35" s="125">
        <v>5977</v>
      </c>
      <c r="F35" s="126">
        <v>19</v>
      </c>
      <c r="G35" s="127">
        <v>670</v>
      </c>
      <c r="H35" s="125">
        <v>-9900</v>
      </c>
      <c r="I35" s="124">
        <v>32</v>
      </c>
      <c r="J35" s="127">
        <v>690</v>
      </c>
      <c r="K35" s="125">
        <v>626</v>
      </c>
      <c r="L35" s="124">
        <v>18</v>
      </c>
      <c r="M35" s="174"/>
    </row>
    <row r="36" spans="1:13" ht="21.75" customHeight="1">
      <c r="A36" s="119">
        <v>622</v>
      </c>
      <c r="B36" s="125">
        <v>4331</v>
      </c>
      <c r="C36" s="126">
        <v>19</v>
      </c>
      <c r="D36" s="127">
        <v>651</v>
      </c>
      <c r="E36" s="125">
        <v>4551</v>
      </c>
      <c r="F36" s="126">
        <v>19</v>
      </c>
      <c r="G36" s="127">
        <v>671</v>
      </c>
      <c r="H36" s="125">
        <v>0</v>
      </c>
      <c r="I36" s="124">
        <v>20</v>
      </c>
      <c r="J36" s="127">
        <v>691</v>
      </c>
      <c r="K36" s="125">
        <v>1857</v>
      </c>
      <c r="L36" s="133">
        <v>19</v>
      </c>
      <c r="M36" s="174"/>
    </row>
    <row r="37" spans="1:13" ht="21.75" customHeight="1">
      <c r="A37" s="119">
        <v>623</v>
      </c>
      <c r="B37" s="125">
        <v>1739</v>
      </c>
      <c r="C37" s="126">
        <v>24</v>
      </c>
      <c r="D37" s="127">
        <v>652</v>
      </c>
      <c r="E37" s="125">
        <v>3160</v>
      </c>
      <c r="F37" s="126">
        <v>19</v>
      </c>
      <c r="G37" s="127">
        <v>672</v>
      </c>
      <c r="H37" s="125">
        <v>10</v>
      </c>
      <c r="I37" s="124">
        <v>19</v>
      </c>
      <c r="J37" s="127">
        <v>692</v>
      </c>
      <c r="K37" s="125">
        <v>2734</v>
      </c>
      <c r="L37" s="133">
        <v>19</v>
      </c>
      <c r="M37" s="174"/>
    </row>
    <row r="38" spans="1:13" ht="21.75" customHeight="1">
      <c r="A38" s="122">
        <v>624</v>
      </c>
      <c r="B38" s="125">
        <v>1750</v>
      </c>
      <c r="C38" s="126">
        <v>18</v>
      </c>
      <c r="D38" s="128">
        <v>653</v>
      </c>
      <c r="E38" s="125">
        <v>5388</v>
      </c>
      <c r="F38" s="126">
        <v>19</v>
      </c>
      <c r="G38" s="127">
        <v>673</v>
      </c>
      <c r="H38" s="125">
        <v>6949</v>
      </c>
      <c r="I38" s="124">
        <v>18</v>
      </c>
      <c r="J38" s="127">
        <v>693</v>
      </c>
      <c r="K38" s="125">
        <v>5097</v>
      </c>
      <c r="L38" s="133">
        <v>19</v>
      </c>
      <c r="M38" s="174"/>
    </row>
    <row r="39" spans="1:13" ht="21.75" customHeight="1">
      <c r="A39" s="122" t="s">
        <v>80</v>
      </c>
      <c r="B39" s="125">
        <v>7164</v>
      </c>
      <c r="C39" s="126">
        <v>20</v>
      </c>
      <c r="D39" s="127">
        <v>654</v>
      </c>
      <c r="E39" s="125">
        <v>5217</v>
      </c>
      <c r="F39" s="126">
        <v>20</v>
      </c>
      <c r="G39" s="127">
        <v>674</v>
      </c>
      <c r="H39" s="125">
        <v>2142</v>
      </c>
      <c r="I39" s="124">
        <v>17</v>
      </c>
      <c r="J39" s="127">
        <v>694</v>
      </c>
      <c r="K39" s="125">
        <v>178</v>
      </c>
      <c r="L39" s="133">
        <v>19</v>
      </c>
      <c r="M39" s="174"/>
    </row>
    <row r="40" spans="1:13" ht="21.75" customHeight="1">
      <c r="A40" s="122" t="s">
        <v>26</v>
      </c>
      <c r="B40" s="125">
        <v>7119</v>
      </c>
      <c r="C40" s="126">
        <v>23</v>
      </c>
      <c r="D40" s="128">
        <v>655</v>
      </c>
      <c r="E40" s="125">
        <v>5510</v>
      </c>
      <c r="F40" s="126">
        <v>22</v>
      </c>
      <c r="G40" s="127">
        <v>675</v>
      </c>
      <c r="H40" s="125">
        <v>40.36</v>
      </c>
      <c r="I40" s="133">
        <v>25</v>
      </c>
      <c r="J40" s="127">
        <v>695</v>
      </c>
      <c r="K40" s="125">
        <v>4272</v>
      </c>
      <c r="L40" s="133">
        <v>19</v>
      </c>
      <c r="M40" s="174"/>
    </row>
    <row r="41" spans="1:13" ht="21.75" customHeight="1">
      <c r="A41" s="122" t="s">
        <v>27</v>
      </c>
      <c r="B41" s="125">
        <v>6479</v>
      </c>
      <c r="C41" s="126">
        <v>16</v>
      </c>
      <c r="D41" s="127">
        <v>656</v>
      </c>
      <c r="E41" s="125">
        <v>4539</v>
      </c>
      <c r="F41" s="126">
        <v>21</v>
      </c>
      <c r="G41" s="127">
        <v>676</v>
      </c>
      <c r="H41" s="125">
        <v>85.24</v>
      </c>
      <c r="I41" s="133">
        <v>25</v>
      </c>
      <c r="J41" s="127">
        <v>696</v>
      </c>
      <c r="K41" s="125">
        <v>4044</v>
      </c>
      <c r="L41" s="133">
        <v>19</v>
      </c>
      <c r="M41" s="174"/>
    </row>
    <row r="42" spans="1:13" ht="21.75" customHeight="1">
      <c r="A42" s="122" t="s">
        <v>28</v>
      </c>
      <c r="B42" s="125">
        <v>0</v>
      </c>
      <c r="C42" s="126">
        <v>17</v>
      </c>
      <c r="D42" s="127">
        <v>657</v>
      </c>
      <c r="E42" s="125">
        <v>3080</v>
      </c>
      <c r="F42" s="126">
        <v>19</v>
      </c>
      <c r="G42" s="127">
        <v>677</v>
      </c>
      <c r="H42" s="125">
        <v>5.44</v>
      </c>
      <c r="I42" s="133">
        <v>25</v>
      </c>
      <c r="J42" s="127">
        <v>697</v>
      </c>
      <c r="K42" s="125">
        <v>6052</v>
      </c>
      <c r="L42" s="133">
        <v>20</v>
      </c>
      <c r="M42" s="174"/>
    </row>
    <row r="43" spans="1:13" ht="21.75" customHeight="1">
      <c r="A43" s="122" t="s">
        <v>29</v>
      </c>
      <c r="B43" s="125">
        <v>0</v>
      </c>
      <c r="C43" s="126">
        <v>18</v>
      </c>
      <c r="D43" s="128">
        <v>658</v>
      </c>
      <c r="E43" s="125">
        <v>741</v>
      </c>
      <c r="F43" s="126">
        <v>22</v>
      </c>
      <c r="G43" s="127">
        <v>678</v>
      </c>
      <c r="H43" s="125">
        <v>5.1100000000000003</v>
      </c>
      <c r="I43" s="133">
        <v>25</v>
      </c>
      <c r="J43" s="127">
        <v>698</v>
      </c>
      <c r="K43" s="125">
        <v>7119</v>
      </c>
      <c r="L43" s="133">
        <v>48</v>
      </c>
      <c r="M43" s="174"/>
    </row>
    <row r="44" spans="1:13" ht="21.75" customHeight="1">
      <c r="A44" s="122" t="s">
        <v>30</v>
      </c>
      <c r="B44" s="125">
        <v>0</v>
      </c>
      <c r="C44" s="126">
        <v>25</v>
      </c>
      <c r="D44" s="127">
        <v>659</v>
      </c>
      <c r="E44" s="125">
        <v>2171</v>
      </c>
      <c r="F44" s="126">
        <v>19</v>
      </c>
      <c r="G44" s="127">
        <v>680</v>
      </c>
      <c r="H44" s="125">
        <v>508</v>
      </c>
      <c r="I44" s="133">
        <v>20</v>
      </c>
      <c r="J44" s="127">
        <v>699</v>
      </c>
      <c r="K44" s="125">
        <v>1852</v>
      </c>
      <c r="L44" s="133">
        <v>21</v>
      </c>
      <c r="M44" s="174"/>
    </row>
    <row r="45" spans="1:13" ht="21.75" customHeight="1" thickBot="1">
      <c r="A45" s="129" t="s">
        <v>81</v>
      </c>
      <c r="B45" s="130">
        <v>5909</v>
      </c>
      <c r="C45" s="130">
        <v>18</v>
      </c>
      <c r="D45" s="131">
        <v>660</v>
      </c>
      <c r="E45" s="130">
        <v>5342</v>
      </c>
      <c r="F45" s="132">
        <v>19</v>
      </c>
      <c r="G45" s="131"/>
      <c r="H45" s="130"/>
      <c r="I45" s="132"/>
      <c r="J45" s="131"/>
      <c r="K45" s="130"/>
      <c r="L45" s="132"/>
      <c r="M45" s="175"/>
    </row>
    <row r="46" spans="1:13" ht="16.5" thickTop="1"/>
    <row r="100" spans="1:1" ht="25.5" customHeight="1">
      <c r="A100" s="141" t="s">
        <v>639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31 B29:B30 B27 B38 E8 B6:B7 B4 B15">
      <formula1>B4&lt;=9100</formula1>
    </dataValidation>
    <dataValidation type="custom" errorStyle="warning" allowBlank="1" showInputMessage="1" showErrorMessage="1" error="***你在睡喔,醒醒好嗎" sqref="B31:B34 H40:H43 B8:B11 H17:H20">
      <formula1>B8&lt;=100</formula1>
    </dataValidation>
    <dataValidation type="custom" errorStyle="warning" allowBlank="1" showInputMessage="1" showErrorMessage="1" error="***你在睡喔,醒醒好嗎" sqref="E26:E27 B39:B45 E43:E45 H26:H39 E3:E4 B16:B22 E20:E22 H3:H16">
      <formula1>B3&lt;=7400</formula1>
    </dataValidation>
    <dataValidation type="custom" errorStyle="warning" allowBlank="1" showInputMessage="1" showErrorMessage="1" error="***你在睡喔,醒醒好嗎" sqref="E37:E42 E14:E19">
      <formula1>E14&lt;=5500</formula1>
    </dataValidation>
    <dataValidation type="custom" errorStyle="warning" allowBlank="1" showInputMessage="1" showErrorMessage="1" error="***你在睡喔,醒醒好嗎" sqref="H44 K35 H21 K12">
      <formula1>H12&lt;=4100</formula1>
    </dataValidation>
    <dataValidation type="custom" errorStyle="warning" allowBlank="1" showInputMessage="1" showErrorMessage="1" error="***你在睡喔,醒醒好嗎" sqref="E28:E29 B28 K37:K40 B35:B36 B26 E5:E6 B5 K14:K17 B12:B13 B3">
      <formula1>B3&lt;=7000</formula1>
    </dataValidation>
    <dataValidation type="custom" errorStyle="warning" allowBlank="1" showInputMessage="1" showErrorMessage="1" error="***你在睡喔,醒醒好嗎" sqref="K41:K44 K18:K21">
      <formula1>K18&lt;=12000</formula1>
    </dataValidation>
    <dataValidation type="custom" errorStyle="warning" allowBlank="1" showInputMessage="1" showErrorMessage="1" error="***你在睡喔,醒醒好嗎" sqref="B37 E30 K13 E36 K26:K30 K32:K33 K36 B14 E7 E9:E10 E13 K3:K7 K9:K10 E32:E33">
      <formula1>B3&lt;=5600</formula1>
    </dataValidation>
    <dataValidation type="custom" errorStyle="warning" allowBlank="1" showInputMessage="1" showErrorMessage="1" error="***你在睡喔,醒醒好嗎" sqref="K34 K31 K11 K8">
      <formula1>K8&lt;=5700</formula1>
    </dataValidation>
    <dataValidation type="custom" errorStyle="warning" allowBlank="1" showInputMessage="1" showErrorMessage="1" error="***你在睡喔,醒醒好嗎" sqref="E35 E12">
      <formula1>E12&lt;=6000</formula1>
    </dataValidation>
    <dataValidation type="custom" errorStyle="warning" allowBlank="1" showInputMessage="1" showErrorMessage="1" error="***你在睡喔,醒醒好嗎" sqref="E34 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5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1" r:id="rId4" name="CommandButton1">
          <controlPr autoLine="0" r:id="rId5">
            <anchor moveWithCells="1">
              <from>
                <xdr:col>13</xdr:col>
                <xdr:colOff>28575</xdr:colOff>
                <xdr:row>15</xdr:row>
                <xdr:rowOff>200025</xdr:rowOff>
              </from>
              <to>
                <xdr:col>15</xdr:col>
                <xdr:colOff>276225</xdr:colOff>
                <xdr:row>22</xdr:row>
                <xdr:rowOff>428625</xdr:rowOff>
              </to>
            </anchor>
          </controlPr>
        </control>
      </mc:Choice>
      <mc:Fallback>
        <control shapeId="2247681" r:id="rId4" name="CommandButton1"/>
      </mc:Fallback>
    </mc:AlternateContent>
    <mc:AlternateContent xmlns:mc="http://schemas.openxmlformats.org/markup-compatibility/2006">
      <mc:Choice Requires="x14">
        <control shapeId="2247682" r:id="rId6" name="CommandButton2">
          <controlPr autoLine="0" r:id="rId7">
            <anchor moveWithCells="1">
              <from>
                <xdr:col>13</xdr:col>
                <xdr:colOff>19050</xdr:colOff>
                <xdr:row>25</xdr:row>
                <xdr:rowOff>57150</xdr:rowOff>
              </from>
              <to>
                <xdr:col>15</xdr:col>
                <xdr:colOff>323850</xdr:colOff>
                <xdr:row>31</xdr:row>
                <xdr:rowOff>257175</xdr:rowOff>
              </to>
            </anchor>
          </controlPr>
        </control>
      </mc:Choice>
      <mc:Fallback>
        <control shapeId="2247682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2" activePane="bottomLeft" state="frozen"/>
      <selection activeCell="K12" sqref="K12"/>
      <selection pane="bottomLeft" activeCell="A61" sqref="A61:XFD61"/>
    </sheetView>
  </sheetViews>
  <sheetFormatPr defaultColWidth="9" defaultRowHeight="17.25"/>
  <cols>
    <col min="1" max="1" width="9.5" style="47" customWidth="1"/>
    <col min="2" max="10" width="10.625" style="47" customWidth="1"/>
    <col min="11" max="12" width="10.625" style="6" customWidth="1"/>
    <col min="13" max="13" width="10.625" style="50" customWidth="1"/>
    <col min="14" max="16" width="10.625" style="6" customWidth="1"/>
    <col min="17" max="17" width="12.875" style="47" customWidth="1"/>
    <col min="18" max="18" width="10.625" style="6" customWidth="1"/>
    <col min="19" max="19" width="10.625" style="47" customWidth="1"/>
    <col min="20" max="20" width="10.625" style="6" customWidth="1"/>
    <col min="21" max="21" width="10.625" style="51" customWidth="1"/>
    <col min="22" max="23" width="9.875" style="6" bestFit="1" customWidth="1"/>
    <col min="24" max="24" width="15.5" style="6" bestFit="1" customWidth="1"/>
    <col min="25" max="16384" width="9" style="6"/>
  </cols>
  <sheetData>
    <row r="1" spans="1:24" ht="49.15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5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5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5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8.75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8.75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8.75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8.75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8.75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8.75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8.75" thickTop="1" thickBot="1">
      <c r="A53" s="48">
        <v>52</v>
      </c>
      <c r="I53" s="47">
        <v>1.0121</v>
      </c>
      <c r="U53" s="8"/>
    </row>
    <row r="54" spans="1:24" ht="18.75" thickTop="1" thickBot="1">
      <c r="A54" s="48">
        <v>53</v>
      </c>
      <c r="I54" s="47">
        <v>1.0109999999999999</v>
      </c>
      <c r="U54" s="8"/>
    </row>
    <row r="55" spans="1:24" ht="18.75" thickTop="1" thickBot="1">
      <c r="A55" s="48">
        <v>54</v>
      </c>
      <c r="I55" s="47">
        <v>1.0098</v>
      </c>
      <c r="U55" s="8"/>
    </row>
    <row r="56" spans="1:24" ht="18.75" thickTop="1" thickBot="1">
      <c r="A56" s="48">
        <v>55</v>
      </c>
      <c r="I56" s="47">
        <v>1.0086999999999999</v>
      </c>
      <c r="U56" s="8"/>
    </row>
    <row r="57" spans="1:24" ht="18.75" thickTop="1" thickBot="1">
      <c r="A57" s="48">
        <v>56</v>
      </c>
      <c r="I57" s="47">
        <v>1.0076000000000001</v>
      </c>
      <c r="U57" s="8"/>
    </row>
    <row r="58" spans="1:24" ht="18.75" thickTop="1" thickBot="1">
      <c r="A58" s="48">
        <v>57</v>
      </c>
      <c r="I58" s="47">
        <v>1.0065</v>
      </c>
      <c r="U58" s="8"/>
    </row>
    <row r="59" spans="1:24" ht="18.75" thickTop="1" thickBot="1">
      <c r="A59" s="48">
        <v>58</v>
      </c>
      <c r="I59" s="47">
        <v>1.0054000000000001</v>
      </c>
      <c r="U59" s="8"/>
    </row>
    <row r="60" spans="1:24" ht="18.75" thickTop="1" thickBot="1">
      <c r="A60" s="48">
        <v>59</v>
      </c>
      <c r="I60" s="47">
        <v>1.0042</v>
      </c>
      <c r="U60" s="8"/>
    </row>
    <row r="61" spans="1:24" ht="18.75" thickTop="1" thickBot="1">
      <c r="A61" s="48">
        <v>60</v>
      </c>
      <c r="I61" s="47">
        <v>1.0031000000000001</v>
      </c>
      <c r="U61" s="8"/>
    </row>
    <row r="62" spans="1:24" ht="1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2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6">
    <pageSetUpPr fitToPage="1"/>
  </sheetPr>
  <dimension ref="A1:CU223"/>
  <sheetViews>
    <sheetView view="pageBreakPreview" topLeftCell="A2" zoomScale="70" zoomScaleNormal="100" zoomScaleSheetLayoutView="70" workbookViewId="0">
      <selection activeCell="W35" sqref="W3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46022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70" t="s" ph="1">
        <v>633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44" t="s" ph="1">
        <v>177</v>
      </c>
      <c r="D6" s="71">
        <v>6651</v>
      </c>
      <c r="E6" s="71">
        <v>50</v>
      </c>
      <c r="F6" s="71">
        <v>2442</v>
      </c>
      <c r="G6" s="71">
        <v>2793</v>
      </c>
      <c r="H6" s="71">
        <v>1484</v>
      </c>
      <c r="I6" s="71">
        <v>14.11</v>
      </c>
      <c r="J6" s="71">
        <v>6.61</v>
      </c>
      <c r="K6" s="71">
        <v>7.42</v>
      </c>
      <c r="L6" s="71">
        <v>31.92</v>
      </c>
      <c r="M6" s="71">
        <v>2669</v>
      </c>
      <c r="N6" s="71">
        <v>6617</v>
      </c>
      <c r="O6" s="71">
        <v>3298</v>
      </c>
      <c r="P6" s="71">
        <v>1228</v>
      </c>
      <c r="Q6" s="71">
        <v>7164</v>
      </c>
      <c r="R6" s="71">
        <v>7118</v>
      </c>
      <c r="S6" s="71">
        <v>3605</v>
      </c>
      <c r="T6" s="71">
        <v>2819</v>
      </c>
      <c r="U6" s="71">
        <v>0</v>
      </c>
      <c r="V6" s="71">
        <v>0</v>
      </c>
      <c r="W6" s="71">
        <v>1318</v>
      </c>
      <c r="X6" s="71">
        <v>7121</v>
      </c>
      <c r="Y6" s="71">
        <v>4861</v>
      </c>
      <c r="Z6" s="71">
        <v>2238</v>
      </c>
      <c r="AA6" s="71">
        <v>2888</v>
      </c>
      <c r="AB6" s="71">
        <v>3074</v>
      </c>
      <c r="AC6" s="71">
        <v>9353</v>
      </c>
      <c r="AD6" s="71">
        <v>4780</v>
      </c>
      <c r="AE6" s="71">
        <v>3695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209936.58751359</v>
      </c>
      <c r="E7" s="73" ph="1">
        <f>E6*51.53*LOOKUP(E8,密度!$A$2:$A$50,密度!$B$2:$B$50)</f>
        <v>2024.3560499999999</v>
      </c>
      <c r="F7" s="73" ph="1">
        <f>F6*33.183*LOOKUP(F8,密度!$A$2:$A$50,密度!$C$2:$C$50)</f>
        <v>90262.531715399993</v>
      </c>
      <c r="G7" s="73" ph="1">
        <f xml:space="preserve"> (G6+2)*51.53*LOOKUP(G8,密度!$A$2:$A$50,密度!$B$2:$B$50)</f>
        <v>113161.503195</v>
      </c>
      <c r="H7" s="73" ph="1">
        <f>(H6)*51.53*LOOKUP(H8,密度!$A$2:$A$50,密度!$B$2:$B$50)</f>
        <v>60197.593344000001</v>
      </c>
      <c r="I7" s="73" ph="1">
        <f>I6*290.8*1.0267</f>
        <v>4212.7431195999998</v>
      </c>
      <c r="J7" s="73" ph="1">
        <f>J6*290.8*0.7892</f>
        <v>1516.9907696</v>
      </c>
      <c r="K7" s="73" ph="1">
        <f>K6*290.8*1.1126</f>
        <v>2400.6970735999998</v>
      </c>
      <c r="L7" s="73" ph="1">
        <f>L6*290.8*0.777</f>
        <v>7212.3750720000007</v>
      </c>
      <c r="M7" s="73" ph="1">
        <f>M6*33.183*LOOKUP(M8,密度!$A$2:$A$50,密度!$D$2:$D$50)</f>
        <v>91417.233749399995</v>
      </c>
      <c r="N7" s="73" ph="1">
        <f>N6*33.183*LOOKUP(N8,密度!$A$2:$A$50,密度!$E$2:$E$50)</f>
        <v>173286.15216120001</v>
      </c>
      <c r="O7" s="73" ph="1">
        <f>O6*20.428*LOOKUP(O8,密度!$A$2:$A$50,密度!$C$2:$C$50)</f>
        <v>74809.362457600015</v>
      </c>
      <c r="P7" s="73" ph="1">
        <f>P6*51.53*LOOKUP(P8,密度!$A$2:$A$50,密度!$B$2:$B$50)</f>
        <v>49667.561516000009</v>
      </c>
      <c r="Q7" s="73" ph="1">
        <f>Q6*1.5*1.5*3.1416*LOOKUP(W8,密度!$A$2:$A$50,密度!$L$2:$L$50)</f>
        <v>47702.362276799999</v>
      </c>
      <c r="R7" s="73" ph="1">
        <f>R6*1.5*1.5*3.1416*LOOKUP(R8,密度!$A$2:$A$50,密度!$L$2:$L$50)</f>
        <v>47194.808522399995</v>
      </c>
      <c r="S7" s="73" ph="1">
        <f>S6*1.5*1.5*3.1416*LOOKUP(S8,密度!$A$2:$A$50,密度!$L$2:$L$50)</f>
        <v>24131.740941</v>
      </c>
      <c r="T7" s="73" ph="1">
        <f>T6*1.5*1.5*3.1416*LOOKUP(T8,密度!$A$2:$A$50,密度!$L$2:$L$50)</f>
        <v>18870.285079799996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8776.0627416000007</v>
      </c>
      <c r="X7" s="73" ph="1">
        <f>X6*1.5*1.5*3.1416*LOOKUP(X8,密度!$A$2:$A$50,密度!$L$2:$L$50)</f>
        <v>47667.7190682</v>
      </c>
      <c r="Y7" s="73" ph="1">
        <f>Y6*1.5*1.5*3.1416*LOOKUP(Y8,密度!$A$2:$A$50,密度!$L$2:$L$50)</f>
        <v>32401.918117799996</v>
      </c>
      <c r="Z7" s="73" ph="1">
        <f>Z6*33.183*LOOKUP(Z8,密度!$A$2:$A$50,密度!$L$2:$L$50)</f>
        <v>70104.794976000005</v>
      </c>
      <c r="AA7" s="73" ph="1">
        <f>AA6*33.183*LOOKUP(AA8,密度!$A$2:$A$50,密度!$D$2:$D$50)</f>
        <v>99081.225885600012</v>
      </c>
      <c r="AB7" s="73" ph="1">
        <f>AB6*20.428*LOOKUP(AB8,密度!$A$2:$A$50,密度!$D$2:$D$50)</f>
        <v>65144.23013280001</v>
      </c>
      <c r="AC7" s="73" ph="1">
        <f>AC6*51.53*LOOKUP(AC8,密度!$A$2:$A$50,密度!$Q$2:$Q$50)</f>
        <v>458454.89641070005</v>
      </c>
      <c r="AD7" s="73" ph="1">
        <f>AD6*20.428*LOOKUP(AD8,密度!$A$2:$A$50,密度!$V$2:$V$50)</f>
        <v>94130.589760000003</v>
      </c>
      <c r="AE7" s="73" ph="1">
        <f>AE6*20.428</f>
        <v>75481.460000000006</v>
      </c>
    </row>
    <row r="8" spans="1:99" ph="1">
      <c r="B8" s="191" ph="1"/>
      <c r="C8" s="68" t="s" ph="1">
        <v>179</v>
      </c>
      <c r="D8" s="74">
        <v>19</v>
      </c>
      <c r="E8" s="74">
        <v>18</v>
      </c>
      <c r="F8" s="74">
        <v>18</v>
      </c>
      <c r="G8" s="74">
        <v>18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19</v>
      </c>
      <c r="N8" s="74">
        <v>20</v>
      </c>
      <c r="O8" s="74">
        <v>23</v>
      </c>
      <c r="P8" s="74">
        <v>19</v>
      </c>
      <c r="Q8" s="74">
        <v>20</v>
      </c>
      <c r="R8" s="74">
        <v>24</v>
      </c>
      <c r="S8" s="74">
        <v>15</v>
      </c>
      <c r="T8" s="74">
        <v>15</v>
      </c>
      <c r="U8" s="74">
        <v>18</v>
      </c>
      <c r="V8" s="74">
        <v>20</v>
      </c>
      <c r="W8" s="74">
        <v>20</v>
      </c>
      <c r="X8" s="74">
        <v>15</v>
      </c>
      <c r="Y8" s="74">
        <v>19</v>
      </c>
      <c r="Z8" s="74">
        <v>18</v>
      </c>
      <c r="AA8" s="74">
        <v>17</v>
      </c>
      <c r="AB8" s="74">
        <v>13</v>
      </c>
      <c r="AC8" s="74">
        <v>19</v>
      </c>
      <c r="AD8" s="74">
        <v>17</v>
      </c>
      <c r="AE8" s="74">
        <v>19</v>
      </c>
    </row>
    <row r="9" spans="1:99" ph="1">
      <c r="B9" s="191" ph="1">
        <v>0.66666666666666663</v>
      </c>
      <c r="C9" s="144" t="s" ph="1">
        <v>180</v>
      </c>
      <c r="D9" s="71">
        <v>6651</v>
      </c>
      <c r="E9" s="71">
        <v>0</v>
      </c>
      <c r="F9" s="71">
        <v>2442</v>
      </c>
      <c r="G9" s="71">
        <v>2540</v>
      </c>
      <c r="H9" s="71">
        <v>2135</v>
      </c>
      <c r="I9" s="71">
        <v>14.11</v>
      </c>
      <c r="J9" s="71">
        <v>6.62</v>
      </c>
      <c r="K9" s="71">
        <v>7.42</v>
      </c>
      <c r="L9" s="71">
        <v>27.9</v>
      </c>
      <c r="M9" s="71">
        <v>2669</v>
      </c>
      <c r="N9" s="71">
        <v>6512</v>
      </c>
      <c r="O9" s="71">
        <v>3298</v>
      </c>
      <c r="P9" s="71">
        <v>877</v>
      </c>
      <c r="Q9" s="71">
        <v>7167</v>
      </c>
      <c r="R9" s="71">
        <v>7120</v>
      </c>
      <c r="S9" s="71">
        <v>6185</v>
      </c>
      <c r="T9" s="71">
        <v>7154</v>
      </c>
      <c r="U9" s="71">
        <v>155</v>
      </c>
      <c r="V9" s="71">
        <v>0</v>
      </c>
      <c r="W9" s="71">
        <v>0</v>
      </c>
      <c r="X9" s="71">
        <v>4667</v>
      </c>
      <c r="Y9" s="71">
        <v>4863</v>
      </c>
      <c r="Z9" s="71">
        <v>3085</v>
      </c>
      <c r="AA9" s="71">
        <v>2885</v>
      </c>
      <c r="AB9" s="71">
        <v>3073</v>
      </c>
      <c r="AC9" s="71">
        <v>9353</v>
      </c>
      <c r="AD9" s="71">
        <v>4780</v>
      </c>
      <c r="AE9" s="71">
        <v>3591</v>
      </c>
    </row>
    <row r="10" spans="1:99" s="72" customFormat="1" ht="22.5" ph="1">
      <c r="B10" s="191" ph="1"/>
      <c r="C10" s="144" t="s" ph="1">
        <v>178</v>
      </c>
      <c r="D10" s="73" ph="1">
        <f>D9*33.183*LOOKUP(D11,密度!$A$2:$A$50,密度!$Q$2:$Q$50)</f>
        <v>209936.58751359</v>
      </c>
      <c r="E10" s="73" ph="1">
        <f>E9*51.53*LOOKUP(E11,密度!$A$2:$A$50,密度!$B$2:$B$50)</f>
        <v>0</v>
      </c>
      <c r="F10" s="73" ph="1">
        <f>F9*33.183*LOOKUP(F11,密度!$A$2:$A$50,密度!$C$2:$C$50)</f>
        <v>90311.151446999997</v>
      </c>
      <c r="G10" s="73" ph="1">
        <f xml:space="preserve"> (G9+2)*51.53*LOOKUP(G11,密度!$A$2:$A$50,密度!$B$2:$B$50)</f>
        <v>102813.47017400002</v>
      </c>
      <c r="H10" s="73" ph="1">
        <f>(H9)*51.53*LOOKUP(H11,密度!$A$2:$A$50,密度!$B$2:$B$50)</f>
        <v>86517.014920000001</v>
      </c>
      <c r="I10" s="73" ph="1">
        <f>I9*290.8*1.0267</f>
        <v>4212.7431195999998</v>
      </c>
      <c r="J10" s="73" ph="1">
        <f>J9*290.8*0.7892</f>
        <v>1519.2857632</v>
      </c>
      <c r="K10" s="73" ph="1">
        <f>K9*290.8*1.1126</f>
        <v>2400.6970735999998</v>
      </c>
      <c r="L10" s="73" ph="1">
        <f>L9*290.8*0.777</f>
        <v>6304.0496400000002</v>
      </c>
      <c r="M10" s="73" ph="1">
        <f>M9*33.183*LOOKUP(M11,密度!$A$2:$A$50,密度!$D$2:$D$50)</f>
        <v>91346.3814078</v>
      </c>
      <c r="N10" s="73" ph="1">
        <f>N9*33.183*LOOKUP(N11,密度!$A$2:$A$50,密度!$E$2:$E$50)</f>
        <v>170536.40968320001</v>
      </c>
      <c r="O10" s="73" ph="1">
        <f>O9*20.428*LOOKUP(O11,密度!$A$2:$A$50,密度!$C$2:$C$50)</f>
        <v>74809.362457600015</v>
      </c>
      <c r="P10" s="73" ph="1">
        <f>P9*51.53*LOOKUP(P11,密度!$A$2:$A$50,密度!$B$2:$B$50)</f>
        <v>35353.552962999995</v>
      </c>
      <c r="Q10" s="73" ph="1">
        <f>Q9*1.5*1.5*3.1416*LOOKUP(W11,密度!$A$2:$A$50,密度!$L$2:$L$50)</f>
        <v>47570.356171799998</v>
      </c>
      <c r="R10" s="73" ph="1">
        <f>R9*1.5*1.5*3.1416*LOOKUP(R11,密度!$A$2:$A$50,密度!$L$2:$L$50)</f>
        <v>47208.069215999996</v>
      </c>
      <c r="S10" s="73" ph="1">
        <f>S9*1.5*1.5*3.1416*LOOKUP(S11,密度!$A$2:$A$50,密度!$L$2:$L$50)</f>
        <v>41271.010703999993</v>
      </c>
      <c r="T10" s="73" ph="1">
        <f>T9*1.5*1.5*3.1416*LOOKUP(T11,密度!$A$2:$A$50,密度!$L$2:$L$50)</f>
        <v>47787.482358000001</v>
      </c>
      <c r="U10" s="73" ph="1">
        <f>U9*1.5*1.5*3.1416*LOOKUP(U11,密度!$A$2:$A$50,密度!$L$2:$L$50)</f>
        <v>1032.086286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31207.741765199997</v>
      </c>
      <c r="Y10" s="73" ph="1">
        <f>Y9*1.5*1.5*3.1416*LOOKUP(Y11,密度!$A$2:$A$50,密度!$L$2:$L$50)</f>
        <v>32415.249497399996</v>
      </c>
      <c r="Z10" s="73" ph="1">
        <f>Z9*33.183*LOOKUP(Z11,密度!$A$2:$A$50,密度!$L$2:$L$50)</f>
        <v>96534.490364999991</v>
      </c>
      <c r="AA10" s="73" ph="1">
        <f>AA9*33.183*LOOKUP(AA11,密度!$A$2:$A$50,密度!$D$2:$D$50)</f>
        <v>98815.556150999997</v>
      </c>
      <c r="AB10" s="73" ph="1">
        <f>AB9*20.428*LOOKUP(AB11,密度!$A$2:$A$50,密度!$D$2:$D$50)</f>
        <v>65123.038125600011</v>
      </c>
      <c r="AC10" s="73" ph="1">
        <f>AC9*51.53*LOOKUP(AC11,密度!$A$2:$A$50,密度!$Q$2:$Q$50)</f>
        <v>458454.89641070005</v>
      </c>
      <c r="AD10" s="73" ph="1">
        <f>AD9*20.428*LOOKUP(AD11,密度!$A$2:$A$50,密度!$V$2:$V$50)</f>
        <v>93818.123072000002</v>
      </c>
      <c r="AE10" s="73" ph="1">
        <f>AE9*20.428</f>
        <v>73356.948000000004</v>
      </c>
    </row>
    <row r="11" spans="1:99" ph="1">
      <c r="A11" s="64" t="s" ph="1">
        <v>162</v>
      </c>
      <c r="B11" s="191" ph="1"/>
      <c r="C11" s="144" t="s" ph="1">
        <v>179</v>
      </c>
      <c r="D11" s="74">
        <v>19</v>
      </c>
      <c r="E11" s="74">
        <v>20</v>
      </c>
      <c r="F11" s="74">
        <v>17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20</v>
      </c>
      <c r="O11" s="74">
        <v>23</v>
      </c>
      <c r="P11" s="74">
        <v>22</v>
      </c>
      <c r="Q11" s="74">
        <v>22</v>
      </c>
      <c r="R11" s="74">
        <v>24</v>
      </c>
      <c r="S11" s="74">
        <v>18</v>
      </c>
      <c r="T11" s="74">
        <v>17</v>
      </c>
      <c r="U11" s="74">
        <v>20</v>
      </c>
      <c r="V11" s="74">
        <v>25</v>
      </c>
      <c r="W11" s="74">
        <v>23</v>
      </c>
      <c r="X11" s="74">
        <v>16</v>
      </c>
      <c r="Y11" s="74">
        <v>19</v>
      </c>
      <c r="Z11" s="74">
        <v>19</v>
      </c>
      <c r="AA11" s="74">
        <v>19</v>
      </c>
      <c r="AB11" s="74">
        <v>13</v>
      </c>
      <c r="AC11" s="74">
        <v>19</v>
      </c>
      <c r="AD11" s="74">
        <v>23</v>
      </c>
      <c r="AE11" s="74">
        <v>20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4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0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633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38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636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44" t="s" ph="1">
        <v>177</v>
      </c>
      <c r="D15" s="78">
        <v>3656</v>
      </c>
      <c r="E15" s="78">
        <v>6061</v>
      </c>
      <c r="F15" s="78">
        <v>3114</v>
      </c>
      <c r="G15" s="78">
        <v>5505</v>
      </c>
      <c r="H15" s="78">
        <v>5387</v>
      </c>
      <c r="I15" s="78">
        <v>3672</v>
      </c>
      <c r="J15" s="78">
        <v>3713</v>
      </c>
      <c r="K15" s="78">
        <v>2383</v>
      </c>
      <c r="L15" s="78">
        <v>932</v>
      </c>
      <c r="M15" s="78">
        <v>5549</v>
      </c>
      <c r="N15" s="78">
        <v>2973</v>
      </c>
      <c r="O15" s="78">
        <v>39</v>
      </c>
      <c r="P15" s="78">
        <v>0</v>
      </c>
      <c r="Q15" s="78">
        <v>1386</v>
      </c>
      <c r="R15" s="78">
        <v>7359</v>
      </c>
      <c r="S15" s="78">
        <v>6407</v>
      </c>
      <c r="T15" s="78">
        <v>2212</v>
      </c>
      <c r="U15" s="78">
        <v>5371</v>
      </c>
      <c r="V15" s="78">
        <v>-817</v>
      </c>
      <c r="W15" s="71">
        <v>-817</v>
      </c>
      <c r="X15" s="78">
        <v>665</v>
      </c>
      <c r="Y15" s="106">
        <v>-9903</v>
      </c>
      <c r="Z15" s="78">
        <v>0</v>
      </c>
      <c r="AA15" s="78">
        <v>12</v>
      </c>
      <c r="AB15" s="78" ph="1">
        <v>1530</v>
      </c>
      <c r="AC15" s="78" ph="1">
        <v>30</v>
      </c>
      <c r="AD15" s="78">
        <v>30.61</v>
      </c>
      <c r="AE15" s="78">
        <v>5.62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44" t="s" ph="1">
        <v>178</v>
      </c>
      <c r="D16" s="73" ph="1">
        <f>D15*7.0686*LOOKUP(D17,密度!$A$2:$A$50,密度!$L$2:$L$50)</f>
        <v>24369.761908799999</v>
      </c>
      <c r="E16" s="73" ph="1">
        <f>E15*7.0686*LOOKUP(E17,密度!$A$2:$A$50,密度!$L$2:$L$50)</f>
        <v>40357.903093199995</v>
      </c>
      <c r="F16" s="73" ph="1">
        <f>F15*9.0746*LOOKUP(F17,密度!$A$2:$A$50,密度!$L$2:$L$50)</f>
        <v>26534.547831600001</v>
      </c>
      <c r="G16" s="73" ph="1">
        <f>G15*9.0746*LOOKUP(G17,密度!$A$2:$A$50,密度!$B$2:$B$50)</f>
        <v>39250.172276099998</v>
      </c>
      <c r="H16" s="73" ph="1">
        <f>H15*9.0746*LOOKUP(H17,密度!$A$2:$A$50,密度!$L$2:$L$50)</f>
        <v>46245.087209199992</v>
      </c>
      <c r="I16" s="73" ph="1">
        <f>I15*9.0746*LOOKUP(I17,密度!$A$2:$A$50,密度!$U$2:$U$50)</f>
        <v>34254.945273600002</v>
      </c>
      <c r="J16" s="73" ph="1">
        <f>J15*9.0746*LOOKUP(J17,密度!$A$2:$A$50,密度!$L$2:$L$50)</f>
        <v>31739.7383916</v>
      </c>
      <c r="K16" s="73" ph="1">
        <f>K15*9.0746*LOOKUP(K17,密度!$A$2:$A$50,密度!$C$2:$C$50)</f>
        <v>24087.833308019999</v>
      </c>
      <c r="L16" s="73" ph="1">
        <f>L15*9.0746*LOOKUP(L17,密度!$A$2:$A$50,密度!$E$2:$E$50)</f>
        <v>6693.28702608</v>
      </c>
      <c r="M16" s="73" ph="1">
        <f>M15*9.0746*LOOKUP(M17,密度!$A$2:$A$50,密度!$M$2:$M$50)</f>
        <v>44327.467238619996</v>
      </c>
      <c r="N16" s="73" ph="1">
        <f>N15*9.0746*LOOKUP(N17,密度!$A$2:$A$50,密度!$M$2:$M$50)</f>
        <v>23749.42513974</v>
      </c>
      <c r="O16" s="73" ph="1">
        <f>O15*9.0746*LOOKUP(O17,密度!$A$2:$A$50,密度!$G$2:$G$50)</f>
        <v>341.84108945999998</v>
      </c>
      <c r="P16" s="73" ph="1">
        <f ca="1">P15*9.0746*LOOKUP(P17,密度!$A$2:$A$51,密度!$Q$2:$Q$50)</f>
        <v>0</v>
      </c>
      <c r="Q16" s="73" ph="1">
        <f>Q15*9.0746*LOOKUP(Q17,密度!$A$2:$A$50,密度!$Q$2:$Q$50)</f>
        <v>11983.74252768</v>
      </c>
      <c r="R16" s="73" ph="1">
        <f>MAX(R15*9.0746*LOOKUP(R17,密度!$A$2:$A$50,密度!$B$2:$B$50),0)</f>
        <v>52362.183415740008</v>
      </c>
      <c r="S16" s="73" ph="1">
        <f>S15*9.0746*LOOKUP(S17,密度!$A$2:$A$50,密度!$Q$2:$Q$50)</f>
        <v>55350.777424022002</v>
      </c>
      <c r="T16" s="73" ph="1">
        <f>T15*9.0746*LOOKUP(T17,密度!$A$2:$A$50,密度!$O$2:$O$50)</f>
        <v>18748.196196800003</v>
      </c>
      <c r="U16" s="73" ph="1">
        <f>U15*9.0746*LOOKUP(U17,密度!$A$2:$A$50,密度!$H$2:$H$50)</f>
        <v>44972.099598819994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12095.260144799999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85.635185280000002</v>
      </c>
      <c r="AB16" s="73" ph="1">
        <f>AB15*9.0746*LOOKUP(AB17,密度!$A$2:$A$50,密度!$L$2:$L$50)</f>
        <v>13092.742134</v>
      </c>
      <c r="AC16" s="73" ph="1">
        <f>AC15*9.0746*LOOKUP(AC17,密度!$A$2:$A$50,密度!$L$2:$L$50)</f>
        <v>257.26490999999999</v>
      </c>
      <c r="AD16" s="73" ph="1">
        <f>AD15*268.68*LOOKUP(AD17,密度!$A$2:$A$50,密度!B2:B50)+IF(AD15&lt;=0,0,1566*LOOKUP(AD17,密度!$A$2:$A$50,密度!B2:B50))</f>
        <v>7632.5138260799995</v>
      </c>
      <c r="AE16" s="73" ph="1">
        <f>AE15*268.68*LOOKUP(AE17,密度!$A$2:$A$50,密度!B2:B50)+IF(AE15&lt;=0,0,1566*LOOKUP(AE17,密度!$A$2:$A$50,密度!B2:B50))</f>
        <v>2398.0352553599996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19</v>
      </c>
      <c r="E17" s="74">
        <v>20</v>
      </c>
      <c r="F17" s="74">
        <v>23</v>
      </c>
      <c r="G17" s="74">
        <v>18</v>
      </c>
      <c r="H17" s="74">
        <v>16</v>
      </c>
      <c r="I17" s="74">
        <v>17</v>
      </c>
      <c r="J17" s="74">
        <v>20</v>
      </c>
      <c r="K17" s="74">
        <v>18</v>
      </c>
      <c r="L17" s="74">
        <v>18</v>
      </c>
      <c r="M17" s="74">
        <v>20</v>
      </c>
      <c r="N17" s="74">
        <v>19</v>
      </c>
      <c r="O17" s="74">
        <v>20</v>
      </c>
      <c r="P17" s="74">
        <v>18</v>
      </c>
      <c r="Q17" s="74">
        <v>17</v>
      </c>
      <c r="R17" s="74">
        <v>20</v>
      </c>
      <c r="S17" s="74">
        <v>18</v>
      </c>
      <c r="T17" s="74">
        <v>18</v>
      </c>
      <c r="U17" s="74">
        <v>17</v>
      </c>
      <c r="V17" s="74">
        <v>19</v>
      </c>
      <c r="W17" s="74">
        <v>19</v>
      </c>
      <c r="X17" s="74">
        <v>26</v>
      </c>
      <c r="Y17" s="108">
        <v>26</v>
      </c>
      <c r="Z17" s="74">
        <v>19</v>
      </c>
      <c r="AA17" s="74">
        <v>17</v>
      </c>
      <c r="AB17" s="74">
        <v>19</v>
      </c>
      <c r="AC17" s="74">
        <v>17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3312</v>
      </c>
      <c r="E18" s="71">
        <v>6062</v>
      </c>
      <c r="F18" s="71">
        <v>3110</v>
      </c>
      <c r="G18" s="71">
        <v>3508</v>
      </c>
      <c r="H18" s="71">
        <v>5388</v>
      </c>
      <c r="I18" s="71">
        <v>3674</v>
      </c>
      <c r="J18" s="71">
        <v>4990</v>
      </c>
      <c r="K18" s="71">
        <v>2383</v>
      </c>
      <c r="L18" s="71">
        <v>932</v>
      </c>
      <c r="M18" s="71">
        <v>2591</v>
      </c>
      <c r="N18" s="71">
        <v>2974</v>
      </c>
      <c r="O18" s="71">
        <v>0</v>
      </c>
      <c r="P18" s="71">
        <v>0</v>
      </c>
      <c r="Q18" s="71">
        <v>54</v>
      </c>
      <c r="R18" s="71">
        <v>7366</v>
      </c>
      <c r="S18" s="71">
        <v>6410</v>
      </c>
      <c r="T18" s="71">
        <v>2213</v>
      </c>
      <c r="U18" s="71">
        <v>5373</v>
      </c>
      <c r="V18" s="71">
        <v>-817</v>
      </c>
      <c r="W18" s="71">
        <v>-817</v>
      </c>
      <c r="X18" s="71">
        <v>662</v>
      </c>
      <c r="Y18" s="109">
        <v>-9903</v>
      </c>
      <c r="Z18" s="71">
        <v>0</v>
      </c>
      <c r="AA18" s="71">
        <v>11</v>
      </c>
      <c r="AB18" s="71">
        <v>1531</v>
      </c>
      <c r="AC18" s="71">
        <v>0</v>
      </c>
      <c r="AD18" s="71">
        <v>80.91</v>
      </c>
      <c r="AE18" s="71">
        <v>5.61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44" t="s" ph="1">
        <v>178</v>
      </c>
      <c r="D19" s="73" ph="1">
        <f>D18*7.0686*LOOKUP(D20,密度!$A$2:$A$50,密度!$L$2:$L$50)</f>
        <v>22053.3534144</v>
      </c>
      <c r="E19" s="73" ph="1">
        <f>E18*7.0686*LOOKUP(E20,密度!$A$2:$A$50,密度!$L$2:$L$50)</f>
        <v>40321.711861199998</v>
      </c>
      <c r="F19" s="73" ph="1">
        <f>F18*9.0746*LOOKUP(F20,密度!$A$2:$A$50,密度!$L$2:$L$50)</f>
        <v>26444.019622000003</v>
      </c>
      <c r="G19" s="73" ph="1">
        <f>G18*9.0746*LOOKUP(G20,密度!$A$2:$A$50,密度!$B$2:$B$50)</f>
        <v>24960.801660880003</v>
      </c>
      <c r="H19" s="73" ph="1">
        <f>H18*9.0746*LOOKUP(H20,密度!$A$2:$A$50,密度!$L$2:$L$50)</f>
        <v>46204.777836000001</v>
      </c>
      <c r="I19" s="73" ph="1">
        <f>I18*9.0746*LOOKUP(I20,密度!$A$2:$A$50,密度!$U$2:$U$50)</f>
        <v>34273.602651200003</v>
      </c>
      <c r="J19" s="73" ph="1">
        <f>J18*9.0746*LOOKUP(J20,密度!$A$2:$A$50,密度!$L$2:$L$50)</f>
        <v>42520.036505999997</v>
      </c>
      <c r="K19" s="73" ph="1">
        <f>K18*9.0746*LOOKUP(K20,密度!$A$2:$A$50,密度!$C$2:$C$50)</f>
        <v>24059.721104680004</v>
      </c>
      <c r="L19" s="73" ph="1">
        <f>L18*9.0746*LOOKUP(L20,密度!$A$2:$A$50,密度!$E$2:$E$50)</f>
        <v>6664.531433600001</v>
      </c>
      <c r="M19" s="73" ph="1">
        <f>M18*9.0746*LOOKUP(M20,密度!$A$2:$A$50,密度!$M$2:$M$50)</f>
        <v>20643.789390800001</v>
      </c>
      <c r="N19" s="73" ph="1">
        <f>N18*9.0746*LOOKUP(N20,密度!$A$2:$A$50,密度!$M$2:$M$50)</f>
        <v>23757.413510120001</v>
      </c>
      <c r="O19" s="73" ph="1">
        <f>O18*9.0746*LOOKUP(O20,密度!$A$2:$A$50,密度!$G$2:$G$50)</f>
        <v>0</v>
      </c>
      <c r="P19" s="73" ph="1">
        <f ca="1">P18*9.0746*LOOKUP(P20,密度!$A$2:$A$51,密度!$Q$2:$Q$50)</f>
        <v>0</v>
      </c>
      <c r="Q19" s="73" ph="1">
        <f>Q18*9.0746*LOOKUP(Q20,密度!$A$2:$A$50,密度!$Q$2:$Q$50)</f>
        <v>465.37507119600002</v>
      </c>
      <c r="R19" s="73" ph="1">
        <f>MAX(R18*9.0746*LOOKUP(R20,密度!$A$2:$A$50,密度!$B$2:$B$50),0)</f>
        <v>52231.513713039996</v>
      </c>
      <c r="S19" s="73" ph="1">
        <f>S18*9.0746*LOOKUP(S20,密度!$A$2:$A$50,密度!$Q$2:$Q$50)</f>
        <v>55331.323568780004</v>
      </c>
      <c r="T19" s="73" ph="1">
        <f>T18*9.0746*LOOKUP(T20,密度!$A$2:$A$50,密度!$O$2:$O$50)</f>
        <v>18676.343514000004</v>
      </c>
      <c r="U19" s="73" ph="1">
        <f>U18*9.0746*LOOKUP(U20,密度!$A$2:$A$50,密度!$H$2:$H$50)</f>
        <v>44988.845865659998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12079.747523760001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78.578776320000003</v>
      </c>
      <c r="AB19" s="73" ph="1">
        <f>AB18*9.0746*LOOKUP(AB20,密度!$A$2:$A$50,密度!$L$2:$L$50)</f>
        <v>13073.513056600001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18107.906367600001</v>
      </c>
      <c r="AE19" s="73" ph="1">
        <f>AE18*268.68*LOOKUP(AE20,密度!$A$2:$A$50,密度!B5:B53)+IF(AE18&lt;=0,0,1566*LOOKUP(AE20,密度!$A$2:$A$50,密度!B5:B53))</f>
        <v>2387.9500595999998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20</v>
      </c>
      <c r="E20" s="81">
        <v>21</v>
      </c>
      <c r="F20" s="81">
        <v>25</v>
      </c>
      <c r="G20" s="81">
        <v>20</v>
      </c>
      <c r="H20" s="81">
        <v>17</v>
      </c>
      <c r="I20" s="81">
        <v>20</v>
      </c>
      <c r="J20" s="81">
        <v>23</v>
      </c>
      <c r="K20" s="81">
        <v>20</v>
      </c>
      <c r="L20" s="81">
        <v>21</v>
      </c>
      <c r="M20" s="81">
        <v>22</v>
      </c>
      <c r="N20" s="81">
        <v>20</v>
      </c>
      <c r="O20" s="81">
        <v>23</v>
      </c>
      <c r="P20" s="81">
        <v>25</v>
      </c>
      <c r="Q20" s="81">
        <v>21</v>
      </c>
      <c r="R20" s="81">
        <v>23</v>
      </c>
      <c r="S20" s="81">
        <v>19</v>
      </c>
      <c r="T20" s="81">
        <v>22</v>
      </c>
      <c r="U20" s="81">
        <v>17</v>
      </c>
      <c r="V20" s="81">
        <v>20</v>
      </c>
      <c r="W20" s="81">
        <v>21</v>
      </c>
      <c r="X20" s="81">
        <v>25</v>
      </c>
      <c r="Y20" s="110">
        <v>25</v>
      </c>
      <c r="Z20" s="81">
        <v>22</v>
      </c>
      <c r="AA20" s="81">
        <v>16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640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44" t="s" ph="1">
        <v>177</v>
      </c>
      <c r="D24" s="71">
        <v>3.72</v>
      </c>
      <c r="E24" s="71">
        <v>5.01</v>
      </c>
      <c r="F24" s="71">
        <v>576</v>
      </c>
      <c r="G24" s="71">
        <v>2853</v>
      </c>
      <c r="H24" s="71">
        <v>1274</v>
      </c>
      <c r="I24" s="71">
        <v>1220</v>
      </c>
      <c r="J24" s="71">
        <v>1267</v>
      </c>
      <c r="K24" s="71">
        <v>2441</v>
      </c>
      <c r="L24" s="71">
        <v>5548</v>
      </c>
      <c r="M24" s="71">
        <v>4875</v>
      </c>
      <c r="N24" s="71">
        <v>5598</v>
      </c>
      <c r="O24" s="71">
        <v>5723</v>
      </c>
      <c r="P24" s="71">
        <v>653</v>
      </c>
      <c r="Q24" s="90">
        <v>3259</v>
      </c>
      <c r="R24" s="71">
        <v>6292</v>
      </c>
      <c r="S24" s="71">
        <v>4824</v>
      </c>
      <c r="T24" s="71">
        <v>160</v>
      </c>
      <c r="U24" s="71">
        <v>4218</v>
      </c>
      <c r="V24" s="71">
        <v>8426</v>
      </c>
      <c r="W24" s="71">
        <v>1397</v>
      </c>
      <c r="X24" s="71">
        <v>3691</v>
      </c>
      <c r="Y24" s="71">
        <v>6202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2428.851623904</v>
      </c>
      <c r="E25" s="91" ph="1">
        <f>E24*268.68*LOOKUP(E26,密度!$A$2:$A$50,密度!$C$2:$C$50)+IF(E24&lt;=0,0,1566*LOOKUP(E26,密度!$A$2:$A$50,密度!$C$2:$C$50))</f>
        <v>3229.21305252</v>
      </c>
      <c r="F25" s="91" ph="1">
        <f>F24*11.702*LOOKUP(F26,密度!$A$2:$A$50,密度!$Q$2:$Q$50)</f>
        <v>6411.6250329599998</v>
      </c>
      <c r="G25" s="91" ph="1">
        <f>G24*18.322*LOOKUP(G26,密度!$A$2:$A$50,密度!$B$2:$B$50)</f>
        <v>41070.633676199999</v>
      </c>
      <c r="H25" s="91" ph="1">
        <f>H24*18.322*LOOKUP(H26,密度!$A$2:$A$50,密度!$B$2:$B$50)</f>
        <v>18321.314757200002</v>
      </c>
      <c r="I25" s="91" ph="1">
        <f>I24*18.322*LOOKUP(I26,密度!$A$2:$A$50,密度!$Q$2:$Q$50)</f>
        <v>21280.127208400001</v>
      </c>
      <c r="J25" s="91" ph="1">
        <f>J24*18.322*LOOKUP(J26,密度!$A$2:$A$50,密度!$Q$2:$Q$50)</f>
        <v>22118.274427199998</v>
      </c>
      <c r="K25" s="91" ph="1">
        <f>K24*18.322*LOOKUP(K26,密度!$A$2:$A$50,密度!$Q$2:$Q$50)</f>
        <v>42613.029105599999</v>
      </c>
      <c r="L25" s="91" ph="1">
        <f>L24*18.322*LOOKUP(L26,密度!$A$2:$A$50,密度!$Q$2:$Q$50)</f>
        <v>96692.963260879988</v>
      </c>
      <c r="M25" s="91" ph="1">
        <f>M24*18.322*LOOKUP(M26,密度!$A$2:$A$50,密度!$Q$2:$Q$50)</f>
        <v>85103.857799999998</v>
      </c>
      <c r="N25" s="91" ph="1">
        <f>N24*18.322*LOOKUP(N26,密度!$A$2:$A$50,密度!$Q$2:$Q$50)</f>
        <v>97644.386977560003</v>
      </c>
      <c r="O25" s="91" ph="1">
        <f>O24*18.322*LOOKUP(O26,密度!$A$2:$A$50,密度!$C$2:$C$50)</f>
        <v>116726.59643919999</v>
      </c>
      <c r="P25" s="91" ph="1">
        <f>P24*11.702*LOOKUP(P26,密度!$A$2:$A$50,密度!$B$2:$B$50)</f>
        <v>5997.7395694000006</v>
      </c>
      <c r="Q25" s="92" ph="1">
        <f>Q24*18.322*LOOKUP(Q26,密度!$A$2:$A$50,密度!$B$2:$B$50)</f>
        <v>46915.245408599993</v>
      </c>
      <c r="R25" s="91" ph="1">
        <f>R24*35.891*LOOKUP(R26,密度!$A$2:$A$50,密度!$C$2:$C$50)</f>
        <v>251254.19896720001</v>
      </c>
      <c r="S25" s="91" ph="1">
        <f>S24*35.891*LOOKUP(S26,密度!$A$2:$A$50,密度!$B$2:$B$50)</f>
        <v>135896.16062159999</v>
      </c>
      <c r="T25" s="91" ph="1">
        <f>T24*35.891*LOOKUP(T26,密度!$A$2:$A$50,密度!$Q$2:$Q$50)</f>
        <v>5471.5111679999991</v>
      </c>
      <c r="U25" s="91" ph="1">
        <f>U24*35.891</f>
        <v>151388.23799999998</v>
      </c>
      <c r="V25" s="91" ph="1">
        <f>V24*47.051*LOOKUP(V26,密度!$A$2:$A$50,密度!$B$2:$B$50)</f>
        <v>311174.95973740006</v>
      </c>
      <c r="W25" s="91" ph="1">
        <f>W24*47.051*LOOKUP(W26,密度!$A$2:$A$50,密度!$B$2:$B$50)</f>
        <v>51539.086672700003</v>
      </c>
      <c r="X25" s="91" ph="1">
        <f>X24*47.051*LOOKUP(X26,密度!$A$2:$A$61,密度!$I$2:$I$61)</f>
        <v>177312.21106099998</v>
      </c>
      <c r="Y25" s="91" ph="1">
        <f>Y24*47.051*LOOKUP(Y26,密度!$A$2:$A$50,密度!$L$2:$L$50)</f>
        <v>275177.11478599999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19</v>
      </c>
      <c r="G26" s="74">
        <v>18</v>
      </c>
      <c r="H26" s="74">
        <v>19</v>
      </c>
      <c r="I26" s="74">
        <v>18</v>
      </c>
      <c r="J26" s="74">
        <v>17</v>
      </c>
      <c r="K26" s="74">
        <v>17</v>
      </c>
      <c r="L26" s="74">
        <v>19</v>
      </c>
      <c r="M26" s="74">
        <v>17</v>
      </c>
      <c r="N26" s="74">
        <v>18</v>
      </c>
      <c r="O26" s="74">
        <v>19</v>
      </c>
      <c r="P26" s="74">
        <v>19</v>
      </c>
      <c r="Q26" s="93">
        <v>18</v>
      </c>
      <c r="R26" s="74">
        <v>20</v>
      </c>
      <c r="S26" s="74">
        <v>19</v>
      </c>
      <c r="T26" s="74">
        <v>17</v>
      </c>
      <c r="U26" s="74">
        <v>18</v>
      </c>
      <c r="V26" s="74">
        <v>19</v>
      </c>
      <c r="W26" s="74">
        <v>20</v>
      </c>
      <c r="X26" s="74">
        <v>44</v>
      </c>
      <c r="Y26" s="74">
        <v>19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44" t="s" ph="1">
        <v>180</v>
      </c>
      <c r="D27" s="71">
        <v>3.71</v>
      </c>
      <c r="E27" s="71">
        <v>4.92</v>
      </c>
      <c r="F27" s="71">
        <v>575</v>
      </c>
      <c r="G27" s="71">
        <v>2351</v>
      </c>
      <c r="H27" s="71">
        <v>1067</v>
      </c>
      <c r="I27" s="71">
        <v>66</v>
      </c>
      <c r="J27" s="71">
        <v>1265</v>
      </c>
      <c r="K27" s="71">
        <v>2440</v>
      </c>
      <c r="L27" s="71">
        <v>5547</v>
      </c>
      <c r="M27" s="71">
        <v>4876</v>
      </c>
      <c r="N27" s="71">
        <v>5598</v>
      </c>
      <c r="O27" s="71">
        <v>5722</v>
      </c>
      <c r="P27" s="71">
        <v>650</v>
      </c>
      <c r="Q27" s="90">
        <v>3622</v>
      </c>
      <c r="R27" s="71">
        <v>5758</v>
      </c>
      <c r="S27" s="71">
        <v>4823</v>
      </c>
      <c r="T27" s="71">
        <v>159</v>
      </c>
      <c r="U27" s="71">
        <v>4151</v>
      </c>
      <c r="V27" s="71">
        <v>8426</v>
      </c>
      <c r="W27" s="71">
        <v>1173</v>
      </c>
      <c r="X27" s="71">
        <v>3691</v>
      </c>
      <c r="Y27" s="71">
        <v>5141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44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3202.3985198400001</v>
      </c>
      <c r="F28" s="91" ph="1">
        <f>F27*11.702*LOOKUP(F29,密度!$A$2:$A$50,密度!$Q$2:$Q$50)</f>
        <v>6400.4937394999997</v>
      </c>
      <c r="G28" s="91" ph="1">
        <f>G27*18.322*LOOKUP(G29,密度!$A$2:$A$50,密度!$B$2:$B$50)</f>
        <v>33775.124750199997</v>
      </c>
      <c r="H28" s="91" ph="1">
        <f>H27*18.322*LOOKUP(H29,密度!$A$2:$A$50,密度!$B$2:$B$50)</f>
        <v>15344.460632600001</v>
      </c>
      <c r="I28" s="91" ph="1">
        <f>I27*18.322*LOOKUP(I29,密度!$A$2:$A$50,密度!$Q$2:$Q$50)</f>
        <v>1149.24891576</v>
      </c>
      <c r="J28" s="91" ph="1">
        <f>J27*18.322*LOOKUP(J29,密度!$A$2:$A$50,密度!$Q$2:$Q$50)</f>
        <v>22046.971615899998</v>
      </c>
      <c r="K28" s="91" ph="1">
        <f>K27*18.322*LOOKUP(K29,密度!$A$2:$A$50,密度!$Q$2:$Q$50)</f>
        <v>42487.384158400004</v>
      </c>
      <c r="L28" s="91" ph="1">
        <f>L27*18.322*LOOKUP(L29,密度!$A$2:$A$50,密度!$Q$2:$Q$50)</f>
        <v>96519.021338459992</v>
      </c>
      <c r="M28" s="91" ph="1">
        <f>M27*18.322*LOOKUP(M29,密度!$A$2:$A$50,密度!$Q$2:$Q$50)</f>
        <v>84981.054228559995</v>
      </c>
      <c r="N28" s="91" ph="1">
        <f>N27*18.322*LOOKUP(N29,密度!$A$2:$A$50,密度!$Q$2:$Q$50)</f>
        <v>97477.203491280001</v>
      </c>
      <c r="O28" s="91" ph="1">
        <f>O27*18.322*LOOKUP(O29,密度!$A$2:$A$50,密度!$C$2:$C$50)</f>
        <v>116706.20038879999</v>
      </c>
      <c r="P28" s="91" ph="1">
        <f>P27*11.702*LOOKUP(P29,密度!$A$2:$A$50,密度!$B$2:$B$50)</f>
        <v>5970.18487</v>
      </c>
      <c r="Q28" s="92" ph="1">
        <f>Q27*18.322*LOOKUP(Q29,密度!$A$2:$A$50,密度!$B$2:$B$50)</f>
        <v>51974.940828799998</v>
      </c>
      <c r="R28" s="91" ph="1">
        <f>R27*35.891*LOOKUP(R29,密度!$A$2:$A$50,密度!$C$2:$C$50)</f>
        <v>229930.33656280002</v>
      </c>
      <c r="S28" s="91" ph="1">
        <f>S27*35.891*LOOKUP(S29,密度!$A$2:$A$50,密度!$B$2:$B$50)</f>
        <v>135867.9897757</v>
      </c>
      <c r="T28" s="91" ph="1">
        <f>T27*35.891*LOOKUP(T29,密度!$A$2:$A$50,密度!$Q$2:$Q$50)</f>
        <v>5423.5040842199996</v>
      </c>
      <c r="U28" s="91" ph="1">
        <f>U27*35.891</f>
        <v>148983.541</v>
      </c>
      <c r="V28" s="91" ph="1">
        <f>V27*47.051*LOOKUP(V29,密度!$A$2:$A$50,密度!$B$2:$B$50)</f>
        <v>311174.95973740006</v>
      </c>
      <c r="W28" s="91" ph="1">
        <f>W27*47.051*LOOKUP(W29,密度!$A$2:$A$50,密度!$B$2:$B$50)</f>
        <v>43275.124314300003</v>
      </c>
      <c r="X28" s="91" ph="1">
        <f>X27*47.051*LOOKUP(X29,密度!$A$2:$A$61,密度!$I$2:$I$61)</f>
        <v>177520.60935020001</v>
      </c>
      <c r="Y28" s="91" ph="1">
        <f>Y27*47.051*LOOKUP(Y29,密度!$A$2:$A$50,密度!$L$2:$L$50)</f>
        <v>227859.617922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44" t="s" ph="1">
        <v>179</v>
      </c>
      <c r="D29" s="74">
        <v>25</v>
      </c>
      <c r="E29" s="74">
        <v>25</v>
      </c>
      <c r="F29" s="74">
        <v>19</v>
      </c>
      <c r="G29" s="74">
        <v>20</v>
      </c>
      <c r="H29" s="74">
        <v>19</v>
      </c>
      <c r="I29" s="74">
        <v>20</v>
      </c>
      <c r="J29" s="74">
        <v>19</v>
      </c>
      <c r="K29" s="74">
        <v>20</v>
      </c>
      <c r="L29" s="74">
        <v>21</v>
      </c>
      <c r="M29" s="74">
        <v>19</v>
      </c>
      <c r="N29" s="74">
        <v>20</v>
      </c>
      <c r="O29" s="74">
        <v>19</v>
      </c>
      <c r="P29" s="74">
        <v>19</v>
      </c>
      <c r="Q29" s="93">
        <v>21</v>
      </c>
      <c r="R29" s="74">
        <v>20</v>
      </c>
      <c r="S29" s="74">
        <v>19</v>
      </c>
      <c r="T29" s="74">
        <v>20</v>
      </c>
      <c r="U29" s="74">
        <v>20</v>
      </c>
      <c r="V29" s="74">
        <v>19</v>
      </c>
      <c r="W29" s="74">
        <v>20</v>
      </c>
      <c r="X29" s="74">
        <v>43</v>
      </c>
      <c r="Y29" s="74">
        <v>20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44" t="s" ph="1">
        <v>5</v>
      </c>
      <c r="F32" s="143" t="s" ph="1">
        <v>43</v>
      </c>
      <c r="G32" s="97" t="s" ph="1">
        <v>4</v>
      </c>
      <c r="H32" s="144" t="s" ph="1">
        <v>5</v>
      </c>
      <c r="I32" s="143" t="s" ph="1">
        <v>43</v>
      </c>
      <c r="J32" s="97" t="s" ph="1">
        <v>4</v>
      </c>
      <c r="K32" s="144" t="s" ph="1">
        <v>5</v>
      </c>
      <c r="L32" s="143" t="s" ph="1">
        <v>43</v>
      </c>
      <c r="M32" s="97" t="s" ph="1">
        <v>4</v>
      </c>
      <c r="N32" s="144" t="s" ph="1">
        <v>5</v>
      </c>
      <c r="O32" s="143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4" t="s" ph="1">
        <v>5</v>
      </c>
      <c r="U32" s="99" t="s" ph="1">
        <v>43</v>
      </c>
      <c r="V32" s="97" t="s" ph="1">
        <v>4</v>
      </c>
      <c r="W32" s="144" t="s" ph="1">
        <v>5</v>
      </c>
      <c r="X32" s="99" t="s" ph="1">
        <v>43</v>
      </c>
      <c r="Y32" s="100" t="s" ph="1">
        <v>4</v>
      </c>
      <c r="Z32" s="144" t="s" ph="1">
        <v>5</v>
      </c>
      <c r="AA32" s="143" t="s" ph="1">
        <v>43</v>
      </c>
      <c r="AB32" s="97" t="s" ph="1">
        <v>85</v>
      </c>
      <c r="AC32" s="14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163938.59427659999</v>
      </c>
      <c r="E33" s="213" ph="1">
        <f>M10+I10</f>
        <v>95559.124527399996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17" ph="1">
        <f>N19</f>
        <v>23757.413510120001</v>
      </c>
      <c r="H33" s="213" ph="1">
        <f>M19</f>
        <v>20643.789390800001</v>
      </c>
      <c r="I33" s="226" ph="1">
        <v>0</v>
      </c>
      <c r="J33" s="224" ph="1">
        <f>F10+O28</f>
        <v>207017.35183579999</v>
      </c>
      <c r="K33" s="213" ph="1">
        <f>O10+K10+E28+R28</f>
        <v>310342.79461384006</v>
      </c>
      <c r="L33" s="228" ph="1">
        <f>K19</f>
        <v>24059.721104680004</v>
      </c>
      <c r="M33" s="224" ph="1">
        <f>G10+H10+W28+S28+V28+E10+R19+P28+Q28</f>
        <v>789825.19833324011</v>
      </c>
      <c r="N33" s="213" ph="1">
        <f>L10+P10++G28+H28+AD19+AE19</f>
        <v>111273.044413</v>
      </c>
      <c r="O33" s="226" ph="1">
        <f>G19</f>
        <v>24960.801660880003</v>
      </c>
      <c r="P33" s="224" ph="1">
        <f>L19</f>
        <v>6664.531433600001</v>
      </c>
      <c r="Q33" s="213" ph="1">
        <f>J10+N10</f>
        <v>172055.6954464</v>
      </c>
      <c r="R33" s="226" ph="1">
        <f>BE23</f>
        <v>890</v>
      </c>
      <c r="S33" s="224" ph="1">
        <f>X28</f>
        <v>177520.60935020001</v>
      </c>
      <c r="T33" s="213" ph="1">
        <f>X19</f>
        <v>12079.747523760001</v>
      </c>
      <c r="U33" s="234" ph="1">
        <f>BE21</f>
        <v>730</v>
      </c>
      <c r="V33" s="245" ph="1">
        <f ca="1">P19+Q19+S19+M28+N28+J28+D10+AC10+D19+E19+H19+J19+O19+V19+W19+K28+L28</f>
        <v>1218799.6970144659</v>
      </c>
      <c r="W33" s="245" ph="1">
        <f>D28+F28+T28+I28</f>
        <v>15399.554662351999</v>
      </c>
      <c r="X33" s="226" ph="1">
        <f>BE29+BE31</f>
        <v>10200</v>
      </c>
      <c r="Y33" s="247" ph="1">
        <f>+Q10+R10+S10+T10+U10+V10+W10+X10+Y10</f>
        <v>248491.99599839997</v>
      </c>
      <c r="Z33" s="232" ph="1">
        <f>T19+U19+Y28+Z10</f>
        <v>388059.29766665999</v>
      </c>
      <c r="AA33" s="234" ph="1">
        <f>BE19</f>
        <v>1440</v>
      </c>
      <c r="AB33" s="236" ph="1">
        <f>I19</f>
        <v>34273.602651200003</v>
      </c>
      <c r="AC33" s="238" ph="1">
        <f>AD10+AB19</f>
        <v>106891.6361286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42" t="s" ph="1">
        <v>185</v>
      </c>
      <c r="AA36" s="142" ph="1"/>
      <c r="AB36" s="231" t="s" ph="1">
        <v>638</v>
      </c>
      <c r="AC36" s="231" ph="1"/>
      <c r="AD36" s="231" ph="1"/>
      <c r="AE36" s="231" ph="1"/>
      <c r="BA36" s="64" ph="1">
        <v>2270</v>
      </c>
    </row>
    <row r="37" spans="1:57" s="142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2" t="s" ph="1">
        <v>342</v>
      </c>
      <c r="AI37" s="142" t="s" ph="1">
        <v>209</v>
      </c>
      <c r="AJ37" s="142" t="s" ph="1">
        <v>210</v>
      </c>
      <c r="AK37" s="142" t="s" ph="1">
        <v>211</v>
      </c>
      <c r="AM37" s="142" t="s" ph="1">
        <v>210</v>
      </c>
      <c r="AN37" s="142" t="s" ph="1">
        <v>211</v>
      </c>
      <c r="AO37" s="142" t="s" ph="1">
        <v>212</v>
      </c>
      <c r="AP37" s="142" t="s" ph="1">
        <v>210</v>
      </c>
      <c r="AQ37" s="142" t="s" ph="1">
        <v>211</v>
      </c>
      <c r="AR37" s="142" t="s" ph="1">
        <v>212</v>
      </c>
      <c r="AS37" s="142" t="s" ph="1">
        <v>210</v>
      </c>
      <c r="AT37" s="142" t="s" ph="1">
        <v>211</v>
      </c>
      <c r="AU37" s="142" t="s" ph="1">
        <v>212</v>
      </c>
      <c r="AV37" s="142" t="s" ph="1">
        <v>210</v>
      </c>
      <c r="AW37" s="142" t="s" ph="1">
        <v>211</v>
      </c>
      <c r="AX37" s="142" t="s" ph="1">
        <v>212</v>
      </c>
      <c r="AY37" s="142" t="s" ph="1">
        <v>211</v>
      </c>
      <c r="AZ37" s="142" t="s" ph="1">
        <v>213</v>
      </c>
      <c r="BD37" s="142" t="s" ph="1">
        <v>305</v>
      </c>
      <c r="BE37" s="142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982" priority="99">
      <formula>ABS(D$7-D$10)&gt;=1000</formula>
    </cfRule>
  </conditionalFormatting>
  <conditionalFormatting sqref="E4 E6:E11">
    <cfRule type="expression" dxfId="2981" priority="98">
      <formula>ABS(E$7-E$10)&gt;=1000</formula>
    </cfRule>
  </conditionalFormatting>
  <conditionalFormatting sqref="F4:F11">
    <cfRule type="expression" dxfId="2980" priority="97">
      <formula>ABS(F$7-F$10)&gt;=1000</formula>
    </cfRule>
  </conditionalFormatting>
  <conditionalFormatting sqref="G4:G11">
    <cfRule type="expression" dxfId="2979" priority="96">
      <formula>ABS(G$7-G$10)&gt;=1000</formula>
    </cfRule>
  </conditionalFormatting>
  <conditionalFormatting sqref="H4:H11">
    <cfRule type="expression" dxfId="2978" priority="95">
      <formula>ABS(H$7-H$10)&gt;=1000</formula>
    </cfRule>
  </conditionalFormatting>
  <conditionalFormatting sqref="I4:I11">
    <cfRule type="expression" dxfId="2977" priority="94">
      <formula>ABS(I$7-I$10)&gt;=1000</formula>
    </cfRule>
  </conditionalFormatting>
  <conditionalFormatting sqref="J4:J11">
    <cfRule type="expression" dxfId="2976" priority="93">
      <formula>ABS(J$7-J$10)&gt;=1000</formula>
    </cfRule>
  </conditionalFormatting>
  <conditionalFormatting sqref="K4:K11">
    <cfRule type="expression" dxfId="2975" priority="92">
      <formula>ABS(K$7-K$10)&gt;=1000</formula>
    </cfRule>
  </conditionalFormatting>
  <conditionalFormatting sqref="L4:L11">
    <cfRule type="expression" dxfId="2974" priority="91">
      <formula>ABS(L$7-L$10)&gt;=1000</formula>
    </cfRule>
  </conditionalFormatting>
  <conditionalFormatting sqref="M4 M6:M11">
    <cfRule type="expression" dxfId="2973" priority="90">
      <formula>ABS(M$7-M$10)&gt;=1000</formula>
    </cfRule>
  </conditionalFormatting>
  <conditionalFormatting sqref="N4 N6:N11">
    <cfRule type="expression" dxfId="2972" priority="89">
      <formula>ABS(N$7-N$10)&gt;=1000</formula>
    </cfRule>
  </conditionalFormatting>
  <conditionalFormatting sqref="O4 O6:O11">
    <cfRule type="expression" dxfId="2971" priority="88">
      <formula>ABS(O$7-O$10)&gt;=1000</formula>
    </cfRule>
  </conditionalFormatting>
  <conditionalFormatting sqref="P4 P6:P11">
    <cfRule type="expression" dxfId="2970" priority="87">
      <formula>ABS(P$7-P$10)&gt;=1000</formula>
    </cfRule>
  </conditionalFormatting>
  <conditionalFormatting sqref="Q4:Q11">
    <cfRule type="expression" dxfId="2969" priority="86">
      <formula>ABS(Q$7-Q$10)&gt;=1000</formula>
    </cfRule>
  </conditionalFormatting>
  <conditionalFormatting sqref="R4:R11">
    <cfRule type="expression" dxfId="2968" priority="85">
      <formula>ABS(R$7-R$10)&gt;=1000</formula>
    </cfRule>
  </conditionalFormatting>
  <conditionalFormatting sqref="S4:S11">
    <cfRule type="expression" dxfId="2967" priority="84">
      <formula>ABS(S$7-S$10)&gt;=1000</formula>
    </cfRule>
  </conditionalFormatting>
  <conditionalFormatting sqref="T4:T9 T11">
    <cfRule type="expression" dxfId="2966" priority="83">
      <formula>ABS(T$7-T$10)&gt;=1000</formula>
    </cfRule>
  </conditionalFormatting>
  <conditionalFormatting sqref="U4:U9 U11">
    <cfRule type="expression" dxfId="2965" priority="82">
      <formula>ABS(U$7-U$10)&gt;=1000</formula>
    </cfRule>
  </conditionalFormatting>
  <conditionalFormatting sqref="V4:V9 V11">
    <cfRule type="expression" dxfId="2964" priority="81">
      <formula>ABS(V$7-V$10)&gt;=1000</formula>
    </cfRule>
  </conditionalFormatting>
  <conditionalFormatting sqref="W4:W9 W11">
    <cfRule type="expression" dxfId="2963" priority="80">
      <formula>ABS(W$7-W$10)&gt;=1000</formula>
    </cfRule>
  </conditionalFormatting>
  <conditionalFormatting sqref="X4:X9 X11">
    <cfRule type="expression" dxfId="2962" priority="79">
      <formula>ABS(X$7-X$10)&gt;=1000</formula>
    </cfRule>
  </conditionalFormatting>
  <conditionalFormatting sqref="Y4:Y9 Y11">
    <cfRule type="expression" dxfId="2961" priority="78">
      <formula>ABS(Y$7-Y$10)&gt;=1000</formula>
    </cfRule>
  </conditionalFormatting>
  <conditionalFormatting sqref="Z4:Z11">
    <cfRule type="expression" dxfId="2960" priority="77">
      <formula>ABS(Z$7-Z$10)&gt;=1000</formula>
    </cfRule>
  </conditionalFormatting>
  <conditionalFormatting sqref="AA4:AA11">
    <cfRule type="expression" dxfId="2959" priority="76">
      <formula>ABS(AA$7-AA$10)&gt;=1000</formula>
    </cfRule>
  </conditionalFormatting>
  <conditionalFormatting sqref="AB4:AB11">
    <cfRule type="expression" dxfId="2958" priority="75">
      <formula>ABS(AB$7-AB$10)&gt;=1000</formula>
    </cfRule>
  </conditionalFormatting>
  <conditionalFormatting sqref="AC4 AC6:AC11">
    <cfRule type="expression" dxfId="2957" priority="74">
      <formula>ABS(AC$7-AC$10)&gt;=1000</formula>
    </cfRule>
  </conditionalFormatting>
  <conditionalFormatting sqref="AD4:AD11">
    <cfRule type="expression" dxfId="2956" priority="73">
      <formula>ABS(AD$7-AD$10)&gt;=1000</formula>
    </cfRule>
  </conditionalFormatting>
  <conditionalFormatting sqref="AE4 AE6:AE11">
    <cfRule type="expression" dxfId="2955" priority="72">
      <formula>ABS(AE$7-AE$10)&gt;=1000</formula>
    </cfRule>
  </conditionalFormatting>
  <conditionalFormatting sqref="D13:D20">
    <cfRule type="expression" dxfId="2954" priority="71">
      <formula>ABS(D$16-D$19)&gt;=1000</formula>
    </cfRule>
  </conditionalFormatting>
  <conditionalFormatting sqref="E13:E20">
    <cfRule type="expression" dxfId="2953" priority="70">
      <formula>ABS(E$16-E$19)&gt;=1000</formula>
    </cfRule>
  </conditionalFormatting>
  <conditionalFormatting sqref="F13 F15:F20">
    <cfRule type="expression" dxfId="2952" priority="69">
      <formula>ABS(F$16-F$19)&gt;=1000</formula>
    </cfRule>
  </conditionalFormatting>
  <conditionalFormatting sqref="G13:G20">
    <cfRule type="expression" dxfId="2951" priority="68">
      <formula>ABS(G$16-G$19)&gt;=1000</formula>
    </cfRule>
  </conditionalFormatting>
  <conditionalFormatting sqref="H13 H15:H20">
    <cfRule type="expression" dxfId="2950" priority="67">
      <formula>ABS(H$16-H$19)&gt;=1000</formula>
    </cfRule>
  </conditionalFormatting>
  <conditionalFormatting sqref="I13:I20">
    <cfRule type="expression" dxfId="2949" priority="66">
      <formula>ABS(I$16-I$19)&gt;=1000</formula>
    </cfRule>
  </conditionalFormatting>
  <conditionalFormatting sqref="J13:J20">
    <cfRule type="expression" dxfId="2948" priority="65">
      <formula>ABS(J$16-J$19)&gt;=1000</formula>
    </cfRule>
  </conditionalFormatting>
  <conditionalFormatting sqref="L13:L20">
    <cfRule type="expression" dxfId="2947" priority="64">
      <formula>ABS(L$16-L$19)&gt;=1000</formula>
    </cfRule>
  </conditionalFormatting>
  <conditionalFormatting sqref="M13 M15 M17:M18 M20">
    <cfRule type="expression" dxfId="2946" priority="63">
      <formula>ABS(M$16-M$19)&gt;=1000</formula>
    </cfRule>
  </conditionalFormatting>
  <conditionalFormatting sqref="N13:N20">
    <cfRule type="expression" dxfId="2945" priority="62">
      <formula>ABS(N$16-N$19)&gt;=1000</formula>
    </cfRule>
  </conditionalFormatting>
  <conditionalFormatting sqref="O13:O20">
    <cfRule type="expression" dxfId="2944" priority="61">
      <formula>ABS(O$16-O$19)&gt;=1000</formula>
    </cfRule>
  </conditionalFormatting>
  <conditionalFormatting sqref="P13:P20">
    <cfRule type="expression" dxfId="2943" priority="60">
      <formula>ABS(P$16-P$19)&gt;=1000</formula>
    </cfRule>
  </conditionalFormatting>
  <conditionalFormatting sqref="Q13 Q15:Q20">
    <cfRule type="expression" dxfId="2942" priority="59">
      <formula>ABS(Q$16-Q$19)&gt;=1000</formula>
    </cfRule>
  </conditionalFormatting>
  <conditionalFormatting sqref="R13:R20">
    <cfRule type="expression" dxfId="2941" priority="58">
      <formula>ABS(R$16-R$19)&gt;=1000</formula>
    </cfRule>
  </conditionalFormatting>
  <conditionalFormatting sqref="S13:S20">
    <cfRule type="expression" dxfId="2940" priority="57">
      <formula>ABS(S$16-S$19)&gt;=1000</formula>
    </cfRule>
  </conditionalFormatting>
  <conditionalFormatting sqref="T13:T20">
    <cfRule type="expression" dxfId="2939" priority="56">
      <formula>ABS(T$16-T$19)&gt;=1000</formula>
    </cfRule>
  </conditionalFormatting>
  <conditionalFormatting sqref="U13:U20">
    <cfRule type="expression" dxfId="2938" priority="55">
      <formula>ABS(U$16-U$19)&gt;=1000</formula>
    </cfRule>
  </conditionalFormatting>
  <conditionalFormatting sqref="V13:V20">
    <cfRule type="expression" dxfId="2937" priority="54">
      <formula>ABS(V$16-V$19)&gt;=1000</formula>
    </cfRule>
  </conditionalFormatting>
  <conditionalFormatting sqref="W13 W20 W15:W18">
    <cfRule type="expression" dxfId="2936" priority="53">
      <formula>ABS(W$16-W$19)&gt;=1000</formula>
    </cfRule>
  </conditionalFormatting>
  <conditionalFormatting sqref="X13 X15:X20 Y19">
    <cfRule type="expression" dxfId="2935" priority="52">
      <formula>ABS(X$16-X$19)&gt;=1000</formula>
    </cfRule>
  </conditionalFormatting>
  <conditionalFormatting sqref="Y13 Y15:Y18 Y20">
    <cfRule type="expression" dxfId="2934" priority="51">
      <formula>ABS(Y$16-Y$19)&gt;=1000</formula>
    </cfRule>
  </conditionalFormatting>
  <conditionalFormatting sqref="Z13:Z20">
    <cfRule type="expression" dxfId="2933" priority="50">
      <formula>ABS(Z$16-Z$19)&gt;=1000</formula>
    </cfRule>
  </conditionalFormatting>
  <conditionalFormatting sqref="AA13:AA20">
    <cfRule type="expression" dxfId="2932" priority="49">
      <formula>ABS(AA$16-AA$19)&gt;=1000</formula>
    </cfRule>
  </conditionalFormatting>
  <conditionalFormatting sqref="AB13 AB15:AB20">
    <cfRule type="expression" dxfId="2931" priority="48">
      <formula>ABS(AB$16-AB$19)&gt;=1000</formula>
    </cfRule>
  </conditionalFormatting>
  <conditionalFormatting sqref="AC13 AC15:AC20">
    <cfRule type="expression" dxfId="2930" priority="47">
      <formula>ABS(AC$16-AC$19)&gt;=1000</formula>
    </cfRule>
  </conditionalFormatting>
  <conditionalFormatting sqref="AD13:AD20">
    <cfRule type="expression" dxfId="2929" priority="46">
      <formula>ABS(AD$16-AD$19)&gt;=1000</formula>
    </cfRule>
  </conditionalFormatting>
  <conditionalFormatting sqref="AE13:AE20">
    <cfRule type="expression" dxfId="2928" priority="45">
      <formula>ABS(AE$16-AE$19)&gt;=1000</formula>
    </cfRule>
  </conditionalFormatting>
  <conditionalFormatting sqref="D22:D29">
    <cfRule type="expression" dxfId="2927" priority="44">
      <formula>ABS(D$25-D$28)&gt;=1000</formula>
    </cfRule>
  </conditionalFormatting>
  <conditionalFormatting sqref="E22:E29">
    <cfRule type="expression" dxfId="2926" priority="43">
      <formula>ABS(E$25-E$28)&gt;=1000</formula>
    </cfRule>
  </conditionalFormatting>
  <conditionalFormatting sqref="F22:F29">
    <cfRule type="expression" dxfId="2925" priority="42">
      <formula>ABS(F$25-F$28)&gt;=1000</formula>
    </cfRule>
  </conditionalFormatting>
  <conditionalFormatting sqref="G22:G29">
    <cfRule type="expression" dxfId="2924" priority="41">
      <formula>ABS(G$25-G$28)&gt;=1000</formula>
    </cfRule>
  </conditionalFormatting>
  <conditionalFormatting sqref="H22:H29">
    <cfRule type="expression" dxfId="2923" priority="40">
      <formula>ABS(H$25-H$28)&gt;=1000</formula>
    </cfRule>
  </conditionalFormatting>
  <conditionalFormatting sqref="I22 I24:I29">
    <cfRule type="expression" dxfId="2922" priority="39">
      <formula>ABS(I$25-I$28)&gt;=1000</formula>
    </cfRule>
  </conditionalFormatting>
  <conditionalFormatting sqref="J22:J29 K22">
    <cfRule type="expression" dxfId="2921" priority="38">
      <formula>ABS(J$25-J$28)&gt;=1000</formula>
    </cfRule>
  </conditionalFormatting>
  <conditionalFormatting sqref="K23:K29 L25 L28">
    <cfRule type="expression" dxfId="2920" priority="37">
      <formula>ABS(K$25-K$28)&gt;=1000</formula>
    </cfRule>
  </conditionalFormatting>
  <conditionalFormatting sqref="L22 L26:L27 L29 L24">
    <cfRule type="expression" dxfId="2919" priority="36">
      <formula>ABS(L$25-L$28)&gt;=1000</formula>
    </cfRule>
  </conditionalFormatting>
  <conditionalFormatting sqref="M22:M29">
    <cfRule type="expression" dxfId="2918" priority="35">
      <formula>ABS(M$25-M$28)&gt;=1000</formula>
    </cfRule>
  </conditionalFormatting>
  <conditionalFormatting sqref="N22:N29">
    <cfRule type="expression" dxfId="2917" priority="34">
      <formula>ABS(N$25-N$28)&gt;=1000</formula>
    </cfRule>
  </conditionalFormatting>
  <conditionalFormatting sqref="O22:O29">
    <cfRule type="expression" dxfId="2916" priority="33">
      <formula>ABS(O$25-O$28)&gt;=1000</formula>
    </cfRule>
  </conditionalFormatting>
  <conditionalFormatting sqref="P22:P29">
    <cfRule type="expression" dxfId="2915" priority="32">
      <formula>ABS(P$25-P$28)&gt;=1000</formula>
    </cfRule>
  </conditionalFormatting>
  <conditionalFormatting sqref="Q22:Q29">
    <cfRule type="expression" dxfId="2914" priority="31">
      <formula>ABS(Q$25-Q$28)&gt;=1000</formula>
    </cfRule>
  </conditionalFormatting>
  <conditionalFormatting sqref="R22:R29">
    <cfRule type="expression" dxfId="2913" priority="30">
      <formula>ABS(R$25-R$28)&gt;=1000</formula>
    </cfRule>
  </conditionalFormatting>
  <conditionalFormatting sqref="S22:S29">
    <cfRule type="expression" dxfId="2912" priority="29">
      <formula>ABS(S$25-S$28)&gt;=1000</formula>
    </cfRule>
  </conditionalFormatting>
  <conditionalFormatting sqref="T22:T29">
    <cfRule type="expression" dxfId="2911" priority="28">
      <formula>ABS(T$25-T$28)&gt;=1000</formula>
    </cfRule>
  </conditionalFormatting>
  <conditionalFormatting sqref="U22:U29">
    <cfRule type="expression" dxfId="2910" priority="27">
      <formula>ABS(U$25-U$28)&gt;=1000</formula>
    </cfRule>
  </conditionalFormatting>
  <conditionalFormatting sqref="V22:V29">
    <cfRule type="expression" dxfId="2909" priority="26">
      <formula>ABS(V$25-V$28)&gt;=1000</formula>
    </cfRule>
  </conditionalFormatting>
  <conditionalFormatting sqref="W22:W29">
    <cfRule type="expression" dxfId="2908" priority="25">
      <formula>ABS(W$25-W$28)&gt;=1000</formula>
    </cfRule>
  </conditionalFormatting>
  <conditionalFormatting sqref="X22:X29">
    <cfRule type="expression" dxfId="2907" priority="24">
      <formula>ABS(X$25-X$28)&gt;=1000</formula>
    </cfRule>
  </conditionalFormatting>
  <conditionalFormatting sqref="Y22:Y29">
    <cfRule type="expression" dxfId="2906" priority="23">
      <formula>ABS(Y$25-Y$28)&gt;=1000</formula>
    </cfRule>
  </conditionalFormatting>
  <conditionalFormatting sqref="I23">
    <cfRule type="expression" dxfId="2905" priority="22">
      <formula>ABS(I$25-I$28)&gt;=1000</formula>
    </cfRule>
  </conditionalFormatting>
  <conditionalFormatting sqref="Q14">
    <cfRule type="expression" dxfId="2904" priority="21">
      <formula>ABS(Q$16-Q$19)&gt;=1000</formula>
    </cfRule>
  </conditionalFormatting>
  <conditionalFormatting sqref="W14">
    <cfRule type="expression" dxfId="2903" priority="20">
      <formula>ABS(W$16-W$19)&gt;=1000</formula>
    </cfRule>
  </conditionalFormatting>
  <conditionalFormatting sqref="Y14">
    <cfRule type="expression" dxfId="2902" priority="19">
      <formula>ABS(Y$16-Y$19)&gt;=1000</formula>
    </cfRule>
  </conditionalFormatting>
  <conditionalFormatting sqref="X14">
    <cfRule type="expression" dxfId="2901" priority="18">
      <formula>ABS(X$16-X$19)&gt;=1000</formula>
    </cfRule>
  </conditionalFormatting>
  <conditionalFormatting sqref="T10:Y10">
    <cfRule type="expression" dxfId="2900" priority="17">
      <formula>ABS(T$7-T$10)&gt;=1000</formula>
    </cfRule>
  </conditionalFormatting>
  <conditionalFormatting sqref="W19">
    <cfRule type="expression" dxfId="2899" priority="16">
      <formula>ABS(W$16-W$19)&gt;=1000</formula>
    </cfRule>
  </conditionalFormatting>
  <conditionalFormatting sqref="AC5">
    <cfRule type="expression" dxfId="2898" priority="15">
      <formula>ABS(AC$7-AC$10)&gt;=1000</formula>
    </cfRule>
  </conditionalFormatting>
  <conditionalFormatting sqref="M14">
    <cfRule type="expression" dxfId="2897" priority="14">
      <formula>ABS(M$16-M$19)&gt;=1000</formula>
    </cfRule>
  </conditionalFormatting>
  <conditionalFormatting sqref="M16">
    <cfRule type="expression" dxfId="2896" priority="13">
      <formula>ABS(M$16-M$19)&gt;=1000</formula>
    </cfRule>
  </conditionalFormatting>
  <conditionalFormatting sqref="M19">
    <cfRule type="expression" dxfId="2895" priority="12">
      <formula>ABS(M$16-M$19)&gt;=1000</formula>
    </cfRule>
  </conditionalFormatting>
  <conditionalFormatting sqref="K13:K20">
    <cfRule type="expression" dxfId="2894" priority="11">
      <formula>ABS(K$16-K$19)&gt;=1000</formula>
    </cfRule>
  </conditionalFormatting>
  <conditionalFormatting sqref="E5">
    <cfRule type="expression" dxfId="2893" priority="10">
      <formula>ABS(E$7-E$10)&gt;=1000</formula>
    </cfRule>
  </conditionalFormatting>
  <conditionalFormatting sqref="AB14:AC14">
    <cfRule type="expression" dxfId="2892" priority="9">
      <formula>ABS(AB$16-AB$19)&gt;=1000</formula>
    </cfRule>
  </conditionalFormatting>
  <conditionalFormatting sqref="M5">
    <cfRule type="expression" dxfId="2891" priority="8">
      <formula>ABS(M$7-M$10)&gt;=1000</formula>
    </cfRule>
  </conditionalFormatting>
  <conditionalFormatting sqref="N5">
    <cfRule type="expression" dxfId="2890" priority="7">
      <formula>ABS(N$7-N$10)&gt;=1000</formula>
    </cfRule>
  </conditionalFormatting>
  <conditionalFormatting sqref="O5">
    <cfRule type="expression" dxfId="2889" priority="6">
      <formula>ABS(O$7-O$10)&gt;=1000</formula>
    </cfRule>
  </conditionalFormatting>
  <conditionalFormatting sqref="P5">
    <cfRule type="expression" dxfId="2888" priority="5">
      <formula>ABS(P$7-P$10)&gt;=1000</formula>
    </cfRule>
  </conditionalFormatting>
  <conditionalFormatting sqref="L23">
    <cfRule type="expression" dxfId="2887" priority="4">
      <formula>ABS(L$25-L$28)&gt;=1000</formula>
    </cfRule>
  </conditionalFormatting>
  <conditionalFormatting sqref="F14">
    <cfRule type="expression" dxfId="2886" priority="3">
      <formula>ABS(F$16-F$19)&gt;=1000</formula>
    </cfRule>
  </conditionalFormatting>
  <conditionalFormatting sqref="AE5">
    <cfRule type="expression" dxfId="2885" priority="2">
      <formula>ABS(AE$25-AE$28)&gt;=1000</formula>
    </cfRule>
  </conditionalFormatting>
  <conditionalFormatting sqref="H14">
    <cfRule type="expression" dxfId="2884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66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7">
    <pageSetUpPr fitToPage="1"/>
  </sheetPr>
  <dimension ref="A1:CU223"/>
  <sheetViews>
    <sheetView view="pageBreakPreview" zoomScale="70" zoomScaleNormal="100" zoomScaleSheetLayoutView="70" workbookViewId="0">
      <selection activeCell="W35" sqref="W3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46023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70" t="s" ph="1">
        <v>633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47" t="s" ph="1">
        <v>177</v>
      </c>
      <c r="D6" s="71">
        <v>5365</v>
      </c>
      <c r="E6" s="71">
        <v>0</v>
      </c>
      <c r="F6" s="71">
        <v>2442</v>
      </c>
      <c r="G6" s="71">
        <v>1916</v>
      </c>
      <c r="H6" s="71">
        <v>3001</v>
      </c>
      <c r="I6" s="71">
        <v>14.1</v>
      </c>
      <c r="J6" s="71">
        <v>6.56</v>
      </c>
      <c r="K6" s="71">
        <v>7.36</v>
      </c>
      <c r="L6" s="71">
        <v>33.479999999999997</v>
      </c>
      <c r="M6" s="71">
        <v>2669</v>
      </c>
      <c r="N6" s="71">
        <v>6282</v>
      </c>
      <c r="O6" s="71">
        <v>3296</v>
      </c>
      <c r="P6" s="71">
        <v>1214</v>
      </c>
      <c r="Q6" s="71">
        <v>7159</v>
      </c>
      <c r="R6" s="71">
        <v>7113</v>
      </c>
      <c r="S6" s="71">
        <v>6176</v>
      </c>
      <c r="T6" s="71">
        <v>7148</v>
      </c>
      <c r="U6" s="71">
        <v>5249</v>
      </c>
      <c r="V6" s="71">
        <v>0</v>
      </c>
      <c r="W6" s="71">
        <v>0</v>
      </c>
      <c r="X6" s="71">
        <v>692</v>
      </c>
      <c r="Y6" s="71">
        <v>4858</v>
      </c>
      <c r="Z6" s="71">
        <v>3958</v>
      </c>
      <c r="AA6" s="71">
        <v>2886</v>
      </c>
      <c r="AB6" s="71">
        <v>3074</v>
      </c>
      <c r="AC6" s="71">
        <v>9085</v>
      </c>
      <c r="AD6" s="71">
        <v>4780</v>
      </c>
      <c r="AE6" s="71">
        <v>3583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169483.28910795003</v>
      </c>
      <c r="E7" s="73" ph="1">
        <f>E6*51.53*LOOKUP(E8,密度!$A$2:$A$50,密度!$B$2:$B$50)</f>
        <v>0</v>
      </c>
      <c r="F7" s="73" ph="1">
        <f>F6*33.183*LOOKUP(F8,密度!$A$2:$A$50,密度!$C$2:$C$50)</f>
        <v>90367.874467200003</v>
      </c>
      <c r="G7" s="73" ph="1">
        <f xml:space="preserve"> (G6+2)*51.53*LOOKUP(G8,密度!$A$2:$A$50,密度!$B$2:$B$50)</f>
        <v>77723.482256000003</v>
      </c>
      <c r="H7" s="73" ph="1">
        <f>(H6)*51.53*LOOKUP(H8,密度!$A$2:$A$50,密度!$B$2:$B$50)</f>
        <v>121857.52564000001</v>
      </c>
      <c r="I7" s="73" ph="1">
        <f>I6*290.8*1.0267</f>
        <v>4209.7574759999998</v>
      </c>
      <c r="J7" s="73" ph="1">
        <f>J6*290.8*0.7892</f>
        <v>1505.5158016</v>
      </c>
      <c r="K7" s="73" ph="1">
        <f>K6*290.8*1.1126</f>
        <v>2381.2844288000001</v>
      </c>
      <c r="L7" s="73" ph="1">
        <f>L6*290.8*0.777</f>
        <v>7564.8595680000008</v>
      </c>
      <c r="M7" s="73" ph="1">
        <f>M6*33.183*LOOKUP(M8,密度!$A$2:$A$50,密度!$D$2:$D$50)</f>
        <v>91496.94263369999</v>
      </c>
      <c r="N7" s="73" ph="1">
        <f>N6*33.183*LOOKUP(N8,密度!$A$2:$A$50,密度!$E$2:$E$50)</f>
        <v>164513.16425520001</v>
      </c>
      <c r="O7" s="73" ph="1">
        <f>O6*20.428*LOOKUP(O8,密度!$A$2:$A$50,密度!$C$2:$C$50)</f>
        <v>74864.991987200017</v>
      </c>
      <c r="P7" s="73" ph="1">
        <f>P6*51.53*LOOKUP(P8,密度!$A$2:$A$50,密度!$B$2:$B$50)</f>
        <v>49101.318958000003</v>
      </c>
      <c r="Q7" s="73" ph="1">
        <f>Q6*1.5*1.5*3.1416*LOOKUP(W8,密度!$A$2:$A$50,密度!$L$2:$L$50)</f>
        <v>47820.881493000001</v>
      </c>
      <c r="R7" s="73" ph="1">
        <f>R6*1.5*1.5*3.1416*LOOKUP(R8,密度!$A$2:$A$50,密度!$L$2:$L$50)</f>
        <v>47211.935740200002</v>
      </c>
      <c r="S7" s="73" ph="1">
        <f>S6*1.5*1.5*3.1416*LOOKUP(S8,密度!$A$2:$A$50,密度!$L$2:$L$50)</f>
        <v>41385.578572799997</v>
      </c>
      <c r="T7" s="73" ph="1">
        <f>T6*1.5*1.5*3.1416*LOOKUP(T8,密度!$A$2:$A$50,密度!$L$2:$L$50)</f>
        <v>47949.5088072</v>
      </c>
      <c r="U7" s="73" ph="1">
        <f>U6*1.5*1.5*3.1416*LOOKUP(U8,密度!$A$2:$A$50,密度!$L$2:$L$50)</f>
        <v>34988.205760199999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4656.6805823999994</v>
      </c>
      <c r="Y7" s="73" ph="1">
        <f>Y6*1.5*1.5*3.1416*LOOKUP(Y8,密度!$A$2:$A$50,密度!$L$2:$L$50)</f>
        <v>32416.260307199995</v>
      </c>
      <c r="Z7" s="73" ph="1">
        <f>Z6*33.183*LOOKUP(Z8,密度!$A$2:$A$50,密度!$L$2:$L$50)</f>
        <v>124246.04504400001</v>
      </c>
      <c r="AA7" s="73" ph="1">
        <f>AA6*33.183*LOOKUP(AA8,密度!$A$2:$A$50,密度!$D$2:$D$50)</f>
        <v>99098.799602400002</v>
      </c>
      <c r="AB7" s="73" ph="1">
        <f>AB6*20.428*LOOKUP(AB8,密度!$A$2:$A$50,密度!$D$2:$D$50)</f>
        <v>65307.498880000006</v>
      </c>
      <c r="AC7" s="73" ph="1">
        <f>AC6*51.53*LOOKUP(AC8,密度!$A$2:$A$50,密度!$Q$2:$Q$50)</f>
        <v>446867.94872700004</v>
      </c>
      <c r="AD7" s="73" ph="1">
        <f>AD6*20.428*LOOKUP(AD8,密度!$A$2:$A$50,密度!$V$2:$V$50)</f>
        <v>94130.589760000003</v>
      </c>
      <c r="AE7" s="73" ph="1">
        <f>AE6*20.428</f>
        <v>73193.524000000005</v>
      </c>
    </row>
    <row r="8" spans="1:99" ph="1">
      <c r="B8" s="191" ph="1"/>
      <c r="C8" s="68" t="s" ph="1">
        <v>179</v>
      </c>
      <c r="D8" s="74">
        <v>18</v>
      </c>
      <c r="E8" s="74">
        <v>16</v>
      </c>
      <c r="F8" s="74">
        <v>16</v>
      </c>
      <c r="G8" s="74">
        <v>17</v>
      </c>
      <c r="H8" s="74">
        <v>15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20</v>
      </c>
      <c r="O8" s="74">
        <v>21</v>
      </c>
      <c r="P8" s="74">
        <v>19</v>
      </c>
      <c r="Q8" s="74">
        <v>19</v>
      </c>
      <c r="R8" s="74">
        <v>23</v>
      </c>
      <c r="S8" s="74">
        <v>14</v>
      </c>
      <c r="T8" s="74">
        <v>13</v>
      </c>
      <c r="U8" s="74">
        <v>19</v>
      </c>
      <c r="V8" s="74">
        <v>23</v>
      </c>
      <c r="W8" s="74">
        <v>17</v>
      </c>
      <c r="X8" s="74">
        <v>10</v>
      </c>
      <c r="Y8" s="74">
        <v>18</v>
      </c>
      <c r="Z8" s="74">
        <v>16</v>
      </c>
      <c r="AA8" s="74">
        <v>16</v>
      </c>
      <c r="AB8" s="74">
        <v>10</v>
      </c>
      <c r="AC8" s="74">
        <v>15</v>
      </c>
      <c r="AD8" s="74">
        <v>15</v>
      </c>
      <c r="AE8" s="74">
        <v>19</v>
      </c>
    </row>
    <row r="9" spans="1:99" ph="1">
      <c r="B9" s="191" ph="1">
        <v>0.66666666666666663</v>
      </c>
      <c r="C9" s="147" t="s" ph="1">
        <v>180</v>
      </c>
      <c r="D9" s="71">
        <v>6651</v>
      </c>
      <c r="E9" s="71">
        <v>0</v>
      </c>
      <c r="F9" s="71">
        <v>2442</v>
      </c>
      <c r="G9" s="71">
        <v>2540</v>
      </c>
      <c r="H9" s="71">
        <v>2135</v>
      </c>
      <c r="I9" s="71">
        <v>14.11</v>
      </c>
      <c r="J9" s="71">
        <v>6.62</v>
      </c>
      <c r="K9" s="71">
        <v>7.42</v>
      </c>
      <c r="L9" s="71">
        <v>27.9</v>
      </c>
      <c r="M9" s="71">
        <v>2669</v>
      </c>
      <c r="N9" s="71">
        <v>6512</v>
      </c>
      <c r="O9" s="71">
        <v>3298</v>
      </c>
      <c r="P9" s="71">
        <v>877</v>
      </c>
      <c r="Q9" s="71">
        <v>7167</v>
      </c>
      <c r="R9" s="71">
        <v>7120</v>
      </c>
      <c r="S9" s="71">
        <v>6185</v>
      </c>
      <c r="T9" s="71">
        <v>7154</v>
      </c>
      <c r="U9" s="71">
        <v>155</v>
      </c>
      <c r="V9" s="71">
        <v>0</v>
      </c>
      <c r="W9" s="71">
        <v>0</v>
      </c>
      <c r="X9" s="71">
        <v>4667</v>
      </c>
      <c r="Y9" s="71">
        <v>4863</v>
      </c>
      <c r="Z9" s="71">
        <v>3085</v>
      </c>
      <c r="AA9" s="71">
        <v>2885</v>
      </c>
      <c r="AB9" s="71">
        <v>3073</v>
      </c>
      <c r="AC9" s="71">
        <v>9353</v>
      </c>
      <c r="AD9" s="71">
        <v>4780</v>
      </c>
      <c r="AE9" s="71">
        <v>3591</v>
      </c>
    </row>
    <row r="10" spans="1:99" s="72" customFormat="1" ht="22.5" ph="1">
      <c r="B10" s="191" ph="1"/>
      <c r="C10" s="147" t="s" ph="1">
        <v>178</v>
      </c>
      <c r="D10" s="73" ph="1">
        <f>D9*33.183*LOOKUP(D11,密度!$A$2:$A$50,密度!$Q$2:$Q$50)</f>
        <v>209936.58751359</v>
      </c>
      <c r="E10" s="73" ph="1">
        <f>E9*51.53*LOOKUP(E11,密度!$A$2:$A$50,密度!$B$2:$B$50)</f>
        <v>0</v>
      </c>
      <c r="F10" s="73" ph="1">
        <f>F9*33.183*LOOKUP(F11,密度!$A$2:$A$50,密度!$C$2:$C$50)</f>
        <v>90311.151446999997</v>
      </c>
      <c r="G10" s="73" ph="1">
        <f xml:space="preserve"> (G9+2)*51.53*LOOKUP(G11,密度!$A$2:$A$50,密度!$B$2:$B$50)</f>
        <v>102813.47017400002</v>
      </c>
      <c r="H10" s="73" ph="1">
        <f>(H9)*51.53*LOOKUP(H11,密度!$A$2:$A$50,密度!$B$2:$B$50)</f>
        <v>86517.014920000001</v>
      </c>
      <c r="I10" s="73" ph="1">
        <f>I9*290.8*1.0267</f>
        <v>4212.7431195999998</v>
      </c>
      <c r="J10" s="73" ph="1">
        <f>J9*290.8*0.7892</f>
        <v>1519.2857632</v>
      </c>
      <c r="K10" s="73" ph="1">
        <f>K9*290.8*1.1126</f>
        <v>2400.6970735999998</v>
      </c>
      <c r="L10" s="73" ph="1">
        <f>L9*290.8*0.777</f>
        <v>6304.0496400000002</v>
      </c>
      <c r="M10" s="73" ph="1">
        <f>M9*33.183*LOOKUP(M11,密度!$A$2:$A$50,密度!$D$2:$D$50)</f>
        <v>91346.3814078</v>
      </c>
      <c r="N10" s="73" ph="1">
        <f>N9*33.183*LOOKUP(N11,密度!$A$2:$A$50,密度!$E$2:$E$50)</f>
        <v>170536.40968320001</v>
      </c>
      <c r="O10" s="73" ph="1">
        <f>O9*20.428*LOOKUP(O11,密度!$A$2:$A$50,密度!$C$2:$C$50)</f>
        <v>74809.362457600015</v>
      </c>
      <c r="P10" s="73" ph="1">
        <f>P9*51.53*LOOKUP(P11,密度!$A$2:$A$50,密度!$B$2:$B$50)</f>
        <v>35353.552962999995</v>
      </c>
      <c r="Q10" s="73" ph="1">
        <f>Q9*1.5*1.5*3.1416*LOOKUP(W11,密度!$A$2:$A$50,密度!$L$2:$L$50)</f>
        <v>47570.356171799998</v>
      </c>
      <c r="R10" s="73" ph="1">
        <f>R9*1.5*1.5*3.1416*LOOKUP(R11,密度!$A$2:$A$50,密度!$L$2:$L$50)</f>
        <v>47208.069215999996</v>
      </c>
      <c r="S10" s="73" ph="1">
        <f>S9*1.5*1.5*3.1416*LOOKUP(S11,密度!$A$2:$A$50,密度!$L$2:$L$50)</f>
        <v>41271.010703999993</v>
      </c>
      <c r="T10" s="73" ph="1">
        <f>T9*1.5*1.5*3.1416*LOOKUP(T11,密度!$A$2:$A$50,密度!$L$2:$L$50)</f>
        <v>47787.482358000001</v>
      </c>
      <c r="U10" s="73" ph="1">
        <f>U9*1.5*1.5*3.1416*LOOKUP(U11,密度!$A$2:$A$50,密度!$L$2:$L$50)</f>
        <v>1032.086286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31207.741765199997</v>
      </c>
      <c r="Y10" s="73" ph="1">
        <f>Y9*1.5*1.5*3.1416*LOOKUP(Y11,密度!$A$2:$A$50,密度!$L$2:$L$50)</f>
        <v>32415.249497399996</v>
      </c>
      <c r="Z10" s="73" ph="1">
        <f>Z9*33.183*LOOKUP(Z11,密度!$A$2:$A$50,密度!$L$2:$L$50)</f>
        <v>96534.490364999991</v>
      </c>
      <c r="AA10" s="73" ph="1">
        <f>AA9*33.183*LOOKUP(AA11,密度!$A$2:$A$50,密度!$D$2:$D$50)</f>
        <v>98815.556150999997</v>
      </c>
      <c r="AB10" s="73" ph="1">
        <f>AB9*20.428*LOOKUP(AB11,密度!$A$2:$A$50,密度!$D$2:$D$50)</f>
        <v>65123.038125600011</v>
      </c>
      <c r="AC10" s="73" ph="1">
        <f>AC9*51.53*LOOKUP(AC11,密度!$A$2:$A$50,密度!$Q$2:$Q$50)</f>
        <v>458454.89641070005</v>
      </c>
      <c r="AD10" s="73" ph="1">
        <f>AD9*20.428*LOOKUP(AD11,密度!$A$2:$A$50,密度!$V$2:$V$50)</f>
        <v>93818.123072000002</v>
      </c>
      <c r="AE10" s="73" ph="1">
        <f>AE9*20.428</f>
        <v>73356.948000000004</v>
      </c>
    </row>
    <row r="11" spans="1:99" ph="1">
      <c r="A11" s="64" t="s" ph="1">
        <v>162</v>
      </c>
      <c r="B11" s="191" ph="1"/>
      <c r="C11" s="147" t="s" ph="1">
        <v>179</v>
      </c>
      <c r="D11" s="74">
        <v>19</v>
      </c>
      <c r="E11" s="74">
        <v>20</v>
      </c>
      <c r="F11" s="74">
        <v>17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20</v>
      </c>
      <c r="O11" s="74">
        <v>23</v>
      </c>
      <c r="P11" s="74">
        <v>22</v>
      </c>
      <c r="Q11" s="74">
        <v>22</v>
      </c>
      <c r="R11" s="74">
        <v>24</v>
      </c>
      <c r="S11" s="74">
        <v>18</v>
      </c>
      <c r="T11" s="74">
        <v>17</v>
      </c>
      <c r="U11" s="74">
        <v>20</v>
      </c>
      <c r="V11" s="74">
        <v>25</v>
      </c>
      <c r="W11" s="74">
        <v>23</v>
      </c>
      <c r="X11" s="74">
        <v>16</v>
      </c>
      <c r="Y11" s="74">
        <v>19</v>
      </c>
      <c r="Z11" s="74">
        <v>19</v>
      </c>
      <c r="AA11" s="74">
        <v>19</v>
      </c>
      <c r="AB11" s="74">
        <v>13</v>
      </c>
      <c r="AC11" s="74">
        <v>19</v>
      </c>
      <c r="AD11" s="74">
        <v>23</v>
      </c>
      <c r="AE11" s="74">
        <v>20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0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633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38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636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47" t="s" ph="1">
        <v>177</v>
      </c>
      <c r="D15" s="78">
        <v>2528</v>
      </c>
      <c r="E15" s="78">
        <v>6400</v>
      </c>
      <c r="F15" s="78">
        <v>3102</v>
      </c>
      <c r="G15" s="78">
        <v>3635</v>
      </c>
      <c r="H15" s="78">
        <v>5381</v>
      </c>
      <c r="I15" s="78">
        <v>3671</v>
      </c>
      <c r="J15" s="78">
        <v>5133</v>
      </c>
      <c r="K15" s="78">
        <v>2383</v>
      </c>
      <c r="L15" s="78">
        <v>932</v>
      </c>
      <c r="M15" s="78">
        <v>2586</v>
      </c>
      <c r="N15" s="78">
        <v>4245</v>
      </c>
      <c r="O15" s="78">
        <v>0</v>
      </c>
      <c r="P15" s="78">
        <v>3034</v>
      </c>
      <c r="Q15" s="78">
        <v>514</v>
      </c>
      <c r="R15" s="78">
        <v>7353</v>
      </c>
      <c r="S15" s="78">
        <v>6403</v>
      </c>
      <c r="T15" s="78">
        <v>2210</v>
      </c>
      <c r="U15" s="78">
        <v>5368</v>
      </c>
      <c r="V15" s="78">
        <v>148</v>
      </c>
      <c r="W15" s="71">
        <v>-817</v>
      </c>
      <c r="X15" s="78">
        <v>663</v>
      </c>
      <c r="Y15" s="106">
        <v>-9901</v>
      </c>
      <c r="Z15" s="78">
        <v>0</v>
      </c>
      <c r="AA15" s="78">
        <v>10</v>
      </c>
      <c r="AB15" s="78" ph="1">
        <v>1529</v>
      </c>
      <c r="AC15" s="78" ph="1">
        <v>0</v>
      </c>
      <c r="AD15" s="78">
        <v>34.200000000000003</v>
      </c>
      <c r="AE15" s="78">
        <v>5.55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47" t="s" ph="1">
        <v>178</v>
      </c>
      <c r="D16" s="73" ph="1">
        <f>D15*7.0686*LOOKUP(D17,密度!$A$2:$A$50,密度!$L$2:$L$50)</f>
        <v>16868.733235199998</v>
      </c>
      <c r="E16" s="73" ph="1">
        <f>E15*7.0686*LOOKUP(E17,密度!$A$2:$A$50,密度!$L$2:$L$50)</f>
        <v>42660.414720000001</v>
      </c>
      <c r="F16" s="73" ph="1">
        <f>F15*9.0746*LOOKUP(F17,密度!$A$2:$A$50,密度!$L$2:$L$50)</f>
        <v>26432.295238800001</v>
      </c>
      <c r="G16" s="73" ph="1">
        <f>G15*9.0746*LOOKUP(G17,密度!$A$2:$A$50,密度!$B$2:$B$50)</f>
        <v>25917.2345547</v>
      </c>
      <c r="H16" s="73" ph="1">
        <f>H15*9.0746*LOOKUP(H17,密度!$A$2:$A$50,密度!$L$2:$L$50)</f>
        <v>45998.258089199997</v>
      </c>
      <c r="I16" s="73" ph="1">
        <f>I15*9.0746*LOOKUP(I17,密度!$A$2:$A$50,密度!$U$2:$U$50)</f>
        <v>34245.616584800002</v>
      </c>
      <c r="J16" s="73" ph="1">
        <f>J15*9.0746*LOOKUP(J17,密度!$A$2:$A$50,密度!$L$2:$L$50)</f>
        <v>43878.286335600002</v>
      </c>
      <c r="K16" s="73" ph="1">
        <f>K15*9.0746*LOOKUP(K17,密度!$A$2:$A$50,密度!$C$2:$C$50)</f>
        <v>24100.808171100005</v>
      </c>
      <c r="L16" s="73" ph="1">
        <f>L15*9.0746*LOOKUP(L17,密度!$A$2:$A$50,密度!$E$2:$E$50)</f>
        <v>6711.8935859200001</v>
      </c>
      <c r="M16" s="73" ph="1">
        <f>M15*9.0746*LOOKUP(M17,密度!$A$2:$A$50,密度!$M$2:$M$50)</f>
        <v>20657.925802679998</v>
      </c>
      <c r="N16" s="73" ph="1">
        <f>N15*9.0746*LOOKUP(N17,密度!$A$2:$A$50,密度!$M$2:$M$50)</f>
        <v>33910.6322631</v>
      </c>
      <c r="O16" s="73" ph="1">
        <f>O15*9.0746*LOOKUP(O17,密度!$A$2:$A$50,密度!$G$2:$G$50)</f>
        <v>0</v>
      </c>
      <c r="P16" s="73" ph="1">
        <f ca="1">P15*9.0746*LOOKUP(P17,密度!$A$2:$A$51,密度!$Q$2:$Q$50)</f>
        <v>26106.161374480002</v>
      </c>
      <c r="Q16" s="73" ph="1">
        <f>Q15*9.0746*LOOKUP(Q17,密度!$A$2:$A$50,密度!$Q$2:$Q$50)</f>
        <v>4444.1873443200002</v>
      </c>
      <c r="R16" s="73" ph="1">
        <f>MAX(R15*9.0746*LOOKUP(R17,密度!$A$2:$A$50,密度!$B$2:$B$50),0)</f>
        <v>52319.491052580008</v>
      </c>
      <c r="S16" s="73" ph="1">
        <f>S15*9.0746*LOOKUP(S17,密度!$A$2:$A$50,密度!$Q$2:$Q$50)</f>
        <v>55316.220984238003</v>
      </c>
      <c r="T16" s="73" ph="1">
        <f>T15*9.0746*LOOKUP(T17,密度!$A$2:$A$50,密度!$O$2:$O$50)</f>
        <v>18731.244844000004</v>
      </c>
      <c r="U16" s="73" ph="1">
        <f>U15*9.0746*LOOKUP(U17,密度!$A$2:$A$50,密度!$H$2:$H$50)</f>
        <v>44849.555292959994</v>
      </c>
      <c r="V16" s="73" ph="1">
        <f>MAX(5600*LOOKUP(V17,密度!$A$2:$A$50,密度!$Q$2:$Q$50)+V15*9.0476*LOOKUP(V17,密度!$A$2:$A$50,密度!$Q$2:$Q$50),0)</f>
        <v>6606.0400400480003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12141.37135184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71.50784800000001</v>
      </c>
      <c r="AB16" s="73" ph="1">
        <f>AB15*9.0746*LOOKUP(AB17,密度!$A$2:$A$50,密度!$L$2:$L$50)</f>
        <v>13084.1847862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8384.4857376</v>
      </c>
      <c r="AE16" s="73" ph="1">
        <f>AE15*268.68*LOOKUP(AE17,密度!$A$2:$A$50,密度!B2:B50)+IF(AE15&lt;=0,0,1566*LOOKUP(AE17,密度!$A$2:$A$50,密度!B2:B50))</f>
        <v>2383.3728504000001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18</v>
      </c>
      <c r="E17" s="74">
        <v>19</v>
      </c>
      <c r="F17" s="74">
        <v>23</v>
      </c>
      <c r="G17" s="74">
        <v>18</v>
      </c>
      <c r="H17" s="74">
        <v>20</v>
      </c>
      <c r="I17" s="74">
        <v>16</v>
      </c>
      <c r="J17" s="74">
        <v>20</v>
      </c>
      <c r="K17" s="74">
        <v>17</v>
      </c>
      <c r="L17" s="74">
        <v>16</v>
      </c>
      <c r="M17" s="74">
        <v>19</v>
      </c>
      <c r="N17" s="74">
        <v>18</v>
      </c>
      <c r="O17" s="74">
        <v>19</v>
      </c>
      <c r="P17" s="74">
        <v>23</v>
      </c>
      <c r="Q17" s="74">
        <v>17</v>
      </c>
      <c r="R17" s="74">
        <v>20</v>
      </c>
      <c r="S17" s="74">
        <v>18</v>
      </c>
      <c r="T17" s="74">
        <v>18</v>
      </c>
      <c r="U17" s="74">
        <v>19</v>
      </c>
      <c r="V17" s="74">
        <v>18</v>
      </c>
      <c r="W17" s="74">
        <v>18</v>
      </c>
      <c r="X17" s="74">
        <v>21</v>
      </c>
      <c r="Y17" s="108">
        <v>21</v>
      </c>
      <c r="Z17" s="74">
        <v>18</v>
      </c>
      <c r="AA17" s="74">
        <v>15</v>
      </c>
      <c r="AB17" s="74">
        <v>19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3312</v>
      </c>
      <c r="E18" s="71">
        <v>6062</v>
      </c>
      <c r="F18" s="71">
        <v>3110</v>
      </c>
      <c r="G18" s="71">
        <v>3508</v>
      </c>
      <c r="H18" s="71">
        <v>5388</v>
      </c>
      <c r="I18" s="71">
        <v>3674</v>
      </c>
      <c r="J18" s="71">
        <v>4990</v>
      </c>
      <c r="K18" s="71">
        <v>2383</v>
      </c>
      <c r="L18" s="71">
        <v>932</v>
      </c>
      <c r="M18" s="71">
        <v>2591</v>
      </c>
      <c r="N18" s="71">
        <v>2974</v>
      </c>
      <c r="O18" s="71">
        <v>0</v>
      </c>
      <c r="P18" s="71">
        <v>0</v>
      </c>
      <c r="Q18" s="71">
        <v>54</v>
      </c>
      <c r="R18" s="71">
        <v>7366</v>
      </c>
      <c r="S18" s="71">
        <v>6410</v>
      </c>
      <c r="T18" s="71">
        <v>2213</v>
      </c>
      <c r="U18" s="71">
        <v>5373</v>
      </c>
      <c r="V18" s="71">
        <v>-817</v>
      </c>
      <c r="W18" s="71">
        <v>-817</v>
      </c>
      <c r="X18" s="71">
        <v>662</v>
      </c>
      <c r="Y18" s="109">
        <v>-9903</v>
      </c>
      <c r="Z18" s="71">
        <v>0</v>
      </c>
      <c r="AA18" s="71">
        <v>11</v>
      </c>
      <c r="AB18" s="71">
        <v>1531</v>
      </c>
      <c r="AC18" s="71">
        <v>0</v>
      </c>
      <c r="AD18" s="71">
        <v>80.91</v>
      </c>
      <c r="AE18" s="71">
        <v>5.61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47" t="s" ph="1">
        <v>178</v>
      </c>
      <c r="D19" s="73" ph="1">
        <f>D18*7.0686*LOOKUP(D20,密度!$A$2:$A$50,密度!$L$2:$L$50)</f>
        <v>22053.3534144</v>
      </c>
      <c r="E19" s="73" ph="1">
        <f>E18*7.0686*LOOKUP(E20,密度!$A$2:$A$50,密度!$L$2:$L$50)</f>
        <v>40321.711861199998</v>
      </c>
      <c r="F19" s="73" ph="1">
        <f>F18*9.0746*LOOKUP(F20,密度!$A$2:$A$50,密度!$L$2:$L$50)</f>
        <v>26444.019622000003</v>
      </c>
      <c r="G19" s="73" ph="1">
        <f>G18*9.0746*LOOKUP(G20,密度!$A$2:$A$50,密度!$B$2:$B$50)</f>
        <v>24960.801660880003</v>
      </c>
      <c r="H19" s="73" ph="1">
        <f>H18*9.0746*LOOKUP(H20,密度!$A$2:$A$50,密度!$L$2:$L$50)</f>
        <v>46204.777836000001</v>
      </c>
      <c r="I19" s="73" ph="1">
        <f>I18*9.0746*LOOKUP(I20,密度!$A$2:$A$50,密度!$U$2:$U$50)</f>
        <v>34273.602651200003</v>
      </c>
      <c r="J19" s="73" ph="1">
        <f>J18*9.0746*LOOKUP(J20,密度!$A$2:$A$50,密度!$L$2:$L$50)</f>
        <v>42520.036505999997</v>
      </c>
      <c r="K19" s="73" ph="1">
        <f>K18*9.0746*LOOKUP(K20,密度!$A$2:$A$50,密度!$C$2:$C$50)</f>
        <v>24059.721104680004</v>
      </c>
      <c r="L19" s="73" ph="1">
        <f>L18*9.0746*LOOKUP(L20,密度!$A$2:$A$50,密度!$E$2:$E$50)</f>
        <v>6664.531433600001</v>
      </c>
      <c r="M19" s="73" ph="1">
        <f>M18*9.0746*LOOKUP(M20,密度!$A$2:$A$50,密度!$M$2:$M$50)</f>
        <v>20643.789390800001</v>
      </c>
      <c r="N19" s="73" ph="1">
        <f>N18*9.0746*LOOKUP(N20,密度!$A$2:$A$50,密度!$M$2:$M$50)</f>
        <v>23757.413510120001</v>
      </c>
      <c r="O19" s="73" ph="1">
        <f>O18*9.0746*LOOKUP(O20,密度!$A$2:$A$50,密度!$G$2:$G$50)</f>
        <v>0</v>
      </c>
      <c r="P19" s="73" ph="1">
        <f ca="1">P18*9.0746*LOOKUP(P20,密度!$A$2:$A$51,密度!$Q$2:$Q$50)</f>
        <v>0</v>
      </c>
      <c r="Q19" s="73" ph="1">
        <f>Q18*9.0746*LOOKUP(Q20,密度!$A$2:$A$50,密度!$Q$2:$Q$50)</f>
        <v>465.37507119600002</v>
      </c>
      <c r="R19" s="73" ph="1">
        <f>MAX(R18*9.0746*LOOKUP(R20,密度!$A$2:$A$50,密度!$B$2:$B$50),0)</f>
        <v>52231.513713039996</v>
      </c>
      <c r="S19" s="73" ph="1">
        <f>S18*9.0746*LOOKUP(S20,密度!$A$2:$A$50,密度!$Q$2:$Q$50)</f>
        <v>55331.323568780004</v>
      </c>
      <c r="T19" s="73" ph="1">
        <f>T18*9.0746*LOOKUP(T20,密度!$A$2:$A$50,密度!$O$2:$O$50)</f>
        <v>18676.343514000004</v>
      </c>
      <c r="U19" s="73" ph="1">
        <f>U18*9.0746*LOOKUP(U20,密度!$A$2:$A$50,密度!$H$2:$H$50)</f>
        <v>44988.845865659998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12079.747523760001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78.578776320000003</v>
      </c>
      <c r="AB19" s="73" ph="1">
        <f>AB18*9.0746*LOOKUP(AB20,密度!$A$2:$A$50,密度!$L$2:$L$50)</f>
        <v>13073.513056600001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18107.906367600001</v>
      </c>
      <c r="AE19" s="73" ph="1">
        <f>AE18*268.68*LOOKUP(AE20,密度!$A$2:$A$50,密度!B5:B53)+IF(AE18&lt;=0,0,1566*LOOKUP(AE20,密度!$A$2:$A$50,密度!B5:B53))</f>
        <v>2387.9500595999998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20</v>
      </c>
      <c r="E20" s="81">
        <v>21</v>
      </c>
      <c r="F20" s="81">
        <v>25</v>
      </c>
      <c r="G20" s="81">
        <v>20</v>
      </c>
      <c r="H20" s="81">
        <v>17</v>
      </c>
      <c r="I20" s="81">
        <v>20</v>
      </c>
      <c r="J20" s="81">
        <v>23</v>
      </c>
      <c r="K20" s="81">
        <v>20</v>
      </c>
      <c r="L20" s="81">
        <v>21</v>
      </c>
      <c r="M20" s="81">
        <v>22</v>
      </c>
      <c r="N20" s="81">
        <v>20</v>
      </c>
      <c r="O20" s="81">
        <v>23</v>
      </c>
      <c r="P20" s="81">
        <v>25</v>
      </c>
      <c r="Q20" s="81">
        <v>21</v>
      </c>
      <c r="R20" s="81">
        <v>23</v>
      </c>
      <c r="S20" s="81">
        <v>19</v>
      </c>
      <c r="T20" s="81">
        <v>22</v>
      </c>
      <c r="U20" s="81">
        <v>17</v>
      </c>
      <c r="V20" s="81">
        <v>20</v>
      </c>
      <c r="W20" s="81">
        <v>21</v>
      </c>
      <c r="X20" s="81">
        <v>25</v>
      </c>
      <c r="Y20" s="110">
        <v>25</v>
      </c>
      <c r="Z20" s="81">
        <v>22</v>
      </c>
      <c r="AA20" s="81">
        <v>16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640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47" t="s" ph="1">
        <v>177</v>
      </c>
      <c r="D24" s="71">
        <v>3.67</v>
      </c>
      <c r="E24" s="71">
        <v>4.95</v>
      </c>
      <c r="F24" s="71">
        <v>576</v>
      </c>
      <c r="G24" s="71">
        <v>2842</v>
      </c>
      <c r="H24" s="71">
        <v>1917</v>
      </c>
      <c r="I24" s="71">
        <v>67</v>
      </c>
      <c r="J24" s="71">
        <v>1267</v>
      </c>
      <c r="K24" s="71">
        <v>2441</v>
      </c>
      <c r="L24" s="71">
        <v>5547</v>
      </c>
      <c r="M24" s="71">
        <v>4874</v>
      </c>
      <c r="N24" s="71">
        <v>5597</v>
      </c>
      <c r="O24" s="71">
        <v>5723</v>
      </c>
      <c r="P24" s="71">
        <v>651</v>
      </c>
      <c r="Q24" s="90">
        <v>3852</v>
      </c>
      <c r="R24" s="71">
        <v>5758</v>
      </c>
      <c r="S24" s="71">
        <v>4825</v>
      </c>
      <c r="T24" s="71">
        <v>160</v>
      </c>
      <c r="U24" s="71">
        <v>4280</v>
      </c>
      <c r="V24" s="71">
        <v>8424</v>
      </c>
      <c r="W24" s="71">
        <v>508</v>
      </c>
      <c r="X24" s="71">
        <v>3689</v>
      </c>
      <c r="Y24" s="71">
        <v>5137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2416.1331187440001</v>
      </c>
      <c r="E25" s="91" ph="1">
        <f>E24*268.68*LOOKUP(E26,密度!$A$2:$A$50,密度!$C$2:$C$50)+IF(E24&lt;=0,0,1566*LOOKUP(E26,密度!$A$2:$A$50,密度!$C$2:$C$50))</f>
        <v>3211.3366974</v>
      </c>
      <c r="F25" s="91" ph="1">
        <f>F24*11.702*LOOKUP(F26,密度!$A$2:$A$50,密度!$Q$2:$Q$50)</f>
        <v>6411.6250329599998</v>
      </c>
      <c r="G25" s="91" ph="1">
        <f>G24*18.322*LOOKUP(G26,密度!$A$2:$A$50,密度!$B$2:$B$50)</f>
        <v>40870.625227600001</v>
      </c>
      <c r="H25" s="91" ph="1">
        <f>H24*18.322*LOOKUP(H26,密度!$A$2:$A$50,密度!$B$2:$B$50)</f>
        <v>27596.356381799997</v>
      </c>
      <c r="I25" s="91" ph="1">
        <f>I24*18.322*LOOKUP(I26,密度!$A$2:$A$50,密度!$Q$2:$Q$50)</f>
        <v>1167.7052160199999</v>
      </c>
      <c r="J25" s="91" ph="1">
        <f>J24*18.322*LOOKUP(J26,密度!$A$2:$A$50,密度!$Q$2:$Q$50)</f>
        <v>22099.935387739999</v>
      </c>
      <c r="K25" s="91" ph="1">
        <f>K24*18.322*LOOKUP(K26,密度!$A$2:$A$50,密度!$Q$2:$Q$50)</f>
        <v>42542.812422460003</v>
      </c>
      <c r="L25" s="91" ph="1">
        <f>L24*18.322*LOOKUP(L26,密度!$A$2:$A$50,密度!$Q$2:$Q$50)</f>
        <v>96675.534824819988</v>
      </c>
      <c r="M25" s="91" ph="1">
        <f>M24*18.322*LOOKUP(M26,密度!$A$2:$A$50,密度!$Q$2:$Q$50)</f>
        <v>85086.400598399996</v>
      </c>
      <c r="N25" s="91" ph="1">
        <f>N24*18.322*LOOKUP(N26,密度!$A$2:$A$50,密度!$Q$2:$Q$50)</f>
        <v>97626.944250340006</v>
      </c>
      <c r="O25" s="91" ph="1">
        <f>O24*18.322*LOOKUP(O26,密度!$A$2:$A$50,密度!$C$2:$C$50)</f>
        <v>116726.59643919999</v>
      </c>
      <c r="P25" s="91" ph="1">
        <f>P24*11.702*LOOKUP(P26,密度!$A$2:$A$50,密度!$B$2:$B$50)</f>
        <v>5973.2753682000002</v>
      </c>
      <c r="Q25" s="92" ph="1">
        <f>Q24*18.322*LOOKUP(Q26,密度!$A$2:$A$50,密度!$B$2:$B$50)</f>
        <v>55395.372405599999</v>
      </c>
      <c r="R25" s="91" ph="1">
        <f>R24*35.891*LOOKUP(R26,密度!$A$2:$A$50,密度!$C$2:$C$50)</f>
        <v>230198.99505419997</v>
      </c>
      <c r="S25" s="91" ph="1">
        <f>S24*35.891*LOOKUP(S26,密度!$A$2:$A$50,密度!$B$2:$B$50)</f>
        <v>136062.87072749998</v>
      </c>
      <c r="T25" s="91" ph="1">
        <f>T24*35.891*LOOKUP(T26,密度!$A$2:$A$50,密度!$Q$2:$Q$50)</f>
        <v>5457.6141727999993</v>
      </c>
      <c r="U25" s="91" ph="1">
        <f>U24*35.891</f>
        <v>153613.47999999998</v>
      </c>
      <c r="V25" s="91" ph="1">
        <f>V24*47.051*LOOKUP(V26,密度!$A$2:$A$50,密度!$B$2:$B$50)</f>
        <v>310784.01297839999</v>
      </c>
      <c r="W25" s="91" ph="1">
        <f>W24*47.051*LOOKUP(W26,密度!$A$2:$A$50,密度!$B$2:$B$50)</f>
        <v>18741.486062799999</v>
      </c>
      <c r="X25" s="91" ph="1">
        <f>X24*47.051*LOOKUP(X26,密度!$A$2:$A$61,密度!$I$2:$I$61)</f>
        <v>177615.34653870002</v>
      </c>
      <c r="Y25" s="91" ph="1">
        <f>Y24*47.051*LOOKUP(Y26,密度!$A$2:$A$50,密度!$L$2:$L$50)</f>
        <v>227924.030741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19</v>
      </c>
      <c r="G26" s="74">
        <v>19</v>
      </c>
      <c r="H26" s="74">
        <v>18</v>
      </c>
      <c r="I26" s="74">
        <v>19</v>
      </c>
      <c r="J26" s="74">
        <v>18</v>
      </c>
      <c r="K26" s="74">
        <v>19</v>
      </c>
      <c r="L26" s="74">
        <v>19</v>
      </c>
      <c r="M26" s="74">
        <v>17</v>
      </c>
      <c r="N26" s="74">
        <v>18</v>
      </c>
      <c r="O26" s="74">
        <v>19</v>
      </c>
      <c r="P26" s="74">
        <v>20</v>
      </c>
      <c r="Q26" s="93">
        <v>19</v>
      </c>
      <c r="R26" s="74">
        <v>18</v>
      </c>
      <c r="S26" s="74">
        <v>18</v>
      </c>
      <c r="T26" s="74">
        <v>20</v>
      </c>
      <c r="U26" s="74">
        <v>18</v>
      </c>
      <c r="V26" s="74">
        <v>20</v>
      </c>
      <c r="W26" s="74">
        <v>20</v>
      </c>
      <c r="X26" s="74">
        <v>42</v>
      </c>
      <c r="Y26" s="74">
        <v>19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47" t="s" ph="1">
        <v>180</v>
      </c>
      <c r="D27" s="71">
        <v>3.71</v>
      </c>
      <c r="E27" s="71">
        <v>4.92</v>
      </c>
      <c r="F27" s="71">
        <v>575</v>
      </c>
      <c r="G27" s="71">
        <v>2351</v>
      </c>
      <c r="H27" s="71">
        <v>1067</v>
      </c>
      <c r="I27" s="71">
        <v>66</v>
      </c>
      <c r="J27" s="71">
        <v>1265</v>
      </c>
      <c r="K27" s="71">
        <v>2440</v>
      </c>
      <c r="L27" s="71">
        <v>5547</v>
      </c>
      <c r="M27" s="71">
        <v>4876</v>
      </c>
      <c r="N27" s="71">
        <v>5598</v>
      </c>
      <c r="O27" s="71">
        <v>5722</v>
      </c>
      <c r="P27" s="71">
        <v>650</v>
      </c>
      <c r="Q27" s="90">
        <v>3622</v>
      </c>
      <c r="R27" s="71">
        <v>5758</v>
      </c>
      <c r="S27" s="71">
        <v>4823</v>
      </c>
      <c r="T27" s="71">
        <v>159</v>
      </c>
      <c r="U27" s="71">
        <v>4151</v>
      </c>
      <c r="V27" s="71">
        <v>8426</v>
      </c>
      <c r="W27" s="71">
        <v>1173</v>
      </c>
      <c r="X27" s="71">
        <v>3691</v>
      </c>
      <c r="Y27" s="71">
        <v>5141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47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3202.3985198400001</v>
      </c>
      <c r="F28" s="91" ph="1">
        <f>F27*11.702*LOOKUP(F29,密度!$A$2:$A$50,密度!$Q$2:$Q$50)</f>
        <v>6400.4937394999997</v>
      </c>
      <c r="G28" s="91" ph="1">
        <f>G27*18.322*LOOKUP(G29,密度!$A$2:$A$50,密度!$B$2:$B$50)</f>
        <v>33775.124750199997</v>
      </c>
      <c r="H28" s="91" ph="1">
        <f>H27*18.322*LOOKUP(H29,密度!$A$2:$A$50,密度!$B$2:$B$50)</f>
        <v>15344.460632600001</v>
      </c>
      <c r="I28" s="91" ph="1">
        <f>I27*18.322*LOOKUP(I29,密度!$A$2:$A$50,密度!$Q$2:$Q$50)</f>
        <v>1149.24891576</v>
      </c>
      <c r="J28" s="91" ph="1">
        <f>J27*18.322*LOOKUP(J29,密度!$A$2:$A$50,密度!$Q$2:$Q$50)</f>
        <v>22046.971615899998</v>
      </c>
      <c r="K28" s="91" ph="1">
        <f>K27*18.322*LOOKUP(K29,密度!$A$2:$A$50,密度!$Q$2:$Q$50)</f>
        <v>42487.384158400004</v>
      </c>
      <c r="L28" s="91" ph="1">
        <f>L27*18.322*LOOKUP(L29,密度!$A$2:$A$50,密度!$Q$2:$Q$50)</f>
        <v>96519.021338459992</v>
      </c>
      <c r="M28" s="91" ph="1">
        <f>M27*18.322*LOOKUP(M29,密度!$A$2:$A$50,密度!$Q$2:$Q$50)</f>
        <v>84981.054228559995</v>
      </c>
      <c r="N28" s="91" ph="1">
        <f>N27*18.322*LOOKUP(N29,密度!$A$2:$A$50,密度!$Q$2:$Q$50)</f>
        <v>97477.203491280001</v>
      </c>
      <c r="O28" s="91" ph="1">
        <f>O27*18.322*LOOKUP(O29,密度!$A$2:$A$50,密度!$C$2:$C$50)</f>
        <v>116706.20038879999</v>
      </c>
      <c r="P28" s="91" ph="1">
        <f>P27*11.702*LOOKUP(P29,密度!$A$2:$A$50,密度!$B$2:$B$50)</f>
        <v>5970.18487</v>
      </c>
      <c r="Q28" s="92" ph="1">
        <f>Q27*18.322*LOOKUP(Q29,密度!$A$2:$A$50,密度!$B$2:$B$50)</f>
        <v>51974.940828799998</v>
      </c>
      <c r="R28" s="91" ph="1">
        <f>R27*35.891*LOOKUP(R29,密度!$A$2:$A$50,密度!$C$2:$C$50)</f>
        <v>229930.33656280002</v>
      </c>
      <c r="S28" s="91" ph="1">
        <f>S27*35.891*LOOKUP(S29,密度!$A$2:$A$50,密度!$B$2:$B$50)</f>
        <v>135867.9897757</v>
      </c>
      <c r="T28" s="91" ph="1">
        <f>T27*35.891*LOOKUP(T29,密度!$A$2:$A$50,密度!$Q$2:$Q$50)</f>
        <v>5423.5040842199996</v>
      </c>
      <c r="U28" s="91" ph="1">
        <f>U27*35.891</f>
        <v>148983.541</v>
      </c>
      <c r="V28" s="91" ph="1">
        <f>V27*47.051*LOOKUP(V29,密度!$A$2:$A$50,密度!$B$2:$B$50)</f>
        <v>311174.95973740006</v>
      </c>
      <c r="W28" s="91" ph="1">
        <f>W27*47.051*LOOKUP(W29,密度!$A$2:$A$50,密度!$B$2:$B$50)</f>
        <v>43275.124314300003</v>
      </c>
      <c r="X28" s="91" ph="1">
        <f>X27*47.051*LOOKUP(X29,密度!$A$2:$A$61,密度!$I$2:$I$61)</f>
        <v>177520.60935020001</v>
      </c>
      <c r="Y28" s="91" ph="1">
        <f>Y27*47.051*LOOKUP(Y29,密度!$A$2:$A$50,密度!$L$2:$L$50)</f>
        <v>227859.617922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47" t="s" ph="1">
        <v>179</v>
      </c>
      <c r="D29" s="74">
        <v>25</v>
      </c>
      <c r="E29" s="74">
        <v>25</v>
      </c>
      <c r="F29" s="74">
        <v>19</v>
      </c>
      <c r="G29" s="74">
        <v>20</v>
      </c>
      <c r="H29" s="74">
        <v>19</v>
      </c>
      <c r="I29" s="74">
        <v>20</v>
      </c>
      <c r="J29" s="74">
        <v>19</v>
      </c>
      <c r="K29" s="74">
        <v>20</v>
      </c>
      <c r="L29" s="74">
        <v>21</v>
      </c>
      <c r="M29" s="74">
        <v>19</v>
      </c>
      <c r="N29" s="74">
        <v>20</v>
      </c>
      <c r="O29" s="74">
        <v>19</v>
      </c>
      <c r="P29" s="74">
        <v>19</v>
      </c>
      <c r="Q29" s="93">
        <v>21</v>
      </c>
      <c r="R29" s="74">
        <v>20</v>
      </c>
      <c r="S29" s="74">
        <v>19</v>
      </c>
      <c r="T29" s="74">
        <v>20</v>
      </c>
      <c r="U29" s="74">
        <v>20</v>
      </c>
      <c r="V29" s="74">
        <v>19</v>
      </c>
      <c r="W29" s="74">
        <v>20</v>
      </c>
      <c r="X29" s="74">
        <v>43</v>
      </c>
      <c r="Y29" s="74">
        <v>20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163938.59427659999</v>
      </c>
      <c r="E33" s="213" ph="1">
        <f>M10+I10</f>
        <v>95559.124527399996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17" ph="1">
        <f>N19</f>
        <v>23757.413510120001</v>
      </c>
      <c r="H33" s="213" ph="1">
        <f>M19</f>
        <v>20643.789390800001</v>
      </c>
      <c r="I33" s="226" ph="1">
        <v>0</v>
      </c>
      <c r="J33" s="224" ph="1">
        <f>F10+O28</f>
        <v>207017.35183579999</v>
      </c>
      <c r="K33" s="213" ph="1">
        <f>O10+K10+E28+R28</f>
        <v>310342.79461384006</v>
      </c>
      <c r="L33" s="228" ph="1">
        <f>K19</f>
        <v>24059.721104680004</v>
      </c>
      <c r="M33" s="224" ph="1">
        <f>G10+H10+W28+S28+V28+E10+R19+P28+Q28</f>
        <v>789825.19833324011</v>
      </c>
      <c r="N33" s="213" ph="1">
        <f>L10+P10++G28+H28+AD19+AE19</f>
        <v>111273.044413</v>
      </c>
      <c r="O33" s="226" ph="1">
        <f>G19</f>
        <v>24960.801660880003</v>
      </c>
      <c r="P33" s="224" ph="1">
        <f>L19</f>
        <v>6664.531433600001</v>
      </c>
      <c r="Q33" s="213" ph="1">
        <f>J10+N10</f>
        <v>172055.6954464</v>
      </c>
      <c r="R33" s="226" ph="1">
        <f>BE23</f>
        <v>890</v>
      </c>
      <c r="S33" s="224" ph="1">
        <f>X28</f>
        <v>177520.60935020001</v>
      </c>
      <c r="T33" s="213" ph="1">
        <f>X19</f>
        <v>12079.747523760001</v>
      </c>
      <c r="U33" s="234" ph="1">
        <f>BE21</f>
        <v>730</v>
      </c>
      <c r="V33" s="245" ph="1">
        <f ca="1">P19+Q19+S19+M28+N28+J28+D10+AC10+D19+E19+H19+J19+O19+V19+W19+K28+L28</f>
        <v>1218799.6970144659</v>
      </c>
      <c r="W33" s="245" ph="1">
        <f>D28+F28+T28+I28</f>
        <v>15399.554662351999</v>
      </c>
      <c r="X33" s="226" ph="1">
        <f>BE29+BE31</f>
        <v>10200</v>
      </c>
      <c r="Y33" s="247" ph="1">
        <f>+Q10+R10+S10+T10+U10+V10+W10+X10+Y10</f>
        <v>248491.99599839997</v>
      </c>
      <c r="Z33" s="232" ph="1">
        <f>T19+U19+Y28+Z10</f>
        <v>388059.29766665999</v>
      </c>
      <c r="AA33" s="234" ph="1">
        <f>BE19</f>
        <v>1440</v>
      </c>
      <c r="AB33" s="236" ph="1">
        <f>I19</f>
        <v>34273.602651200003</v>
      </c>
      <c r="AC33" s="238" ph="1">
        <f>AD10+AB19</f>
        <v>106891.6361286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45" t="s" ph="1">
        <v>185</v>
      </c>
      <c r="AA36" s="145" ph="1"/>
      <c r="AB36" s="231" t="s" ph="1">
        <v>638</v>
      </c>
      <c r="AC36" s="231" ph="1"/>
      <c r="AD36" s="231" ph="1"/>
      <c r="AE36" s="231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342</v>
      </c>
      <c r="AI37" s="145" t="s" ph="1">
        <v>209</v>
      </c>
      <c r="AJ37" s="145" t="s" ph="1">
        <v>210</v>
      </c>
      <c r="AK37" s="145" t="s" ph="1">
        <v>211</v>
      </c>
      <c r="AM37" s="145" t="s" ph="1">
        <v>210</v>
      </c>
      <c r="AN37" s="145" t="s" ph="1">
        <v>211</v>
      </c>
      <c r="AO37" s="145" t="s" ph="1">
        <v>212</v>
      </c>
      <c r="AP37" s="145" t="s" ph="1">
        <v>210</v>
      </c>
      <c r="AQ37" s="145" t="s" ph="1">
        <v>211</v>
      </c>
      <c r="AR37" s="145" t="s" ph="1">
        <v>212</v>
      </c>
      <c r="AS37" s="145" t="s" ph="1">
        <v>210</v>
      </c>
      <c r="AT37" s="145" t="s" ph="1">
        <v>211</v>
      </c>
      <c r="AU37" s="145" t="s" ph="1">
        <v>212</v>
      </c>
      <c r="AV37" s="145" t="s" ph="1">
        <v>210</v>
      </c>
      <c r="AW37" s="145" t="s" ph="1">
        <v>211</v>
      </c>
      <c r="AX37" s="145" t="s" ph="1">
        <v>212</v>
      </c>
      <c r="AY37" s="145" t="s" ph="1">
        <v>211</v>
      </c>
      <c r="AZ37" s="145" t="s" ph="1">
        <v>213</v>
      </c>
      <c r="BD37" s="145" t="s" ph="1">
        <v>305</v>
      </c>
      <c r="BE37" s="14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853" priority="99">
      <formula>ABS(D$7-D$10)&gt;=1000</formula>
    </cfRule>
  </conditionalFormatting>
  <conditionalFormatting sqref="E4 E6:E11">
    <cfRule type="expression" dxfId="2852" priority="98">
      <formula>ABS(E$7-E$10)&gt;=1000</formula>
    </cfRule>
  </conditionalFormatting>
  <conditionalFormatting sqref="F4:F11">
    <cfRule type="expression" dxfId="2851" priority="97">
      <formula>ABS(F$7-F$10)&gt;=1000</formula>
    </cfRule>
  </conditionalFormatting>
  <conditionalFormatting sqref="G4:G11">
    <cfRule type="expression" dxfId="2850" priority="96">
      <formula>ABS(G$7-G$10)&gt;=1000</formula>
    </cfRule>
  </conditionalFormatting>
  <conditionalFormatting sqref="H4:H11">
    <cfRule type="expression" dxfId="2849" priority="95">
      <formula>ABS(H$7-H$10)&gt;=1000</formula>
    </cfRule>
  </conditionalFormatting>
  <conditionalFormatting sqref="I4:I11">
    <cfRule type="expression" dxfId="2848" priority="94">
      <formula>ABS(I$7-I$10)&gt;=1000</formula>
    </cfRule>
  </conditionalFormatting>
  <conditionalFormatting sqref="J4:J11">
    <cfRule type="expression" dxfId="2847" priority="93">
      <formula>ABS(J$7-J$10)&gt;=1000</formula>
    </cfRule>
  </conditionalFormatting>
  <conditionalFormatting sqref="K4:K11">
    <cfRule type="expression" dxfId="2846" priority="92">
      <formula>ABS(K$7-K$10)&gt;=1000</formula>
    </cfRule>
  </conditionalFormatting>
  <conditionalFormatting sqref="L4:L11">
    <cfRule type="expression" dxfId="2845" priority="91">
      <formula>ABS(L$7-L$10)&gt;=1000</formula>
    </cfRule>
  </conditionalFormatting>
  <conditionalFormatting sqref="M4 M6:M11">
    <cfRule type="expression" dxfId="2844" priority="90">
      <formula>ABS(M$7-M$10)&gt;=1000</formula>
    </cfRule>
  </conditionalFormatting>
  <conditionalFormatting sqref="N4 N6:N11">
    <cfRule type="expression" dxfId="2843" priority="89">
      <formula>ABS(N$7-N$10)&gt;=1000</formula>
    </cfRule>
  </conditionalFormatting>
  <conditionalFormatting sqref="O4 O6:O11">
    <cfRule type="expression" dxfId="2842" priority="88">
      <formula>ABS(O$7-O$10)&gt;=1000</formula>
    </cfRule>
  </conditionalFormatting>
  <conditionalFormatting sqref="P4 P6:P11">
    <cfRule type="expression" dxfId="2841" priority="87">
      <formula>ABS(P$7-P$10)&gt;=1000</formula>
    </cfRule>
  </conditionalFormatting>
  <conditionalFormatting sqref="Q4:Q11">
    <cfRule type="expression" dxfId="2840" priority="86">
      <formula>ABS(Q$7-Q$10)&gt;=1000</formula>
    </cfRule>
  </conditionalFormatting>
  <conditionalFormatting sqref="R4:R11">
    <cfRule type="expression" dxfId="2839" priority="85">
      <formula>ABS(R$7-R$10)&gt;=1000</formula>
    </cfRule>
  </conditionalFormatting>
  <conditionalFormatting sqref="S4:S11">
    <cfRule type="expression" dxfId="2838" priority="84">
      <formula>ABS(S$7-S$10)&gt;=1000</formula>
    </cfRule>
  </conditionalFormatting>
  <conditionalFormatting sqref="T4:T9 T11">
    <cfRule type="expression" dxfId="2837" priority="83">
      <formula>ABS(T$7-T$10)&gt;=1000</formula>
    </cfRule>
  </conditionalFormatting>
  <conditionalFormatting sqref="U4:U9 U11">
    <cfRule type="expression" dxfId="2836" priority="82">
      <formula>ABS(U$7-U$10)&gt;=1000</formula>
    </cfRule>
  </conditionalFormatting>
  <conditionalFormatting sqref="V4:V9 V11">
    <cfRule type="expression" dxfId="2835" priority="81">
      <formula>ABS(V$7-V$10)&gt;=1000</formula>
    </cfRule>
  </conditionalFormatting>
  <conditionalFormatting sqref="W4:W9 W11">
    <cfRule type="expression" dxfId="2834" priority="80">
      <formula>ABS(W$7-W$10)&gt;=1000</formula>
    </cfRule>
  </conditionalFormatting>
  <conditionalFormatting sqref="X4:X9 X11">
    <cfRule type="expression" dxfId="2833" priority="79">
      <formula>ABS(X$7-X$10)&gt;=1000</formula>
    </cfRule>
  </conditionalFormatting>
  <conditionalFormatting sqref="Y4:Y9 Y11">
    <cfRule type="expression" dxfId="2832" priority="78">
      <formula>ABS(Y$7-Y$10)&gt;=1000</formula>
    </cfRule>
  </conditionalFormatting>
  <conditionalFormatting sqref="Z4:Z11">
    <cfRule type="expression" dxfId="2831" priority="77">
      <formula>ABS(Z$7-Z$10)&gt;=1000</formula>
    </cfRule>
  </conditionalFormatting>
  <conditionalFormatting sqref="AA4:AA11">
    <cfRule type="expression" dxfId="2830" priority="76">
      <formula>ABS(AA$7-AA$10)&gt;=1000</formula>
    </cfRule>
  </conditionalFormatting>
  <conditionalFormatting sqref="AB4:AB11">
    <cfRule type="expression" dxfId="2829" priority="75">
      <formula>ABS(AB$7-AB$10)&gt;=1000</formula>
    </cfRule>
  </conditionalFormatting>
  <conditionalFormatting sqref="AC4 AC6:AC11">
    <cfRule type="expression" dxfId="2828" priority="74">
      <formula>ABS(AC$7-AC$10)&gt;=1000</formula>
    </cfRule>
  </conditionalFormatting>
  <conditionalFormatting sqref="AD4:AD11">
    <cfRule type="expression" dxfId="2827" priority="73">
      <formula>ABS(AD$7-AD$10)&gt;=1000</formula>
    </cfRule>
  </conditionalFormatting>
  <conditionalFormatting sqref="AE4 AE6:AE11">
    <cfRule type="expression" dxfId="2826" priority="72">
      <formula>ABS(AE$7-AE$10)&gt;=1000</formula>
    </cfRule>
  </conditionalFormatting>
  <conditionalFormatting sqref="D13:D20">
    <cfRule type="expression" dxfId="2825" priority="71">
      <formula>ABS(D$16-D$19)&gt;=1000</formula>
    </cfRule>
  </conditionalFormatting>
  <conditionalFormatting sqref="E13:E20">
    <cfRule type="expression" dxfId="2824" priority="70">
      <formula>ABS(E$16-E$19)&gt;=1000</formula>
    </cfRule>
  </conditionalFormatting>
  <conditionalFormatting sqref="F13 F15:F20">
    <cfRule type="expression" dxfId="2823" priority="69">
      <formula>ABS(F$16-F$19)&gt;=1000</formula>
    </cfRule>
  </conditionalFormatting>
  <conditionalFormatting sqref="G13:G20">
    <cfRule type="expression" dxfId="2822" priority="68">
      <formula>ABS(G$16-G$19)&gt;=1000</formula>
    </cfRule>
  </conditionalFormatting>
  <conditionalFormatting sqref="H13 H15:H20">
    <cfRule type="expression" dxfId="2821" priority="67">
      <formula>ABS(H$16-H$19)&gt;=1000</formula>
    </cfRule>
  </conditionalFormatting>
  <conditionalFormatting sqref="I13:I20">
    <cfRule type="expression" dxfId="2820" priority="66">
      <formula>ABS(I$16-I$19)&gt;=1000</formula>
    </cfRule>
  </conditionalFormatting>
  <conditionalFormatting sqref="J13:J20">
    <cfRule type="expression" dxfId="2819" priority="65">
      <formula>ABS(J$16-J$19)&gt;=1000</formula>
    </cfRule>
  </conditionalFormatting>
  <conditionalFormatting sqref="L13:L20">
    <cfRule type="expression" dxfId="2818" priority="64">
      <formula>ABS(L$16-L$19)&gt;=1000</formula>
    </cfRule>
  </conditionalFormatting>
  <conditionalFormatting sqref="M13 M15 M17:M18 M20">
    <cfRule type="expression" dxfId="2817" priority="63">
      <formula>ABS(M$16-M$19)&gt;=1000</formula>
    </cfRule>
  </conditionalFormatting>
  <conditionalFormatting sqref="N13:N20">
    <cfRule type="expression" dxfId="2816" priority="62">
      <formula>ABS(N$16-N$19)&gt;=1000</formula>
    </cfRule>
  </conditionalFormatting>
  <conditionalFormatting sqref="O13:O20">
    <cfRule type="expression" dxfId="2815" priority="61">
      <formula>ABS(O$16-O$19)&gt;=1000</formula>
    </cfRule>
  </conditionalFormatting>
  <conditionalFormatting sqref="P13:P20">
    <cfRule type="expression" dxfId="2814" priority="60">
      <formula>ABS(P$16-P$19)&gt;=1000</formula>
    </cfRule>
  </conditionalFormatting>
  <conditionalFormatting sqref="Q13 Q15:Q20">
    <cfRule type="expression" dxfId="2813" priority="59">
      <formula>ABS(Q$16-Q$19)&gt;=1000</formula>
    </cfRule>
  </conditionalFormatting>
  <conditionalFormatting sqref="R13:R20">
    <cfRule type="expression" dxfId="2812" priority="58">
      <formula>ABS(R$16-R$19)&gt;=1000</formula>
    </cfRule>
  </conditionalFormatting>
  <conditionalFormatting sqref="S13:S20">
    <cfRule type="expression" dxfId="2811" priority="57">
      <formula>ABS(S$16-S$19)&gt;=1000</formula>
    </cfRule>
  </conditionalFormatting>
  <conditionalFormatting sqref="T13:T20">
    <cfRule type="expression" dxfId="2810" priority="56">
      <formula>ABS(T$16-T$19)&gt;=1000</formula>
    </cfRule>
  </conditionalFormatting>
  <conditionalFormatting sqref="U13:U20">
    <cfRule type="expression" dxfId="2809" priority="55">
      <formula>ABS(U$16-U$19)&gt;=1000</formula>
    </cfRule>
  </conditionalFormatting>
  <conditionalFormatting sqref="V13:V20">
    <cfRule type="expression" dxfId="2808" priority="54">
      <formula>ABS(V$16-V$19)&gt;=1000</formula>
    </cfRule>
  </conditionalFormatting>
  <conditionalFormatting sqref="W13 W20 W15:W18">
    <cfRule type="expression" dxfId="2807" priority="53">
      <formula>ABS(W$16-W$19)&gt;=1000</formula>
    </cfRule>
  </conditionalFormatting>
  <conditionalFormatting sqref="X13 X15:X20 Y19">
    <cfRule type="expression" dxfId="2806" priority="52">
      <formula>ABS(X$16-X$19)&gt;=1000</formula>
    </cfRule>
  </conditionalFormatting>
  <conditionalFormatting sqref="Y13 Y15:Y18 Y20">
    <cfRule type="expression" dxfId="2805" priority="51">
      <formula>ABS(Y$16-Y$19)&gt;=1000</formula>
    </cfRule>
  </conditionalFormatting>
  <conditionalFormatting sqref="Z13:Z20">
    <cfRule type="expression" dxfId="2804" priority="50">
      <formula>ABS(Z$16-Z$19)&gt;=1000</formula>
    </cfRule>
  </conditionalFormatting>
  <conditionalFormatting sqref="AA13:AA20">
    <cfRule type="expression" dxfId="2803" priority="49">
      <formula>ABS(AA$16-AA$19)&gt;=1000</formula>
    </cfRule>
  </conditionalFormatting>
  <conditionalFormatting sqref="AB13 AB15:AB20">
    <cfRule type="expression" dxfId="2802" priority="48">
      <formula>ABS(AB$16-AB$19)&gt;=1000</formula>
    </cfRule>
  </conditionalFormatting>
  <conditionalFormatting sqref="AC13 AC15:AC20">
    <cfRule type="expression" dxfId="2801" priority="47">
      <formula>ABS(AC$16-AC$19)&gt;=1000</formula>
    </cfRule>
  </conditionalFormatting>
  <conditionalFormatting sqref="AD13:AD20">
    <cfRule type="expression" dxfId="2800" priority="46">
      <formula>ABS(AD$16-AD$19)&gt;=1000</formula>
    </cfRule>
  </conditionalFormatting>
  <conditionalFormatting sqref="AE13:AE20">
    <cfRule type="expression" dxfId="2799" priority="45">
      <formula>ABS(AE$16-AE$19)&gt;=1000</formula>
    </cfRule>
  </conditionalFormatting>
  <conditionalFormatting sqref="D22:D29">
    <cfRule type="expression" dxfId="2798" priority="44">
      <formula>ABS(D$25-D$28)&gt;=1000</formula>
    </cfRule>
  </conditionalFormatting>
  <conditionalFormatting sqref="E22:E29">
    <cfRule type="expression" dxfId="2797" priority="43">
      <formula>ABS(E$25-E$28)&gt;=1000</formula>
    </cfRule>
  </conditionalFormatting>
  <conditionalFormatting sqref="F22:F29">
    <cfRule type="expression" dxfId="2796" priority="42">
      <formula>ABS(F$25-F$28)&gt;=1000</formula>
    </cfRule>
  </conditionalFormatting>
  <conditionalFormatting sqref="G22:G29">
    <cfRule type="expression" dxfId="2795" priority="41">
      <formula>ABS(G$25-G$28)&gt;=1000</formula>
    </cfRule>
  </conditionalFormatting>
  <conditionalFormatting sqref="H22:H29">
    <cfRule type="expression" dxfId="2794" priority="40">
      <formula>ABS(H$25-H$28)&gt;=1000</formula>
    </cfRule>
  </conditionalFormatting>
  <conditionalFormatting sqref="I22 I24:I29">
    <cfRule type="expression" dxfId="2793" priority="39">
      <formula>ABS(I$25-I$28)&gt;=1000</formula>
    </cfRule>
  </conditionalFormatting>
  <conditionalFormatting sqref="J22:J29 K22">
    <cfRule type="expression" dxfId="2792" priority="38">
      <formula>ABS(J$25-J$28)&gt;=1000</formula>
    </cfRule>
  </conditionalFormatting>
  <conditionalFormatting sqref="K23:K29 L25 L28">
    <cfRule type="expression" dxfId="2791" priority="37">
      <formula>ABS(K$25-K$28)&gt;=1000</formula>
    </cfRule>
  </conditionalFormatting>
  <conditionalFormatting sqref="L22 L26:L27 L29 L24">
    <cfRule type="expression" dxfId="2790" priority="36">
      <formula>ABS(L$25-L$28)&gt;=1000</formula>
    </cfRule>
  </conditionalFormatting>
  <conditionalFormatting sqref="M22:M29">
    <cfRule type="expression" dxfId="2789" priority="35">
      <formula>ABS(M$25-M$28)&gt;=1000</formula>
    </cfRule>
  </conditionalFormatting>
  <conditionalFormatting sqref="N22:N29">
    <cfRule type="expression" dxfId="2788" priority="34">
      <formula>ABS(N$25-N$28)&gt;=1000</formula>
    </cfRule>
  </conditionalFormatting>
  <conditionalFormatting sqref="O22:O29">
    <cfRule type="expression" dxfId="2787" priority="33">
      <formula>ABS(O$25-O$28)&gt;=1000</formula>
    </cfRule>
  </conditionalFormatting>
  <conditionalFormatting sqref="P22:P29">
    <cfRule type="expression" dxfId="2786" priority="32">
      <formula>ABS(P$25-P$28)&gt;=1000</formula>
    </cfRule>
  </conditionalFormatting>
  <conditionalFormatting sqref="Q22:Q29">
    <cfRule type="expression" dxfId="2785" priority="31">
      <formula>ABS(Q$25-Q$28)&gt;=1000</formula>
    </cfRule>
  </conditionalFormatting>
  <conditionalFormatting sqref="R22:R29">
    <cfRule type="expression" dxfId="2784" priority="30">
      <formula>ABS(R$25-R$28)&gt;=1000</formula>
    </cfRule>
  </conditionalFormatting>
  <conditionalFormatting sqref="S22:S29">
    <cfRule type="expression" dxfId="2783" priority="29">
      <formula>ABS(S$25-S$28)&gt;=1000</formula>
    </cfRule>
  </conditionalFormatting>
  <conditionalFormatting sqref="T22:T29">
    <cfRule type="expression" dxfId="2782" priority="28">
      <formula>ABS(T$25-T$28)&gt;=1000</formula>
    </cfRule>
  </conditionalFormatting>
  <conditionalFormatting sqref="U22:U29">
    <cfRule type="expression" dxfId="2781" priority="27">
      <formula>ABS(U$25-U$28)&gt;=1000</formula>
    </cfRule>
  </conditionalFormatting>
  <conditionalFormatting sqref="V22:V29">
    <cfRule type="expression" dxfId="2780" priority="26">
      <formula>ABS(V$25-V$28)&gt;=1000</formula>
    </cfRule>
  </conditionalFormatting>
  <conditionalFormatting sqref="W22:W29">
    <cfRule type="expression" dxfId="2779" priority="25">
      <formula>ABS(W$25-W$28)&gt;=1000</formula>
    </cfRule>
  </conditionalFormatting>
  <conditionalFormatting sqref="X22:X29">
    <cfRule type="expression" dxfId="2778" priority="24">
      <formula>ABS(X$25-X$28)&gt;=1000</formula>
    </cfRule>
  </conditionalFormatting>
  <conditionalFormatting sqref="Y22:Y29">
    <cfRule type="expression" dxfId="2777" priority="23">
      <formula>ABS(Y$25-Y$28)&gt;=1000</formula>
    </cfRule>
  </conditionalFormatting>
  <conditionalFormatting sqref="I23">
    <cfRule type="expression" dxfId="2776" priority="22">
      <formula>ABS(I$25-I$28)&gt;=1000</formula>
    </cfRule>
  </conditionalFormatting>
  <conditionalFormatting sqref="Q14">
    <cfRule type="expression" dxfId="2775" priority="21">
      <formula>ABS(Q$16-Q$19)&gt;=1000</formula>
    </cfRule>
  </conditionalFormatting>
  <conditionalFormatting sqref="W14">
    <cfRule type="expression" dxfId="2774" priority="20">
      <formula>ABS(W$16-W$19)&gt;=1000</formula>
    </cfRule>
  </conditionalFormatting>
  <conditionalFormatting sqref="Y14">
    <cfRule type="expression" dxfId="2773" priority="19">
      <formula>ABS(Y$16-Y$19)&gt;=1000</formula>
    </cfRule>
  </conditionalFormatting>
  <conditionalFormatting sqref="X14">
    <cfRule type="expression" dxfId="2772" priority="18">
      <formula>ABS(X$16-X$19)&gt;=1000</formula>
    </cfRule>
  </conditionalFormatting>
  <conditionalFormatting sqref="T10:Y10">
    <cfRule type="expression" dxfId="2771" priority="17">
      <formula>ABS(T$7-T$10)&gt;=1000</formula>
    </cfRule>
  </conditionalFormatting>
  <conditionalFormatting sqref="W19">
    <cfRule type="expression" dxfId="2770" priority="16">
      <formula>ABS(W$16-W$19)&gt;=1000</formula>
    </cfRule>
  </conditionalFormatting>
  <conditionalFormatting sqref="AC5">
    <cfRule type="expression" dxfId="2769" priority="15">
      <formula>ABS(AC$7-AC$10)&gt;=1000</formula>
    </cfRule>
  </conditionalFormatting>
  <conditionalFormatting sqref="M14">
    <cfRule type="expression" dxfId="2768" priority="14">
      <formula>ABS(M$16-M$19)&gt;=1000</formula>
    </cfRule>
  </conditionalFormatting>
  <conditionalFormatting sqref="M16">
    <cfRule type="expression" dxfId="2767" priority="13">
      <formula>ABS(M$16-M$19)&gt;=1000</formula>
    </cfRule>
  </conditionalFormatting>
  <conditionalFormatting sqref="M19">
    <cfRule type="expression" dxfId="2766" priority="12">
      <formula>ABS(M$16-M$19)&gt;=1000</formula>
    </cfRule>
  </conditionalFormatting>
  <conditionalFormatting sqref="K13:K20">
    <cfRule type="expression" dxfId="2765" priority="11">
      <formula>ABS(K$16-K$19)&gt;=1000</formula>
    </cfRule>
  </conditionalFormatting>
  <conditionalFormatting sqref="E5">
    <cfRule type="expression" dxfId="2764" priority="10">
      <formula>ABS(E$7-E$10)&gt;=1000</formula>
    </cfRule>
  </conditionalFormatting>
  <conditionalFormatting sqref="AB14:AC14">
    <cfRule type="expression" dxfId="2763" priority="9">
      <formula>ABS(AB$16-AB$19)&gt;=1000</formula>
    </cfRule>
  </conditionalFormatting>
  <conditionalFormatting sqref="M5">
    <cfRule type="expression" dxfId="2762" priority="8">
      <formula>ABS(M$7-M$10)&gt;=1000</formula>
    </cfRule>
  </conditionalFormatting>
  <conditionalFormatting sqref="N5">
    <cfRule type="expression" dxfId="2761" priority="7">
      <formula>ABS(N$7-N$10)&gt;=1000</formula>
    </cfRule>
  </conditionalFormatting>
  <conditionalFormatting sqref="O5">
    <cfRule type="expression" dxfId="2760" priority="6">
      <formula>ABS(O$7-O$10)&gt;=1000</formula>
    </cfRule>
  </conditionalFormatting>
  <conditionalFormatting sqref="P5">
    <cfRule type="expression" dxfId="2759" priority="5">
      <formula>ABS(P$7-P$10)&gt;=1000</formula>
    </cfRule>
  </conditionalFormatting>
  <conditionalFormatting sqref="L23">
    <cfRule type="expression" dxfId="2758" priority="4">
      <formula>ABS(L$25-L$28)&gt;=1000</formula>
    </cfRule>
  </conditionalFormatting>
  <conditionalFormatting sqref="F14">
    <cfRule type="expression" dxfId="2757" priority="3">
      <formula>ABS(F$16-F$19)&gt;=1000</formula>
    </cfRule>
  </conditionalFormatting>
  <conditionalFormatting sqref="AE5">
    <cfRule type="expression" dxfId="2756" priority="2">
      <formula>ABS(AE$25-AE$28)&gt;=1000</formula>
    </cfRule>
  </conditionalFormatting>
  <conditionalFormatting sqref="H14">
    <cfRule type="expression" dxfId="2755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197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8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46024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70" t="s" ph="1">
        <v>633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47" t="s" ph="1">
        <v>177</v>
      </c>
      <c r="D6" s="71">
        <v>3792</v>
      </c>
      <c r="E6" s="71">
        <v>0</v>
      </c>
      <c r="F6" s="71">
        <v>2444</v>
      </c>
      <c r="G6" s="71">
        <v>1123</v>
      </c>
      <c r="H6" s="71">
        <v>3004</v>
      </c>
      <c r="I6" s="71">
        <v>14.11</v>
      </c>
      <c r="J6" s="71">
        <v>6.62</v>
      </c>
      <c r="K6" s="71">
        <v>7.51</v>
      </c>
      <c r="L6" s="71">
        <v>30.31</v>
      </c>
      <c r="M6" s="71">
        <v>2668</v>
      </c>
      <c r="N6" s="71">
        <v>6276</v>
      </c>
      <c r="O6" s="71">
        <v>3298</v>
      </c>
      <c r="P6" s="71">
        <v>1425</v>
      </c>
      <c r="Q6" s="71">
        <v>4137</v>
      </c>
      <c r="R6" s="71">
        <v>7104</v>
      </c>
      <c r="S6" s="71">
        <v>6168</v>
      </c>
      <c r="T6" s="71">
        <v>7140</v>
      </c>
      <c r="U6" s="71">
        <v>7006</v>
      </c>
      <c r="V6" s="71">
        <v>2944</v>
      </c>
      <c r="W6" s="71">
        <v>0</v>
      </c>
      <c r="X6" s="71">
        <v>0</v>
      </c>
      <c r="Y6" s="71">
        <v>0</v>
      </c>
      <c r="Z6" s="71">
        <v>5221</v>
      </c>
      <c r="AA6" s="71">
        <v>2886</v>
      </c>
      <c r="AB6" s="71">
        <v>3073</v>
      </c>
      <c r="AC6" s="71">
        <v>9315</v>
      </c>
      <c r="AD6" s="71">
        <v>4780</v>
      </c>
      <c r="AE6" s="71">
        <v>3480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119890.7630208</v>
      </c>
      <c r="E7" s="73" ph="1">
        <f>E6*51.53*LOOKUP(E8,密度!$A$2:$A$50,密度!$B$2:$B$50)</f>
        <v>0</v>
      </c>
      <c r="F7" s="73" ph="1">
        <f>F6*33.183*LOOKUP(F8,密度!$A$2:$A$50,密度!$C$2:$C$50)</f>
        <v>90490.545381599979</v>
      </c>
      <c r="G7" s="73" ph="1">
        <f xml:space="preserve"> (G6+2)*51.53*LOOKUP(G8,密度!$A$2:$A$50,密度!$B$2:$B$50)</f>
        <v>45634.968000000001</v>
      </c>
      <c r="H7" s="73" ph="1">
        <f>(H6)*51.53*LOOKUP(H8,密度!$A$2:$A$50,密度!$B$2:$B$50)</f>
        <v>122381.81247199999</v>
      </c>
      <c r="I7" s="73" ph="1">
        <f>I6*290.8*1.0267</f>
        <v>4212.7431195999998</v>
      </c>
      <c r="J7" s="73" ph="1">
        <f>J6*290.8*0.7892</f>
        <v>1519.2857632</v>
      </c>
      <c r="K7" s="73" ph="1">
        <f>K6*290.8*1.1126</f>
        <v>2429.8160407999999</v>
      </c>
      <c r="L7" s="73" ph="1">
        <f>L6*290.8*0.777</f>
        <v>6848.5929959999994</v>
      </c>
      <c r="M7" s="73" ph="1">
        <f>M6*33.183*LOOKUP(M8,密度!$A$2:$A$50,密度!$D$2:$D$50)</f>
        <v>91683.991886400006</v>
      </c>
      <c r="N7" s="73" ph="1">
        <f>N6*33.183*LOOKUP(N8,密度!$A$2:$A$50,密度!$E$2:$E$50)</f>
        <v>164814.20043120001</v>
      </c>
      <c r="O7" s="73" ph="1">
        <f>O6*20.428*LOOKUP(O8,密度!$A$2:$A$50,密度!$C$2:$C$50)</f>
        <v>74957.579854400014</v>
      </c>
      <c r="P7" s="73" ph="1">
        <f>P6*51.53*LOOKUP(P8,密度!$A$2:$A$50,密度!$B$2:$B$50)</f>
        <v>57863.037000000004</v>
      </c>
      <c r="Q7" s="73" ph="1">
        <f>Q6*1.5*1.5*3.1416*LOOKUP(W8,密度!$A$2:$A$50,密度!$L$2:$L$50)</f>
        <v>27692.929895400001</v>
      </c>
      <c r="R7" s="73" ph="1">
        <f>R6*1.5*1.5*3.1416*LOOKUP(R8,密度!$A$2:$A$50,密度!$L$2:$L$50)</f>
        <v>47252.629670399998</v>
      </c>
      <c r="S7" s="73" ph="1">
        <f>S6*1.5*1.5*3.1416*LOOKUP(S8,密度!$A$2:$A$50,密度!$L$2:$L$50)</f>
        <v>41375.569435199999</v>
      </c>
      <c r="T7" s="73" ph="1">
        <f>T6*1.5*1.5*3.1416*LOOKUP(T8,密度!$A$2:$A$50,密度!$L$2:$L$50)</f>
        <v>47946.313799999996</v>
      </c>
      <c r="U7" s="73" ph="1">
        <f>U6*1.5*1.5*3.1416*LOOKUP(U8,密度!$A$2:$A$50,密度!$L$2:$L$50)</f>
        <v>46848.390573599994</v>
      </c>
      <c r="V7" s="73" ph="1">
        <f>V6*1.5*1.5*3.1416*LOOKUP(V8,密度!$A$2:$A$50,密度!$L$2:$L$50)</f>
        <v>19602.980812799997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163893.02707799998</v>
      </c>
      <c r="AA7" s="73" ph="1">
        <f>AA6*33.183*LOOKUP(AA8,密度!$A$2:$A$50,密度!$D$2:$D$50)</f>
        <v>99261.602037000004</v>
      </c>
      <c r="AB7" s="73" ph="1">
        <f>AB6*20.428*LOOKUP(AB8,密度!$A$2:$A$50,密度!$D$2:$D$50)</f>
        <v>65342.751479600003</v>
      </c>
      <c r="AC7" s="73" ph="1">
        <f>AC6*51.53*LOOKUP(AC8,密度!$A$2:$A$50,密度!$Q$2:$Q$50)</f>
        <v>458181.06135300006</v>
      </c>
      <c r="AD7" s="73" ph="1">
        <f>AD6*20.428*LOOKUP(AD8,密度!$A$2:$A$50,密度!$V$2:$V$50)</f>
        <v>94130.589760000003</v>
      </c>
      <c r="AE7" s="73" ph="1">
        <f>AE6*20.428</f>
        <v>71089.440000000002</v>
      </c>
    </row>
    <row r="8" spans="1:99" ph="1">
      <c r="B8" s="191" ph="1"/>
      <c r="C8" s="68" t="s" ph="1">
        <v>179</v>
      </c>
      <c r="D8" s="74">
        <v>17</v>
      </c>
      <c r="E8" s="74">
        <v>13</v>
      </c>
      <c r="F8" s="74">
        <v>15</v>
      </c>
      <c r="G8" s="74">
        <v>16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18</v>
      </c>
      <c r="O8" s="74">
        <v>20</v>
      </c>
      <c r="P8" s="74">
        <v>15</v>
      </c>
      <c r="Q8" s="74">
        <v>18</v>
      </c>
      <c r="R8" s="74">
        <v>21</v>
      </c>
      <c r="S8" s="74">
        <v>13</v>
      </c>
      <c r="T8" s="74">
        <v>12</v>
      </c>
      <c r="U8" s="74">
        <v>16</v>
      </c>
      <c r="V8" s="74">
        <v>20</v>
      </c>
      <c r="W8" s="74">
        <v>15</v>
      </c>
      <c r="X8" s="74">
        <v>8</v>
      </c>
      <c r="Y8" s="74">
        <v>15</v>
      </c>
      <c r="Z8" s="74">
        <v>16</v>
      </c>
      <c r="AA8" s="74">
        <v>14</v>
      </c>
      <c r="AB8" s="74">
        <v>9</v>
      </c>
      <c r="AC8" s="74">
        <v>12</v>
      </c>
      <c r="AD8" s="74">
        <v>14</v>
      </c>
      <c r="AE8" s="74">
        <v>16</v>
      </c>
    </row>
    <row r="9" spans="1:99" ph="1">
      <c r="B9" s="191" ph="1">
        <v>0.66666666666666663</v>
      </c>
      <c r="C9" s="147" t="s" ph="1">
        <v>180</v>
      </c>
      <c r="D9" s="71">
        <v>3180</v>
      </c>
      <c r="E9" s="71">
        <v>0</v>
      </c>
      <c r="F9" s="71">
        <v>2442</v>
      </c>
      <c r="G9" s="71">
        <v>839</v>
      </c>
      <c r="H9" s="71">
        <v>3004</v>
      </c>
      <c r="I9" s="71">
        <v>14.11</v>
      </c>
      <c r="J9" s="71">
        <v>6.71</v>
      </c>
      <c r="K9" s="71">
        <v>7.42</v>
      </c>
      <c r="L9" s="71">
        <v>33.42</v>
      </c>
      <c r="M9" s="71">
        <v>2113</v>
      </c>
      <c r="N9" s="71">
        <v>6054</v>
      </c>
      <c r="O9" s="71">
        <v>3297</v>
      </c>
      <c r="P9" s="71">
        <v>1230</v>
      </c>
      <c r="Q9" s="71">
        <v>0</v>
      </c>
      <c r="R9" s="71">
        <v>6903</v>
      </c>
      <c r="S9" s="71">
        <v>6166</v>
      </c>
      <c r="T9" s="71">
        <v>7138</v>
      </c>
      <c r="U9" s="71">
        <v>7002</v>
      </c>
      <c r="V9" s="71">
        <v>5903</v>
      </c>
      <c r="W9" s="71">
        <v>2326</v>
      </c>
      <c r="X9" s="71">
        <v>4767</v>
      </c>
      <c r="Y9" s="71">
        <v>0</v>
      </c>
      <c r="Z9" s="71">
        <v>2940</v>
      </c>
      <c r="AA9" s="71">
        <v>2885</v>
      </c>
      <c r="AB9" s="71">
        <v>3072</v>
      </c>
      <c r="AC9" s="71">
        <v>9315</v>
      </c>
      <c r="AD9" s="71">
        <v>4780</v>
      </c>
      <c r="AE9" s="71">
        <v>3322</v>
      </c>
    </row>
    <row r="10" spans="1:99" s="72" customFormat="1" ht="22.5" ph="1">
      <c r="B10" s="191" ph="1"/>
      <c r="C10" s="147" t="s" ph="1">
        <v>178</v>
      </c>
      <c r="D10" s="73" ph="1">
        <f>D9*33.183*LOOKUP(D11,密度!$A$2:$A$50,密度!$Q$2:$Q$50)</f>
        <v>100457.94209940001</v>
      </c>
      <c r="E10" s="73" ph="1">
        <f>E9*51.53*LOOKUP(E11,密度!$A$2:$A$50,密度!$B$2:$B$50)</f>
        <v>0</v>
      </c>
      <c r="F10" s="73" ph="1">
        <f>F9*33.183*LOOKUP(F11,密度!$A$2:$A$50,密度!$C$2:$C$50)</f>
        <v>90416.494198799992</v>
      </c>
      <c r="G10" s="73" ph="1">
        <f xml:space="preserve"> (G9+2)*51.53*LOOKUP(G11,密度!$A$2:$A$50,密度!$B$2:$B$50)</f>
        <v>34114.673856000001</v>
      </c>
      <c r="H10" s="73" ph="1">
        <f>(H9)*51.53*LOOKUP(H11,密度!$A$2:$A$50,密度!$B$2:$B$50)</f>
        <v>121979.34256</v>
      </c>
      <c r="I10" s="73" ph="1">
        <f>I9*290.8*1.0267</f>
        <v>4212.7431195999998</v>
      </c>
      <c r="J10" s="73" ph="1">
        <f>J9*290.8*0.7892</f>
        <v>1539.9407056</v>
      </c>
      <c r="K10" s="73" ph="1">
        <f>K9*290.8*1.1126</f>
        <v>2400.6970735999998</v>
      </c>
      <c r="L10" s="73" ph="1">
        <f>L9*290.8*0.777</f>
        <v>7551.3024720000003</v>
      </c>
      <c r="M10" s="73" ph="1">
        <f>M9*33.183*LOOKUP(M11,密度!$A$2:$A$50,密度!$D$2:$D$50)</f>
        <v>72611.797172400009</v>
      </c>
      <c r="N10" s="73" ph="1">
        <f>N9*33.183*LOOKUP(N11,密度!$A$2:$A$50,密度!$E$2:$E$50)</f>
        <v>158984.2526148</v>
      </c>
      <c r="O10" s="73" ph="1">
        <f>O9*20.428*LOOKUP(O11,密度!$A$2:$A$50,密度!$C$2:$C$50)</f>
        <v>74934.851661600012</v>
      </c>
      <c r="P10" s="73" ph="1">
        <f>P9*51.53*LOOKUP(P11,密度!$A$2:$A$50,密度!$B$2:$B$50)</f>
        <v>49894.231680000004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45964.462143599994</v>
      </c>
      <c r="S10" s="73" ph="1">
        <f>S9*1.5*1.5*3.1416*LOOKUP(S11,密度!$A$2:$A$50,密度!$L$2:$L$50)</f>
        <v>41362.1532324</v>
      </c>
      <c r="T10" s="73" ph="1">
        <f>T9*1.5*1.5*3.1416*LOOKUP(T11,密度!$A$2:$A$50,密度!$L$2:$L$50)</f>
        <v>47882.427793199997</v>
      </c>
      <c r="U10" s="73" ph="1">
        <f>U9*1.5*1.5*3.1416*LOOKUP(U11,密度!$A$2:$A$50,密度!$L$2:$L$50)</f>
        <v>46821.642991200002</v>
      </c>
      <c r="V10" s="73" ph="1">
        <f>V9*1.5*1.5*3.1416*LOOKUP(V11,密度!$A$2:$A$50,密度!$L$2:$L$50)</f>
        <v>39264.114997799996</v>
      </c>
      <c r="W10" s="73" ph="1">
        <f>W9*1.5*1.5*3.1416*LOOKUP(W11,密度!$A$2:$A$50,密度!$L$2:$L$50)</f>
        <v>15520.836038400001</v>
      </c>
      <c r="X10" s="73" ph="1">
        <f>X9*1.5*1.5*3.1416*LOOKUP(X11,密度!$A$2:$A$50,密度!$L$2:$L$50)</f>
        <v>32145.999454799996</v>
      </c>
      <c r="Y10" s="73" ph="1">
        <f>Y9*1.5*1.5*3.1416*LOOKUP(Y11,密度!$A$2:$A$50,密度!$L$2:$L$50)</f>
        <v>0</v>
      </c>
      <c r="Z10" s="73" ph="1">
        <f>Z9*33.183*LOOKUP(Z11,密度!$A$2:$A$50,密度!$L$2:$L$50)</f>
        <v>92582.560979999995</v>
      </c>
      <c r="AA10" s="73" ph="1">
        <f>AA9*33.183*LOOKUP(AA11,密度!$A$2:$A$50,密度!$D$2:$D$50)</f>
        <v>99141.048198000004</v>
      </c>
      <c r="AB10" s="73" ph="1">
        <f>AB9*20.428*LOOKUP(AB11,密度!$A$2:$A$50,密度!$D$2:$D$50)</f>
        <v>65321.487974399999</v>
      </c>
      <c r="AC10" s="73" ph="1">
        <f>AC9*51.53*LOOKUP(AC11,密度!$A$2:$A$50,密度!$Q$2:$Q$50)</f>
        <v>458181.06135300006</v>
      </c>
      <c r="AD10" s="73" ph="1">
        <f>AD9*20.428*LOOKUP(AD11,密度!$A$2:$A$50,密度!$V$2:$V$50)</f>
        <v>94130.589760000003</v>
      </c>
      <c r="AE10" s="73" ph="1">
        <f>AE9*20.428</f>
        <v>67861.816000000006</v>
      </c>
    </row>
    <row r="11" spans="1:99" ph="1">
      <c r="A11" s="64" t="s" ph="1">
        <v>162</v>
      </c>
      <c r="B11" s="191" ph="1"/>
      <c r="C11" s="147" t="s" ph="1">
        <v>179</v>
      </c>
      <c r="D11" s="74">
        <v>18</v>
      </c>
      <c r="E11" s="74">
        <v>14</v>
      </c>
      <c r="F11" s="74">
        <v>15</v>
      </c>
      <c r="G11" s="74">
        <v>16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18</v>
      </c>
      <c r="O11" s="74">
        <v>20</v>
      </c>
      <c r="P11" s="74">
        <v>16</v>
      </c>
      <c r="Q11" s="74">
        <v>18</v>
      </c>
      <c r="R11" s="74">
        <v>20</v>
      </c>
      <c r="S11" s="74">
        <v>13</v>
      </c>
      <c r="T11" s="74">
        <v>13</v>
      </c>
      <c r="U11" s="74">
        <v>16</v>
      </c>
      <c r="V11" s="74">
        <v>21</v>
      </c>
      <c r="W11" s="74">
        <v>18</v>
      </c>
      <c r="X11" s="74">
        <v>8</v>
      </c>
      <c r="Y11" s="74">
        <v>15</v>
      </c>
      <c r="Z11" s="74">
        <v>13</v>
      </c>
      <c r="AA11" s="74">
        <v>15</v>
      </c>
      <c r="AB11" s="74">
        <v>9</v>
      </c>
      <c r="AC11" s="74">
        <v>13</v>
      </c>
      <c r="AD11" s="74">
        <v>14</v>
      </c>
      <c r="AE11" s="74">
        <v>17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0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633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38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636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47" t="s" ph="1">
        <v>177</v>
      </c>
      <c r="D15" s="78">
        <v>1290</v>
      </c>
      <c r="E15" s="78">
        <v>6207</v>
      </c>
      <c r="F15" s="78">
        <v>3094</v>
      </c>
      <c r="G15" s="78">
        <v>3816</v>
      </c>
      <c r="H15" s="78">
        <v>5373</v>
      </c>
      <c r="I15" s="78">
        <v>3669</v>
      </c>
      <c r="J15" s="78">
        <v>5157</v>
      </c>
      <c r="K15" s="78">
        <v>2382</v>
      </c>
      <c r="L15" s="78">
        <v>932</v>
      </c>
      <c r="M15" s="78">
        <v>6892</v>
      </c>
      <c r="N15" s="78">
        <v>1451</v>
      </c>
      <c r="O15" s="78">
        <v>61</v>
      </c>
      <c r="P15" s="78">
        <v>6979</v>
      </c>
      <c r="Q15" s="78">
        <v>2605</v>
      </c>
      <c r="R15" s="78">
        <v>7344</v>
      </c>
      <c r="S15" s="78">
        <v>6394</v>
      </c>
      <c r="T15" s="78">
        <v>2208</v>
      </c>
      <c r="U15" s="78">
        <v>5364</v>
      </c>
      <c r="V15" s="78">
        <v>147</v>
      </c>
      <c r="W15" s="71">
        <v>-817</v>
      </c>
      <c r="X15" s="78">
        <v>664</v>
      </c>
      <c r="Y15" s="106">
        <v>-9900</v>
      </c>
      <c r="Z15" s="78">
        <v>0</v>
      </c>
      <c r="AA15" s="78">
        <v>10</v>
      </c>
      <c r="AB15" s="78" ph="1">
        <v>1528</v>
      </c>
      <c r="AC15" s="78" ph="1">
        <v>0</v>
      </c>
      <c r="AD15" s="78">
        <v>25.41</v>
      </c>
      <c r="AE15" s="78">
        <v>4.92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47" t="s" ph="1">
        <v>178</v>
      </c>
      <c r="D16" s="73" ph="1">
        <f>D15*7.0686*LOOKUP(D17,密度!$A$2:$A$50,密度!$L$2:$L$50)</f>
        <v>8598.7398420000009</v>
      </c>
      <c r="E16" s="73" ph="1">
        <f>E15*7.0686*LOOKUP(E17,密度!$A$2:$A$50,密度!$L$2:$L$50)</f>
        <v>41373.936588599994</v>
      </c>
      <c r="F16" s="73" ph="1">
        <f>F15*9.0746*LOOKUP(F17,密度!$A$2:$A$50,密度!$L$2:$L$50)</f>
        <v>26476.434093199998</v>
      </c>
      <c r="G16" s="73" ph="1">
        <f>G15*9.0746*LOOKUP(G17,密度!$A$2:$A$50,密度!$B$2:$B$50)</f>
        <v>27259.691857920003</v>
      </c>
      <c r="H16" s="73" ph="1">
        <f>H15*9.0746*LOOKUP(H17,密度!$A$2:$A$50,密度!$L$2:$L$50)</f>
        <v>46319.934509999999</v>
      </c>
      <c r="I16" s="73" ph="1">
        <f>I15*9.0746*LOOKUP(I17,密度!$A$2:$A$50,密度!$U$2:$U$50)</f>
        <v>34226.959207200001</v>
      </c>
      <c r="J16" s="73" ph="1">
        <f>J15*9.0746*LOOKUP(J17,密度!$A$2:$A$50,密度!$L$2:$L$50)</f>
        <v>44270.6357412</v>
      </c>
      <c r="K16" s="73" ph="1">
        <f>K15*9.0746*LOOKUP(K17,密度!$A$2:$A$50,密度!$C$2:$C$50)</f>
        <v>24118.794935760001</v>
      </c>
      <c r="L16" s="73" ph="1">
        <f>L15*9.0746*LOOKUP(L17,密度!$A$2:$A$50,密度!$E$2:$E$50)</f>
        <v>6769.4047708800008</v>
      </c>
      <c r="M16" s="73" ph="1">
        <f>M15*9.0746*LOOKUP(M17,密度!$A$2:$A$50,密度!$M$2:$M$50)</f>
        <v>55055.84865896</v>
      </c>
      <c r="N16" s="73" ph="1">
        <f>N15*9.0746*LOOKUP(N17,密度!$A$2:$A$50,密度!$M$2:$M$50)</f>
        <v>11591.12542138</v>
      </c>
      <c r="O16" s="73" ph="1">
        <f>O15*9.0746*LOOKUP(O17,密度!$A$2:$A$50,密度!$G$2:$G$50)</f>
        <v>536.39053139999999</v>
      </c>
      <c r="P16" s="73" ph="1">
        <f ca="1">P15*9.0746*LOOKUP(P17,密度!$A$2:$A$51,密度!$Q$2:$Q$50)</f>
        <v>60242.949639081999</v>
      </c>
      <c r="Q16" s="73" ph="1">
        <f>Q15*9.0746*LOOKUP(Q17,密度!$A$2:$A$50,密度!$Q$2:$Q$50)</f>
        <v>22486.442729590002</v>
      </c>
      <c r="R16" s="73" ph="1">
        <f>MAX(R15*9.0746*LOOKUP(R17,密度!$A$2:$A$50,密度!$B$2:$B$50),0)</f>
        <v>52362.082687679998</v>
      </c>
      <c r="S16" s="73" ph="1">
        <f>S15*9.0746*LOOKUP(S17,密度!$A$2:$A$50,密度!$Q$2:$Q$50)</f>
        <v>55385.267165496007</v>
      </c>
      <c r="T16" s="73" ph="1">
        <f>T15*9.0746*LOOKUP(T17,密度!$A$2:$A$50,密度!$O$2:$O$50)</f>
        <v>18714.293491200002</v>
      </c>
      <c r="U16" s="73" ph="1">
        <f>U15*9.0746*LOOKUP(U17,密度!$A$2:$A$50,密度!$H$2:$H$50)</f>
        <v>45156.868436879995</v>
      </c>
      <c r="V16" s="73" ph="1">
        <f>MAX(5600*LOOKUP(V17,密度!$A$2:$A$50,密度!$Q$2:$Q$50)+V15*9.0476*LOOKUP(V17,密度!$A$2:$A$50,密度!$Q$2:$Q$50),0)</f>
        <v>6614.9595272879997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12163.61074656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71.816384400000004</v>
      </c>
      <c r="AB16" s="73" ph="1">
        <f>AB15*9.0746*LOOKUP(AB17,密度!$A$2:$A$50,密度!$L$2:$L$50)</f>
        <v>13103.359416000001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6543.3066004800003</v>
      </c>
      <c r="AE16" s="73" ph="1">
        <f>AE15*268.68*LOOKUP(AE17,密度!$A$2:$A$50,密度!B2:B50)+IF(AE15&lt;=0,0,1566*LOOKUP(AE17,密度!$A$2:$A$50,密度!B2:B50))</f>
        <v>2251.4112057599996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19</v>
      </c>
      <c r="E17" s="74">
        <v>19</v>
      </c>
      <c r="F17" s="74">
        <v>19</v>
      </c>
      <c r="G17" s="74">
        <v>16</v>
      </c>
      <c r="H17" s="74">
        <v>12</v>
      </c>
      <c r="I17" s="74">
        <v>12</v>
      </c>
      <c r="J17" s="74">
        <v>16</v>
      </c>
      <c r="K17" s="74">
        <v>15</v>
      </c>
      <c r="L17" s="74">
        <v>11</v>
      </c>
      <c r="M17" s="74">
        <v>17</v>
      </c>
      <c r="N17" s="74">
        <v>17</v>
      </c>
      <c r="O17" s="74">
        <v>17</v>
      </c>
      <c r="P17" s="74">
        <v>19</v>
      </c>
      <c r="Q17" s="74">
        <v>19</v>
      </c>
      <c r="R17" s="74">
        <v>18</v>
      </c>
      <c r="S17" s="74">
        <v>15</v>
      </c>
      <c r="T17" s="74">
        <v>16</v>
      </c>
      <c r="U17" s="74">
        <v>12</v>
      </c>
      <c r="V17" s="74">
        <v>15</v>
      </c>
      <c r="W17" s="74">
        <v>15</v>
      </c>
      <c r="X17" s="74">
        <v>20</v>
      </c>
      <c r="Y17" s="108">
        <v>20</v>
      </c>
      <c r="Z17" s="74">
        <v>13</v>
      </c>
      <c r="AA17" s="74">
        <v>11</v>
      </c>
      <c r="AB17" s="74">
        <v>17</v>
      </c>
      <c r="AC17" s="74">
        <v>11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4184</v>
      </c>
      <c r="E18" s="71">
        <v>6209</v>
      </c>
      <c r="F18" s="71">
        <v>877</v>
      </c>
      <c r="G18" s="71">
        <v>3890</v>
      </c>
      <c r="H18" s="71">
        <v>5372</v>
      </c>
      <c r="I18" s="71">
        <v>3669</v>
      </c>
      <c r="J18" s="71">
        <v>5166</v>
      </c>
      <c r="K18" s="71">
        <v>2382</v>
      </c>
      <c r="L18" s="71">
        <v>933</v>
      </c>
      <c r="M18" s="71">
        <v>3937</v>
      </c>
      <c r="N18" s="71">
        <v>1451</v>
      </c>
      <c r="O18" s="71">
        <v>54</v>
      </c>
      <c r="P18" s="71">
        <v>6975</v>
      </c>
      <c r="Q18" s="71">
        <v>4324</v>
      </c>
      <c r="R18" s="71">
        <v>7348</v>
      </c>
      <c r="S18" s="71">
        <v>6394</v>
      </c>
      <c r="T18" s="71">
        <v>527</v>
      </c>
      <c r="U18" s="71">
        <v>5362</v>
      </c>
      <c r="V18" s="71">
        <v>678</v>
      </c>
      <c r="W18" s="71">
        <v>-817</v>
      </c>
      <c r="X18" s="71">
        <v>662</v>
      </c>
      <c r="Y18" s="109">
        <v>-9902</v>
      </c>
      <c r="Z18" s="71">
        <v>0</v>
      </c>
      <c r="AA18" s="71">
        <v>10</v>
      </c>
      <c r="AB18" s="71">
        <v>1529</v>
      </c>
      <c r="AC18" s="71">
        <v>0</v>
      </c>
      <c r="AD18" s="71">
        <v>79.709999999999994</v>
      </c>
      <c r="AE18" s="71">
        <v>4.8099999999999996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47" t="s" ph="1">
        <v>178</v>
      </c>
      <c r="D19" s="73" ph="1">
        <f>D18*7.0686*LOOKUP(D20,密度!$A$2:$A$50,密度!$L$2:$L$50)</f>
        <v>27859.671100799998</v>
      </c>
      <c r="E19" s="73" ph="1">
        <f>E18*7.0686*LOOKUP(E20,密度!$A$2:$A$50,密度!$L$2:$L$50)</f>
        <v>41343.379030800003</v>
      </c>
      <c r="F19" s="73" ph="1">
        <f>F18*9.0746*LOOKUP(F20,密度!$A$2:$A$50,密度!$L$2:$L$50)</f>
        <v>7528.6692931999996</v>
      </c>
      <c r="G19" s="73" ph="1">
        <f>G18*9.0746*LOOKUP(G20,密度!$A$2:$A$50,密度!$B$2:$B$50)</f>
        <v>27788.312716800003</v>
      </c>
      <c r="H19" s="73" ph="1">
        <f>H18*9.0746*LOOKUP(H20,密度!$A$2:$A$50,密度!$L$2:$L$50)</f>
        <v>46311.31364</v>
      </c>
      <c r="I19" s="73" ph="1">
        <f>I18*9.0746*LOOKUP(I20,密度!$A$2:$A$50,密度!$U$2:$U$50)</f>
        <v>34226.959207200001</v>
      </c>
      <c r="J19" s="73" ph="1">
        <f>J18*9.0746*LOOKUP(J20,密度!$A$2:$A$50,密度!$L$2:$L$50)</f>
        <v>44347.896885599999</v>
      </c>
      <c r="K19" s="73" ph="1">
        <f>K18*9.0746*LOOKUP(K20,密度!$A$2:$A$50,密度!$C$2:$C$50)</f>
        <v>24105.825517440004</v>
      </c>
      <c r="L19" s="73" ph="1">
        <f>L18*9.0746*LOOKUP(L20,密度!$A$2:$A$50,密度!$E$2:$E$50)</f>
        <v>6719.0951884799997</v>
      </c>
      <c r="M19" s="73" ph="1">
        <f>M18*9.0746*LOOKUP(M20,密度!$A$2:$A$50,密度!$M$2:$M$50)</f>
        <v>31450.214186059999</v>
      </c>
      <c r="N19" s="73" ph="1">
        <f>N18*9.0746*LOOKUP(N20,密度!$A$2:$A$50,密度!$M$2:$M$50)</f>
        <v>11591.12542138</v>
      </c>
      <c r="O19" s="73" ph="1">
        <f>O18*9.0746*LOOKUP(O20,密度!$A$2:$A$50,密度!$G$2:$G$50)</f>
        <v>474.34749120000004</v>
      </c>
      <c r="P19" s="73" ph="1">
        <f ca="1">P18*9.0746*LOOKUP(P20,密度!$A$2:$A$51,密度!$Q$2:$Q$50)</f>
        <v>60154.620477299999</v>
      </c>
      <c r="Q19" s="73" ph="1">
        <f>Q18*9.0746*LOOKUP(Q20,密度!$A$2:$A$50,密度!$Q$2:$Q$50)</f>
        <v>37291.552536752002</v>
      </c>
      <c r="R19" s="73" ph="1">
        <f>MAX(R18*9.0746*LOOKUP(R20,密度!$A$2:$A$50,密度!$B$2:$B$50),0)</f>
        <v>52283.914083279997</v>
      </c>
      <c r="S19" s="73" ph="1">
        <f>S18*9.0746*LOOKUP(S20,密度!$A$2:$A$50,密度!$Q$2:$Q$50)</f>
        <v>55330.725552640004</v>
      </c>
      <c r="T19" s="73" ph="1">
        <f>T18*9.0746*LOOKUP(T20,密度!$A$2:$A$50,密度!$O$2:$O$50)</f>
        <v>4447.5522060000003</v>
      </c>
      <c r="U19" s="73" ph="1">
        <f>U18*9.0746*LOOKUP(U20,密度!$A$2:$A$50,密度!$H$2:$H$50)</f>
        <v>45140.031424039997</v>
      </c>
      <c r="V19" s="73" ph="1">
        <f>MAX(5600*LOOKUP(V20,密度!$A$2:$A$50,密度!$Q$2:$Q$50)+V18*9.0476*LOOKUP(V20,密度!$A$2:$A$50,密度!$Q$2:$Q$50),0)</f>
        <v>11152.018183664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12144.64878648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71.589519400000015</v>
      </c>
      <c r="AB19" s="73" ph="1">
        <f>AB18*9.0746*LOOKUP(AB20,密度!$A$2:$A$50,密度!$L$2:$L$50)</f>
        <v>13098.0598496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17857.389135599999</v>
      </c>
      <c r="AE19" s="73" ph="1">
        <f>AE18*268.68*LOOKUP(AE20,密度!$A$2:$A$50,密度!B5:B53)+IF(AE18&lt;=0,0,1566*LOOKUP(AE20,密度!$A$2:$A$50,密度!B5:B53))</f>
        <v>2220.9385715999997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20</v>
      </c>
      <c r="E20" s="81">
        <v>20</v>
      </c>
      <c r="F20" s="81">
        <v>16</v>
      </c>
      <c r="G20" s="81">
        <v>16</v>
      </c>
      <c r="H20" s="81">
        <v>12</v>
      </c>
      <c r="I20" s="81">
        <v>16</v>
      </c>
      <c r="J20" s="81">
        <v>16</v>
      </c>
      <c r="K20" s="81">
        <v>16</v>
      </c>
      <c r="L20" s="81">
        <v>16</v>
      </c>
      <c r="M20" s="81">
        <v>18</v>
      </c>
      <c r="N20" s="81">
        <v>18</v>
      </c>
      <c r="O20" s="81">
        <v>18</v>
      </c>
      <c r="P20" s="81">
        <v>20</v>
      </c>
      <c r="Q20" s="81">
        <v>20</v>
      </c>
      <c r="R20" s="81">
        <v>20</v>
      </c>
      <c r="S20" s="81">
        <v>16</v>
      </c>
      <c r="T20" s="81">
        <v>21</v>
      </c>
      <c r="U20" s="81">
        <v>12</v>
      </c>
      <c r="V20" s="81">
        <v>20</v>
      </c>
      <c r="W20" s="81">
        <v>20</v>
      </c>
      <c r="X20" s="81">
        <v>20</v>
      </c>
      <c r="Y20" s="110">
        <v>20</v>
      </c>
      <c r="Z20" s="81">
        <v>16</v>
      </c>
      <c r="AA20" s="81">
        <v>14</v>
      </c>
      <c r="AB20" s="81">
        <v>18</v>
      </c>
      <c r="AC20" s="81">
        <v>12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642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47" t="s" ph="1">
        <v>177</v>
      </c>
      <c r="D24" s="71">
        <v>3.71</v>
      </c>
      <c r="E24" s="71">
        <v>4.91</v>
      </c>
      <c r="F24" s="71">
        <v>576</v>
      </c>
      <c r="G24" s="71">
        <v>2742</v>
      </c>
      <c r="H24" s="71">
        <v>1870</v>
      </c>
      <c r="I24" s="71">
        <v>68</v>
      </c>
      <c r="J24" s="71">
        <v>1266</v>
      </c>
      <c r="K24" s="71">
        <v>2439</v>
      </c>
      <c r="L24" s="71">
        <v>5543</v>
      </c>
      <c r="M24" s="71">
        <v>4870</v>
      </c>
      <c r="N24" s="71">
        <v>5594</v>
      </c>
      <c r="O24" s="71">
        <v>5721</v>
      </c>
      <c r="P24" s="71">
        <v>651</v>
      </c>
      <c r="Q24" s="90">
        <v>4527</v>
      </c>
      <c r="R24" s="71">
        <v>5757</v>
      </c>
      <c r="S24" s="71">
        <v>4823</v>
      </c>
      <c r="T24" s="71">
        <v>160</v>
      </c>
      <c r="U24" s="71">
        <v>4280</v>
      </c>
      <c r="V24" s="71">
        <v>7980</v>
      </c>
      <c r="W24" s="71">
        <v>93</v>
      </c>
      <c r="X24" s="71">
        <v>3681</v>
      </c>
      <c r="Y24" s="71">
        <v>5395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2426.3079228719998</v>
      </c>
      <c r="E25" s="91" ph="1">
        <f>E24*268.68*LOOKUP(E26,密度!$A$2:$A$50,密度!$C$2:$C$50)+IF(E24&lt;=0,0,1566*LOOKUP(E26,密度!$A$2:$A$50,密度!$C$2:$C$50))</f>
        <v>3199.4191273200004</v>
      </c>
      <c r="F25" s="91" ph="1">
        <f>F24*11.702*LOOKUP(F26,密度!$A$2:$A$50,密度!$Q$2:$Q$50)</f>
        <v>6433.9355980800001</v>
      </c>
      <c r="G25" s="91" ph="1">
        <f>G24*18.322*LOOKUP(G26,密度!$A$2:$A$50,密度!$B$2:$B$50)</f>
        <v>39588.272111999999</v>
      </c>
      <c r="H25" s="91" ph="1">
        <f>H24*18.322*LOOKUP(H26,密度!$A$2:$A$50,密度!$B$2:$B$50)</f>
        <v>26998.566320000002</v>
      </c>
      <c r="I25" s="91" ph="1">
        <f>I24*18.322*LOOKUP(I26,密度!$A$2:$A$50,密度!$Q$2:$Q$50)</f>
        <v>1188.0864256</v>
      </c>
      <c r="J25" s="91" ph="1">
        <f>J24*18.322*LOOKUP(J26,密度!$A$2:$A$50,密度!$Q$2:$Q$50)</f>
        <v>22141.17766008</v>
      </c>
      <c r="K25" s="91" ph="1">
        <f>K24*18.322*LOOKUP(K26,密度!$A$2:$A$50,密度!$Q$2:$Q$50)</f>
        <v>42655.870705320005</v>
      </c>
      <c r="L25" s="91" ph="1">
        <f>L24*18.322*LOOKUP(L26,密度!$A$2:$A$50,密度!$Q$2:$Q$50)</f>
        <v>96846.515545599992</v>
      </c>
      <c r="M25" s="91" ph="1">
        <f>M24*18.322*LOOKUP(M26,密度!$A$2:$A$50,密度!$Q$2:$Q$50)</f>
        <v>85087.954303999999</v>
      </c>
      <c r="N25" s="91" ph="1">
        <f>N24*18.322*LOOKUP(N26,密度!$A$2:$A$50,密度!$Q$2:$Q$50)</f>
        <v>97833.924036719996</v>
      </c>
      <c r="O25" s="91" ph="1">
        <f>O24*18.322*LOOKUP(O26,密度!$A$2:$A$50,密度!$C$2:$C$50)</f>
        <v>117042.1928892</v>
      </c>
      <c r="P25" s="91" ph="1">
        <f>P24*11.702*LOOKUP(P26,密度!$A$2:$A$50,密度!$B$2:$B$50)</f>
        <v>6002.9855760000009</v>
      </c>
      <c r="Q25" s="92" ph="1">
        <f>Q24*18.322*LOOKUP(Q26,密度!$A$2:$A$50,密度!$B$2:$B$50)</f>
        <v>65359.630872000009</v>
      </c>
      <c r="R25" s="91" ph="1">
        <f>R24*35.891*LOOKUP(R26,密度!$A$2:$A$50,密度!$C$2:$C$50)</f>
        <v>230427.62790239998</v>
      </c>
      <c r="S25" s="91" ph="1">
        <f>S24*35.891*LOOKUP(S26,密度!$A$2:$A$50,密度!$B$2:$B$50)</f>
        <v>136404.60688400001</v>
      </c>
      <c r="T25" s="91" ph="1">
        <f>T24*35.891*LOOKUP(T26,密度!$A$2:$A$50,密度!$Q$2:$Q$50)</f>
        <v>5481.5032223999997</v>
      </c>
      <c r="U25" s="91" ph="1">
        <f>U24*35.891</f>
        <v>153613.47999999998</v>
      </c>
      <c r="V25" s="91" ph="1">
        <f>V24*47.051*LOOKUP(V26,密度!$A$2:$A$50,密度!$B$2:$B$50)</f>
        <v>295567.60665600002</v>
      </c>
      <c r="W25" s="91" ph="1">
        <f>W24*47.051*LOOKUP(W26,密度!$A$2:$A$50,密度!$B$2:$B$50)</f>
        <v>3438.0212750999999</v>
      </c>
      <c r="X25" s="91" ph="1">
        <f>X24*47.051*LOOKUP(X26,密度!$A$2:$A$61,密度!$I$2:$I$61)</f>
        <v>177611.19664050001</v>
      </c>
      <c r="Y25" s="91" ph="1">
        <f>Y24*47.051*LOOKUP(Y26,密度!$A$2:$A$50,密度!$L$2:$L$50)</f>
        <v>240894.297605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15</v>
      </c>
      <c r="H26" s="74">
        <v>15</v>
      </c>
      <c r="I26" s="74">
        <v>16</v>
      </c>
      <c r="J26" s="74">
        <v>15</v>
      </c>
      <c r="K26" s="74">
        <v>15</v>
      </c>
      <c r="L26" s="74">
        <v>16</v>
      </c>
      <c r="M26" s="74">
        <v>16</v>
      </c>
      <c r="N26" s="74">
        <v>14</v>
      </c>
      <c r="O26" s="74">
        <v>14</v>
      </c>
      <c r="P26" s="74">
        <v>15</v>
      </c>
      <c r="Q26" s="93">
        <v>15</v>
      </c>
      <c r="R26" s="74">
        <v>16</v>
      </c>
      <c r="S26" s="74">
        <v>15</v>
      </c>
      <c r="T26" s="74">
        <v>15</v>
      </c>
      <c r="U26" s="74">
        <v>16</v>
      </c>
      <c r="V26" s="74">
        <v>16</v>
      </c>
      <c r="W26" s="74">
        <v>18</v>
      </c>
      <c r="X26" s="74">
        <v>40</v>
      </c>
      <c r="Y26" s="74">
        <v>13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47" t="s" ph="1">
        <v>180</v>
      </c>
      <c r="D27" s="71">
        <v>3.72</v>
      </c>
      <c r="E27" s="71">
        <v>4.91</v>
      </c>
      <c r="F27" s="71">
        <v>576</v>
      </c>
      <c r="G27" s="71">
        <v>2135</v>
      </c>
      <c r="H27" s="71">
        <v>1353</v>
      </c>
      <c r="I27" s="71">
        <v>67</v>
      </c>
      <c r="J27" s="71">
        <v>2422</v>
      </c>
      <c r="K27" s="71">
        <v>2437</v>
      </c>
      <c r="L27" s="71">
        <v>5539</v>
      </c>
      <c r="M27" s="71">
        <v>4869</v>
      </c>
      <c r="N27" s="71">
        <v>5591</v>
      </c>
      <c r="O27" s="71">
        <v>5720</v>
      </c>
      <c r="P27" s="71">
        <v>648</v>
      </c>
      <c r="Q27" s="90">
        <v>719</v>
      </c>
      <c r="R27" s="71">
        <v>5668</v>
      </c>
      <c r="S27" s="71">
        <v>7028</v>
      </c>
      <c r="T27" s="71">
        <v>160</v>
      </c>
      <c r="U27" s="71">
        <v>4239</v>
      </c>
      <c r="V27" s="71">
        <v>7527</v>
      </c>
      <c r="W27" s="71">
        <v>89</v>
      </c>
      <c r="X27" s="71">
        <v>3694</v>
      </c>
      <c r="Y27" s="71">
        <v>6066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47" t="s" ph="1">
        <v>178</v>
      </c>
      <c r="D28" s="91" ph="1">
        <f>D27*268.68*LOOKUP(D29,密度!$A$2:$A$50,密度!$Q$2:$Q$50)+IF(D27&lt;=0,0,1566*LOOKUP(D29,密度!$A$2:$A$50,密度!$Q$2:$Q$50))</f>
        <v>2428.851623904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6427.5996672000001</v>
      </c>
      <c r="G28" s="91" ph="1">
        <f>G27*18.322*LOOKUP(G29,密度!$A$2:$A$50,密度!$B$2:$B$50)</f>
        <v>30793.272384</v>
      </c>
      <c r="H28" s="91" ph="1">
        <f>H27*18.322*LOOKUP(H29,密度!$A$2:$A$50,密度!$B$2:$B$50)</f>
        <v>19477.240576199998</v>
      </c>
      <c r="I28" s="91" ph="1">
        <f>I27*18.322*LOOKUP(I29,密度!$A$2:$A$50,密度!$Q$2:$Q$50)</f>
        <v>1170.6145663999998</v>
      </c>
      <c r="J28" s="91" ph="1">
        <f>J27*18.322*LOOKUP(J29,密度!$A$2:$A$50,密度!$Q$2:$Q$50)</f>
        <v>42316.842982399998</v>
      </c>
      <c r="K28" s="91" ph="1">
        <f>K27*18.322*LOOKUP(K29,密度!$A$2:$A$50,密度!$Q$2:$Q$50)</f>
        <v>42543.200299199998</v>
      </c>
      <c r="L28" s="91" ph="1">
        <f>L27*18.322*LOOKUP(L29,密度!$A$2:$A$50,密度!$Q$2:$Q$50)</f>
        <v>96615.266071579987</v>
      </c>
      <c r="M28" s="91" ph="1">
        <f>M27*18.322*LOOKUP(M29,密度!$A$2:$A$50,密度!$Q$2:$Q$50)</f>
        <v>84999.1145904</v>
      </c>
      <c r="N28" s="91" ph="1">
        <f>N27*18.322*LOOKUP(N29,密度!$A$2:$A$50,密度!$Q$2:$Q$50)</f>
        <v>97603.214145599995</v>
      </c>
      <c r="O28" s="91" ph="1">
        <f>O27*18.322*LOOKUP(O29,密度!$A$2:$A$50,密度!$C$2:$C$50)</f>
        <v>116665.40828799999</v>
      </c>
      <c r="P28" s="91" ph="1">
        <f>P27*11.702*LOOKUP(P29,密度!$A$2:$A$50,密度!$B$2:$B$50)</f>
        <v>5963.1894143999998</v>
      </c>
      <c r="Q28" s="92" ph="1">
        <f>Q27*18.322*LOOKUP(Q29,密度!$A$2:$A$50,密度!$B$2:$B$50)</f>
        <v>10359.654555200001</v>
      </c>
      <c r="R28" s="91" ph="1">
        <f>R27*35.891*LOOKUP(R29,密度!$A$2:$A$50,密度!$C$2:$C$50)</f>
        <v>226600.88641319997</v>
      </c>
      <c r="S28" s="91" ph="1">
        <f>S27*35.891*LOOKUP(S29,密度!$A$2:$A$50,密度!$B$2:$B$50)</f>
        <v>198186.49854359997</v>
      </c>
      <c r="T28" s="91" ph="1">
        <f>T27*35.891*LOOKUP(T29,密度!$A$2:$A$50,密度!$Q$2:$Q$50)</f>
        <v>5462.4953487999992</v>
      </c>
      <c r="U28" s="91" ph="1">
        <f>U27*35.891</f>
        <v>152141.94899999999</v>
      </c>
      <c r="V28" s="91" ph="1">
        <f>V27*47.051*LOOKUP(V29,密度!$A$2:$A$50,密度!$B$2:$B$50)</f>
        <v>278257.91545890004</v>
      </c>
      <c r="W28" s="91" ph="1">
        <f>W27*47.051*LOOKUP(W29,密度!$A$2:$A$50,密度!$B$2:$B$50)</f>
        <v>3290.1493922999998</v>
      </c>
      <c r="X28" s="91" ph="1">
        <f>X27*47.051*LOOKUP(X29,密度!$A$2:$A$61,密度!$I$2:$I$61)</f>
        <v>177265.1412406</v>
      </c>
      <c r="Y28" s="91" ph="1">
        <f>Y27*47.051*LOOKUP(Y29,密度!$A$2:$A$50,密度!$L$2:$L$50)</f>
        <v>268857.50677199999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47" t="s" ph="1">
        <v>179</v>
      </c>
      <c r="D29" s="74">
        <v>25</v>
      </c>
      <c r="E29" s="74">
        <v>25</v>
      </c>
      <c r="F29" s="74">
        <v>16</v>
      </c>
      <c r="G29" s="74">
        <v>16</v>
      </c>
      <c r="H29" s="74">
        <v>18</v>
      </c>
      <c r="I29" s="74">
        <v>16</v>
      </c>
      <c r="J29" s="74">
        <v>16</v>
      </c>
      <c r="K29" s="74">
        <v>17</v>
      </c>
      <c r="L29" s="74">
        <v>18</v>
      </c>
      <c r="M29" s="74">
        <v>17</v>
      </c>
      <c r="N29" s="74">
        <v>17</v>
      </c>
      <c r="O29" s="74">
        <v>19</v>
      </c>
      <c r="P29" s="74">
        <v>17</v>
      </c>
      <c r="Q29" s="93">
        <v>17</v>
      </c>
      <c r="R29" s="74">
        <v>18</v>
      </c>
      <c r="S29" s="74">
        <v>18</v>
      </c>
      <c r="T29" s="74">
        <v>19</v>
      </c>
      <c r="U29" s="74">
        <v>20</v>
      </c>
      <c r="V29" s="74">
        <v>18</v>
      </c>
      <c r="W29" s="74">
        <v>18</v>
      </c>
      <c r="X29" s="74">
        <v>45</v>
      </c>
      <c r="Y29" s="74">
        <v>20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164462.5361724</v>
      </c>
      <c r="E33" s="213" ph="1">
        <f>M10+I10</f>
        <v>76824.540292000005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1522252632456786910111213141516171819202123456789101112131415161718192022232424356789101112131415161718192021222345678910111213141516171819202345678910111213149101516171819222123234567891012131415161711181920212224252345678910111213134[[#This Row],[F25]]</f>
        <v>3880</v>
      </c>
      <c r="G33" s="217" ph="1">
        <f>N19</f>
        <v>11591.12542138</v>
      </c>
      <c r="H33" s="213" ph="1">
        <f>M19</f>
        <v>31450.214186059999</v>
      </c>
      <c r="I33" s="226" ph="1">
        <v>0</v>
      </c>
      <c r="J33" s="224" ph="1">
        <f>F10+O28</f>
        <v>207081.90248679998</v>
      </c>
      <c r="K33" s="213" ph="1">
        <f>O10+K10+E28+R28</f>
        <v>307135.85427571996</v>
      </c>
      <c r="L33" s="228" ph="1">
        <f>K19</f>
        <v>24105.825517440004</v>
      </c>
      <c r="M33" s="224" ph="1">
        <f>G10+H10+W28+S28+V28+E10+R19+P28+Q28</f>
        <v>704435.33786368009</v>
      </c>
      <c r="N33" s="213" ph="1">
        <f>L10+P10++G28+H28+AD19+AE19</f>
        <v>127794.37481939999</v>
      </c>
      <c r="O33" s="226" ph="1">
        <f>G19</f>
        <v>27788.312716800003</v>
      </c>
      <c r="P33" s="224" ph="1">
        <f>L19</f>
        <v>6719.0951884799997</v>
      </c>
      <c r="Q33" s="213" ph="1">
        <f>J10+N10</f>
        <v>160524.19332039999</v>
      </c>
      <c r="R33" s="226" ph="1">
        <f>BE23</f>
        <v>890</v>
      </c>
      <c r="S33" s="224" ph="1">
        <f>X28</f>
        <v>177265.1412406</v>
      </c>
      <c r="T33" s="213" ph="1">
        <f>X19</f>
        <v>12144.64878648</v>
      </c>
      <c r="U33" s="234" ph="1">
        <f>BE21</f>
        <v>730</v>
      </c>
      <c r="V33" s="245" ph="1">
        <f ca="1">P19+Q19+S19+M28+N28+J28+D10+AC10+D19+E19+H19+J19+O19+V19+W19+K28+L28</f>
        <v>1246982.1664403358</v>
      </c>
      <c r="W33" s="245" ph="1">
        <f>D28+F28+T28+I28</f>
        <v>15489.561206303999</v>
      </c>
      <c r="X33" s="226" ph="1">
        <f>BE29+BE31</f>
        <v>10200</v>
      </c>
      <c r="Y33" s="247" ph="1">
        <f>+Q10+R10+S10+T10+U10+V10+W10+X10+Y10</f>
        <v>268961.63665140001</v>
      </c>
      <c r="Z33" s="232" ph="1">
        <f>T19+U19+Y28+Z10</f>
        <v>411027.65138204</v>
      </c>
      <c r="AA33" s="234" ph="1">
        <f>BE19</f>
        <v>1440</v>
      </c>
      <c r="AB33" s="236" ph="1">
        <f>I19</f>
        <v>34226.959207200001</v>
      </c>
      <c r="AC33" s="238" ph="1">
        <f>AD10+AB19</f>
        <v>107228.6496096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45" t="s" ph="1">
        <v>185</v>
      </c>
      <c r="AA36" s="145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342</v>
      </c>
      <c r="AI37" s="145" t="s" ph="1">
        <v>209</v>
      </c>
      <c r="AJ37" s="145" t="s" ph="1">
        <v>210</v>
      </c>
      <c r="AK37" s="145" t="s" ph="1">
        <v>211</v>
      </c>
      <c r="AM37" s="145" t="s" ph="1">
        <v>210</v>
      </c>
      <c r="AN37" s="145" t="s" ph="1">
        <v>211</v>
      </c>
      <c r="AO37" s="145" t="s" ph="1">
        <v>212</v>
      </c>
      <c r="AP37" s="145" t="s" ph="1">
        <v>210</v>
      </c>
      <c r="AQ37" s="145" t="s" ph="1">
        <v>211</v>
      </c>
      <c r="AR37" s="145" t="s" ph="1">
        <v>212</v>
      </c>
      <c r="AS37" s="145" t="s" ph="1">
        <v>210</v>
      </c>
      <c r="AT37" s="145" t="s" ph="1">
        <v>211</v>
      </c>
      <c r="AU37" s="145" t="s" ph="1">
        <v>212</v>
      </c>
      <c r="AV37" s="145" t="s" ph="1">
        <v>210</v>
      </c>
      <c r="AW37" s="145" t="s" ph="1">
        <v>211</v>
      </c>
      <c r="AX37" s="145" t="s" ph="1">
        <v>212</v>
      </c>
      <c r="AY37" s="145" t="s" ph="1">
        <v>211</v>
      </c>
      <c r="AZ37" s="145" t="s" ph="1">
        <v>213</v>
      </c>
      <c r="BD37" s="145" t="s" ph="1">
        <v>305</v>
      </c>
      <c r="BE37" s="14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724" priority="99">
      <formula>ABS(D$7-D$10)&gt;=1000</formula>
    </cfRule>
  </conditionalFormatting>
  <conditionalFormatting sqref="E4 E6:E11">
    <cfRule type="expression" dxfId="2723" priority="98">
      <formula>ABS(E$7-E$10)&gt;=1000</formula>
    </cfRule>
  </conditionalFormatting>
  <conditionalFormatting sqref="F4:F11">
    <cfRule type="expression" dxfId="2722" priority="97">
      <formula>ABS(F$7-F$10)&gt;=1000</formula>
    </cfRule>
  </conditionalFormatting>
  <conditionalFormatting sqref="G4:G11">
    <cfRule type="expression" dxfId="2721" priority="96">
      <formula>ABS(G$7-G$10)&gt;=1000</formula>
    </cfRule>
  </conditionalFormatting>
  <conditionalFormatting sqref="H4:H11">
    <cfRule type="expression" dxfId="2720" priority="95">
      <formula>ABS(H$7-H$10)&gt;=1000</formula>
    </cfRule>
  </conditionalFormatting>
  <conditionalFormatting sqref="I4:I11">
    <cfRule type="expression" dxfId="2719" priority="94">
      <formula>ABS(I$7-I$10)&gt;=1000</formula>
    </cfRule>
  </conditionalFormatting>
  <conditionalFormatting sqref="J4:J11">
    <cfRule type="expression" dxfId="2718" priority="93">
      <formula>ABS(J$7-J$10)&gt;=1000</formula>
    </cfRule>
  </conditionalFormatting>
  <conditionalFormatting sqref="K4:K11">
    <cfRule type="expression" dxfId="2717" priority="92">
      <formula>ABS(K$7-K$10)&gt;=1000</formula>
    </cfRule>
  </conditionalFormatting>
  <conditionalFormatting sqref="L4:L11">
    <cfRule type="expression" dxfId="2716" priority="91">
      <formula>ABS(L$7-L$10)&gt;=1000</formula>
    </cfRule>
  </conditionalFormatting>
  <conditionalFormatting sqref="M4 M6:M11">
    <cfRule type="expression" dxfId="2715" priority="90">
      <formula>ABS(M$7-M$10)&gt;=1000</formula>
    </cfRule>
  </conditionalFormatting>
  <conditionalFormatting sqref="N4 N6:N11">
    <cfRule type="expression" dxfId="2714" priority="89">
      <formula>ABS(N$7-N$10)&gt;=1000</formula>
    </cfRule>
  </conditionalFormatting>
  <conditionalFormatting sqref="O4 O6:O11">
    <cfRule type="expression" dxfId="2713" priority="88">
      <formula>ABS(O$7-O$10)&gt;=1000</formula>
    </cfRule>
  </conditionalFormatting>
  <conditionalFormatting sqref="P4 P6:P11">
    <cfRule type="expression" dxfId="2712" priority="87">
      <formula>ABS(P$7-P$10)&gt;=1000</formula>
    </cfRule>
  </conditionalFormatting>
  <conditionalFormatting sqref="Q4:Q11">
    <cfRule type="expression" dxfId="2711" priority="86">
      <formula>ABS(Q$7-Q$10)&gt;=1000</formula>
    </cfRule>
  </conditionalFormatting>
  <conditionalFormatting sqref="R4:R11">
    <cfRule type="expression" dxfId="2710" priority="85">
      <formula>ABS(R$7-R$10)&gt;=1000</formula>
    </cfRule>
  </conditionalFormatting>
  <conditionalFormatting sqref="S4:S11">
    <cfRule type="expression" dxfId="2709" priority="84">
      <formula>ABS(S$7-S$10)&gt;=1000</formula>
    </cfRule>
  </conditionalFormatting>
  <conditionalFormatting sqref="T4:T9 T11">
    <cfRule type="expression" dxfId="2708" priority="83">
      <formula>ABS(T$7-T$10)&gt;=1000</formula>
    </cfRule>
  </conditionalFormatting>
  <conditionalFormatting sqref="U4:U9 U11">
    <cfRule type="expression" dxfId="2707" priority="82">
      <formula>ABS(U$7-U$10)&gt;=1000</formula>
    </cfRule>
  </conditionalFormatting>
  <conditionalFormatting sqref="V4:V9 V11">
    <cfRule type="expression" dxfId="2706" priority="81">
      <formula>ABS(V$7-V$10)&gt;=1000</formula>
    </cfRule>
  </conditionalFormatting>
  <conditionalFormatting sqref="W4:W9 W11">
    <cfRule type="expression" dxfId="2705" priority="80">
      <formula>ABS(W$7-W$10)&gt;=1000</formula>
    </cfRule>
  </conditionalFormatting>
  <conditionalFormatting sqref="X4:X9 X11">
    <cfRule type="expression" dxfId="2704" priority="79">
      <formula>ABS(X$7-X$10)&gt;=1000</formula>
    </cfRule>
  </conditionalFormatting>
  <conditionalFormatting sqref="Y4:Y9 Y11">
    <cfRule type="expression" dxfId="2703" priority="78">
      <formula>ABS(Y$7-Y$10)&gt;=1000</formula>
    </cfRule>
  </conditionalFormatting>
  <conditionalFormatting sqref="Z4:Z11">
    <cfRule type="expression" dxfId="2702" priority="77">
      <formula>ABS(Z$7-Z$10)&gt;=1000</formula>
    </cfRule>
  </conditionalFormatting>
  <conditionalFormatting sqref="AA4:AA11">
    <cfRule type="expression" dxfId="2701" priority="76">
      <formula>ABS(AA$7-AA$10)&gt;=1000</formula>
    </cfRule>
  </conditionalFormatting>
  <conditionalFormatting sqref="AB4:AB11">
    <cfRule type="expression" dxfId="2700" priority="75">
      <formula>ABS(AB$7-AB$10)&gt;=1000</formula>
    </cfRule>
  </conditionalFormatting>
  <conditionalFormatting sqref="AC4 AC6:AC11">
    <cfRule type="expression" dxfId="2699" priority="74">
      <formula>ABS(AC$7-AC$10)&gt;=1000</formula>
    </cfRule>
  </conditionalFormatting>
  <conditionalFormatting sqref="AD4:AD11">
    <cfRule type="expression" dxfId="2698" priority="73">
      <formula>ABS(AD$7-AD$10)&gt;=1000</formula>
    </cfRule>
  </conditionalFormatting>
  <conditionalFormatting sqref="AE4 AE6:AE11">
    <cfRule type="expression" dxfId="2697" priority="72">
      <formula>ABS(AE$7-AE$10)&gt;=1000</formula>
    </cfRule>
  </conditionalFormatting>
  <conditionalFormatting sqref="D13:D20">
    <cfRule type="expression" dxfId="2696" priority="71">
      <formula>ABS(D$16-D$19)&gt;=1000</formula>
    </cfRule>
  </conditionalFormatting>
  <conditionalFormatting sqref="E13:E20">
    <cfRule type="expression" dxfId="2695" priority="70">
      <formula>ABS(E$16-E$19)&gt;=1000</formula>
    </cfRule>
  </conditionalFormatting>
  <conditionalFormatting sqref="F13 F15:F20">
    <cfRule type="expression" dxfId="2694" priority="69">
      <formula>ABS(F$16-F$19)&gt;=1000</formula>
    </cfRule>
  </conditionalFormatting>
  <conditionalFormatting sqref="G13:G20">
    <cfRule type="expression" dxfId="2693" priority="68">
      <formula>ABS(G$16-G$19)&gt;=1000</formula>
    </cfRule>
  </conditionalFormatting>
  <conditionalFormatting sqref="H13 H15:H20">
    <cfRule type="expression" dxfId="2692" priority="67">
      <formula>ABS(H$16-H$19)&gt;=1000</formula>
    </cfRule>
  </conditionalFormatting>
  <conditionalFormatting sqref="I13:I20">
    <cfRule type="expression" dxfId="2691" priority="66">
      <formula>ABS(I$16-I$19)&gt;=1000</formula>
    </cfRule>
  </conditionalFormatting>
  <conditionalFormatting sqref="J13:J20">
    <cfRule type="expression" dxfId="2690" priority="65">
      <formula>ABS(J$16-J$19)&gt;=1000</formula>
    </cfRule>
  </conditionalFormatting>
  <conditionalFormatting sqref="L13:L20">
    <cfRule type="expression" dxfId="2689" priority="64">
      <formula>ABS(L$16-L$19)&gt;=1000</formula>
    </cfRule>
  </conditionalFormatting>
  <conditionalFormatting sqref="M13 M15 M17:M18 M20">
    <cfRule type="expression" dxfId="2688" priority="63">
      <formula>ABS(M$16-M$19)&gt;=1000</formula>
    </cfRule>
  </conditionalFormatting>
  <conditionalFormatting sqref="N13:N20">
    <cfRule type="expression" dxfId="2687" priority="62">
      <formula>ABS(N$16-N$19)&gt;=1000</formula>
    </cfRule>
  </conditionalFormatting>
  <conditionalFormatting sqref="O13:O20">
    <cfRule type="expression" dxfId="2686" priority="61">
      <formula>ABS(O$16-O$19)&gt;=1000</formula>
    </cfRule>
  </conditionalFormatting>
  <conditionalFormatting sqref="P13:P20">
    <cfRule type="expression" dxfId="2685" priority="60">
      <formula>ABS(P$16-P$19)&gt;=1000</formula>
    </cfRule>
  </conditionalFormatting>
  <conditionalFormatting sqref="Q13 Q15:Q20">
    <cfRule type="expression" dxfId="2684" priority="59">
      <formula>ABS(Q$16-Q$19)&gt;=1000</formula>
    </cfRule>
  </conditionalFormatting>
  <conditionalFormatting sqref="R13:R20">
    <cfRule type="expression" dxfId="2683" priority="58">
      <formula>ABS(R$16-R$19)&gt;=1000</formula>
    </cfRule>
  </conditionalFormatting>
  <conditionalFormatting sqref="S13:S20">
    <cfRule type="expression" dxfId="2682" priority="57">
      <formula>ABS(S$16-S$19)&gt;=1000</formula>
    </cfRule>
  </conditionalFormatting>
  <conditionalFormatting sqref="T13:T20">
    <cfRule type="expression" dxfId="2681" priority="56">
      <formula>ABS(T$16-T$19)&gt;=1000</formula>
    </cfRule>
  </conditionalFormatting>
  <conditionalFormatting sqref="U13:U20">
    <cfRule type="expression" dxfId="2680" priority="55">
      <formula>ABS(U$16-U$19)&gt;=1000</formula>
    </cfRule>
  </conditionalFormatting>
  <conditionalFormatting sqref="V13:V20">
    <cfRule type="expression" dxfId="2679" priority="54">
      <formula>ABS(V$16-V$19)&gt;=1000</formula>
    </cfRule>
  </conditionalFormatting>
  <conditionalFormatting sqref="W13 W20 W15:W18">
    <cfRule type="expression" dxfId="2678" priority="53">
      <formula>ABS(W$16-W$19)&gt;=1000</formula>
    </cfRule>
  </conditionalFormatting>
  <conditionalFormatting sqref="X13 X15:X20 Y19">
    <cfRule type="expression" dxfId="2677" priority="52">
      <formula>ABS(X$16-X$19)&gt;=1000</formula>
    </cfRule>
  </conditionalFormatting>
  <conditionalFormatting sqref="Y13 Y15:Y18 Y20">
    <cfRule type="expression" dxfId="2676" priority="51">
      <formula>ABS(Y$16-Y$19)&gt;=1000</formula>
    </cfRule>
  </conditionalFormatting>
  <conditionalFormatting sqref="Z13:Z20">
    <cfRule type="expression" dxfId="2675" priority="50">
      <formula>ABS(Z$16-Z$19)&gt;=1000</formula>
    </cfRule>
  </conditionalFormatting>
  <conditionalFormatting sqref="AA13:AA20">
    <cfRule type="expression" dxfId="2674" priority="49">
      <formula>ABS(AA$16-AA$19)&gt;=1000</formula>
    </cfRule>
  </conditionalFormatting>
  <conditionalFormatting sqref="AB13 AB15:AB20">
    <cfRule type="expression" dxfId="2673" priority="48">
      <formula>ABS(AB$16-AB$19)&gt;=1000</formula>
    </cfRule>
  </conditionalFormatting>
  <conditionalFormatting sqref="AC13 AC15:AC20">
    <cfRule type="expression" dxfId="2672" priority="47">
      <formula>ABS(AC$16-AC$19)&gt;=1000</formula>
    </cfRule>
  </conditionalFormatting>
  <conditionalFormatting sqref="AD13:AD20">
    <cfRule type="expression" dxfId="2671" priority="46">
      <formula>ABS(AD$16-AD$19)&gt;=1000</formula>
    </cfRule>
  </conditionalFormatting>
  <conditionalFormatting sqref="AE13:AE20">
    <cfRule type="expression" dxfId="2670" priority="45">
      <formula>ABS(AE$16-AE$19)&gt;=1000</formula>
    </cfRule>
  </conditionalFormatting>
  <conditionalFormatting sqref="D22:D29">
    <cfRule type="expression" dxfId="2669" priority="44">
      <formula>ABS(D$25-D$28)&gt;=1000</formula>
    </cfRule>
  </conditionalFormatting>
  <conditionalFormatting sqref="E22:E29">
    <cfRule type="expression" dxfId="2668" priority="43">
      <formula>ABS(E$25-E$28)&gt;=1000</formula>
    </cfRule>
  </conditionalFormatting>
  <conditionalFormatting sqref="F22:F29">
    <cfRule type="expression" dxfId="2667" priority="42">
      <formula>ABS(F$25-F$28)&gt;=1000</formula>
    </cfRule>
  </conditionalFormatting>
  <conditionalFormatting sqref="G22:G29">
    <cfRule type="expression" dxfId="2666" priority="41">
      <formula>ABS(G$25-G$28)&gt;=1000</formula>
    </cfRule>
  </conditionalFormatting>
  <conditionalFormatting sqref="H22:H29">
    <cfRule type="expression" dxfId="2665" priority="40">
      <formula>ABS(H$25-H$28)&gt;=1000</formula>
    </cfRule>
  </conditionalFormatting>
  <conditionalFormatting sqref="I22 I24:I29">
    <cfRule type="expression" dxfId="2664" priority="39">
      <formula>ABS(I$25-I$28)&gt;=1000</formula>
    </cfRule>
  </conditionalFormatting>
  <conditionalFormatting sqref="J22:J29 K22">
    <cfRule type="expression" dxfId="2663" priority="38">
      <formula>ABS(J$25-J$28)&gt;=1000</formula>
    </cfRule>
  </conditionalFormatting>
  <conditionalFormatting sqref="K23:K29 L25 L28">
    <cfRule type="expression" dxfId="2662" priority="37">
      <formula>ABS(K$25-K$28)&gt;=1000</formula>
    </cfRule>
  </conditionalFormatting>
  <conditionalFormatting sqref="L22 L26:L27 L29 L24">
    <cfRule type="expression" dxfId="2661" priority="36">
      <formula>ABS(L$25-L$28)&gt;=1000</formula>
    </cfRule>
  </conditionalFormatting>
  <conditionalFormatting sqref="M22:M29">
    <cfRule type="expression" dxfId="2660" priority="35">
      <formula>ABS(M$25-M$28)&gt;=1000</formula>
    </cfRule>
  </conditionalFormatting>
  <conditionalFormatting sqref="N22:N29">
    <cfRule type="expression" dxfId="2659" priority="34">
      <formula>ABS(N$25-N$28)&gt;=1000</formula>
    </cfRule>
  </conditionalFormatting>
  <conditionalFormatting sqref="O22:O29">
    <cfRule type="expression" dxfId="2658" priority="33">
      <formula>ABS(O$25-O$28)&gt;=1000</formula>
    </cfRule>
  </conditionalFormatting>
  <conditionalFormatting sqref="P22:P29">
    <cfRule type="expression" dxfId="2657" priority="32">
      <formula>ABS(P$25-P$28)&gt;=1000</formula>
    </cfRule>
  </conditionalFormatting>
  <conditionalFormatting sqref="Q22:Q29">
    <cfRule type="expression" dxfId="2656" priority="31">
      <formula>ABS(Q$25-Q$28)&gt;=1000</formula>
    </cfRule>
  </conditionalFormatting>
  <conditionalFormatting sqref="R22:R29">
    <cfRule type="expression" dxfId="2655" priority="30">
      <formula>ABS(R$25-R$28)&gt;=1000</formula>
    </cfRule>
  </conditionalFormatting>
  <conditionalFormatting sqref="S22:S29">
    <cfRule type="expression" dxfId="2654" priority="29">
      <formula>ABS(S$25-S$28)&gt;=1000</formula>
    </cfRule>
  </conditionalFormatting>
  <conditionalFormatting sqref="T22:T29">
    <cfRule type="expression" dxfId="2653" priority="28">
      <formula>ABS(T$25-T$28)&gt;=1000</formula>
    </cfRule>
  </conditionalFormatting>
  <conditionalFormatting sqref="U22:U29">
    <cfRule type="expression" dxfId="2652" priority="27">
      <formula>ABS(U$25-U$28)&gt;=1000</formula>
    </cfRule>
  </conditionalFormatting>
  <conditionalFormatting sqref="V22:V29">
    <cfRule type="expression" dxfId="2651" priority="26">
      <formula>ABS(V$25-V$28)&gt;=1000</formula>
    </cfRule>
  </conditionalFormatting>
  <conditionalFormatting sqref="W22:W29">
    <cfRule type="expression" dxfId="2650" priority="25">
      <formula>ABS(W$25-W$28)&gt;=1000</formula>
    </cfRule>
  </conditionalFormatting>
  <conditionalFormatting sqref="X22:X29">
    <cfRule type="expression" dxfId="2649" priority="24">
      <formula>ABS(X$25-X$28)&gt;=1000</formula>
    </cfRule>
  </conditionalFormatting>
  <conditionalFormatting sqref="Y22:Y29">
    <cfRule type="expression" dxfId="2648" priority="23">
      <formula>ABS(Y$25-Y$28)&gt;=1000</formula>
    </cfRule>
  </conditionalFormatting>
  <conditionalFormatting sqref="I23">
    <cfRule type="expression" dxfId="2647" priority="22">
      <formula>ABS(I$25-I$28)&gt;=1000</formula>
    </cfRule>
  </conditionalFormatting>
  <conditionalFormatting sqref="Q14">
    <cfRule type="expression" dxfId="2646" priority="21">
      <formula>ABS(Q$16-Q$19)&gt;=1000</formula>
    </cfRule>
  </conditionalFormatting>
  <conditionalFormatting sqref="W14">
    <cfRule type="expression" dxfId="2645" priority="20">
      <formula>ABS(W$16-W$19)&gt;=1000</formula>
    </cfRule>
  </conditionalFormatting>
  <conditionalFormatting sqref="Y14">
    <cfRule type="expression" dxfId="2644" priority="19">
      <formula>ABS(Y$16-Y$19)&gt;=1000</formula>
    </cfRule>
  </conditionalFormatting>
  <conditionalFormatting sqref="X14">
    <cfRule type="expression" dxfId="2643" priority="18">
      <formula>ABS(X$16-X$19)&gt;=1000</formula>
    </cfRule>
  </conditionalFormatting>
  <conditionalFormatting sqref="T10:Y10">
    <cfRule type="expression" dxfId="2642" priority="17">
      <formula>ABS(T$7-T$10)&gt;=1000</formula>
    </cfRule>
  </conditionalFormatting>
  <conditionalFormatting sqref="W19">
    <cfRule type="expression" dxfId="2641" priority="16">
      <formula>ABS(W$16-W$19)&gt;=1000</formula>
    </cfRule>
  </conditionalFormatting>
  <conditionalFormatting sqref="AC5">
    <cfRule type="expression" dxfId="2640" priority="15">
      <formula>ABS(AC$7-AC$10)&gt;=1000</formula>
    </cfRule>
  </conditionalFormatting>
  <conditionalFormatting sqref="M14">
    <cfRule type="expression" dxfId="2639" priority="14">
      <formula>ABS(M$16-M$19)&gt;=1000</formula>
    </cfRule>
  </conditionalFormatting>
  <conditionalFormatting sqref="M16">
    <cfRule type="expression" dxfId="2638" priority="13">
      <formula>ABS(M$16-M$19)&gt;=1000</formula>
    </cfRule>
  </conditionalFormatting>
  <conditionalFormatting sqref="M19">
    <cfRule type="expression" dxfId="2637" priority="12">
      <formula>ABS(M$16-M$19)&gt;=1000</formula>
    </cfRule>
  </conditionalFormatting>
  <conditionalFormatting sqref="K13:K20">
    <cfRule type="expression" dxfId="2636" priority="11">
      <formula>ABS(K$16-K$19)&gt;=1000</formula>
    </cfRule>
  </conditionalFormatting>
  <conditionalFormatting sqref="E5">
    <cfRule type="expression" dxfId="2635" priority="10">
      <formula>ABS(E$7-E$10)&gt;=1000</formula>
    </cfRule>
  </conditionalFormatting>
  <conditionalFormatting sqref="AB14:AC14">
    <cfRule type="expression" dxfId="2634" priority="9">
      <formula>ABS(AB$16-AB$19)&gt;=1000</formula>
    </cfRule>
  </conditionalFormatting>
  <conditionalFormatting sqref="M5">
    <cfRule type="expression" dxfId="2633" priority="8">
      <formula>ABS(M$7-M$10)&gt;=1000</formula>
    </cfRule>
  </conditionalFormatting>
  <conditionalFormatting sqref="N5">
    <cfRule type="expression" dxfId="2632" priority="7">
      <formula>ABS(N$7-N$10)&gt;=1000</formula>
    </cfRule>
  </conditionalFormatting>
  <conditionalFormatting sqref="O5">
    <cfRule type="expression" dxfId="2631" priority="6">
      <formula>ABS(O$7-O$10)&gt;=1000</formula>
    </cfRule>
  </conditionalFormatting>
  <conditionalFormatting sqref="P5">
    <cfRule type="expression" dxfId="2630" priority="5">
      <formula>ABS(P$7-P$10)&gt;=1000</formula>
    </cfRule>
  </conditionalFormatting>
  <conditionalFormatting sqref="L23">
    <cfRule type="expression" dxfId="2629" priority="4">
      <formula>ABS(L$25-L$28)&gt;=1000</formula>
    </cfRule>
  </conditionalFormatting>
  <conditionalFormatting sqref="F14">
    <cfRule type="expression" dxfId="2628" priority="3">
      <formula>ABS(F$16-F$19)&gt;=1000</formula>
    </cfRule>
  </conditionalFormatting>
  <conditionalFormatting sqref="AE5">
    <cfRule type="expression" dxfId="2627" priority="2">
      <formula>ABS(AE$25-AE$28)&gt;=1000</formula>
    </cfRule>
  </conditionalFormatting>
  <conditionalFormatting sqref="H14">
    <cfRule type="expression" dxfId="2626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07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799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46027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70" t="s" ph="1">
        <v>633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48" t="s" ph="1">
        <v>177</v>
      </c>
      <c r="D6" s="71">
        <v>4258</v>
      </c>
      <c r="E6" s="71">
        <v>0</v>
      </c>
      <c r="F6" s="71">
        <v>2441</v>
      </c>
      <c r="G6" s="71">
        <v>111</v>
      </c>
      <c r="H6" s="71">
        <v>3001</v>
      </c>
      <c r="I6" s="71">
        <v>14.11</v>
      </c>
      <c r="J6" s="71">
        <v>6.61</v>
      </c>
      <c r="K6" s="71">
        <v>7.32</v>
      </c>
      <c r="L6" s="71">
        <v>35.92</v>
      </c>
      <c r="M6" s="71">
        <v>2110</v>
      </c>
      <c r="N6" s="71">
        <v>6041</v>
      </c>
      <c r="O6" s="71">
        <v>3294</v>
      </c>
      <c r="P6" s="71">
        <v>1738</v>
      </c>
      <c r="Q6" s="71">
        <v>0</v>
      </c>
      <c r="R6" s="71">
        <v>0</v>
      </c>
      <c r="S6" s="71">
        <v>0</v>
      </c>
      <c r="T6" s="71">
        <v>5845</v>
      </c>
      <c r="U6" s="71">
        <v>6992</v>
      </c>
      <c r="V6" s="71">
        <v>5894</v>
      </c>
      <c r="W6" s="71">
        <v>7204</v>
      </c>
      <c r="X6" s="71">
        <v>6996</v>
      </c>
      <c r="Y6" s="71">
        <v>5282</v>
      </c>
      <c r="Z6" s="71">
        <v>2917</v>
      </c>
      <c r="AA6" s="71">
        <v>2882</v>
      </c>
      <c r="AB6" s="71">
        <v>3071</v>
      </c>
      <c r="AC6" s="71">
        <v>8085</v>
      </c>
      <c r="AD6" s="71">
        <v>4780</v>
      </c>
      <c r="AE6" s="71">
        <v>3052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133974.22551480003</v>
      </c>
      <c r="E7" s="73" ph="1">
        <f>E6*51.53*LOOKUP(E8,密度!$A$2:$A$50,密度!$B$2:$B$50)</f>
        <v>0</v>
      </c>
      <c r="F7" s="73" ph="1">
        <f>F6*33.183*LOOKUP(F8,密度!$A$2:$A$50,密度!$C$2:$C$50)</f>
        <v>90379.468607399991</v>
      </c>
      <c r="G7" s="73" ph="1">
        <f xml:space="preserve"> (G6+2)*51.53*LOOKUP(G8,密度!$A$2:$A$50,密度!$B$2:$B$50)</f>
        <v>4593.6779210000004</v>
      </c>
      <c r="H7" s="73" ph="1">
        <f>(H6)*51.53*LOOKUP(H8,密度!$A$2:$A$50,密度!$B$2:$B$50)</f>
        <v>122383.30684199999</v>
      </c>
      <c r="I7" s="73" ph="1">
        <f>I6*290.8*1.0267</f>
        <v>4212.7431195999998</v>
      </c>
      <c r="J7" s="73" ph="1">
        <f>J6*290.8*0.7892</f>
        <v>1516.9907696</v>
      </c>
      <c r="K7" s="73" ph="1">
        <f>K6*290.8*1.1126</f>
        <v>2368.3426656000001</v>
      </c>
      <c r="L7" s="73" ph="1">
        <f>L6*290.8*0.777</f>
        <v>8116.1814720000002</v>
      </c>
      <c r="M7" s="73" ph="1">
        <f>M6*33.183*LOOKUP(M8,密度!$A$2:$A$50,密度!$D$2:$D$50)</f>
        <v>72508.704228000017</v>
      </c>
      <c r="N7" s="73" ph="1">
        <f>N6*33.183*LOOKUP(N8,密度!$A$2:$A$50,密度!$E$2:$E$50)</f>
        <v>158863.36362749999</v>
      </c>
      <c r="O7" s="73" ph="1">
        <f>O6*20.428*LOOKUP(O8,密度!$A$2:$A$50,密度!$C$2:$C$50)</f>
        <v>74907.040982400009</v>
      </c>
      <c r="P7" s="73" ph="1">
        <f>P6*51.53*LOOKUP(P8,密度!$A$2:$A$50,密度!$B$2:$B$50)</f>
        <v>70429.307696000003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39291.484616999995</v>
      </c>
      <c r="U7" s="73" ph="1">
        <f>U6*1.5*1.5*3.1416*LOOKUP(U8,密度!$A$2:$A$50,密度!$L$2:$L$50)</f>
        <v>46804.197686399995</v>
      </c>
      <c r="V7" s="73" ph="1">
        <f>V6*1.5*1.5*3.1416*LOOKUP(V8,密度!$A$2:$A$50,密度!$L$2:$L$50)</f>
        <v>39787.523621999993</v>
      </c>
      <c r="W7" s="73" ph="1">
        <f>W6*1.5*1.5*3.1416*LOOKUP(W8,密度!$A$2:$A$50,密度!$L$2:$L$50)</f>
        <v>48172.3959024</v>
      </c>
      <c r="X7" s="73" ph="1">
        <f>X6*1.5*1.5*3.1416*LOOKUP(X8,密度!$A$2:$A$50,密度!$L$2:$L$50)</f>
        <v>46484.810063999998</v>
      </c>
      <c r="Y7" s="73" ph="1">
        <f>Y6*1.5*1.5*3.1416*LOOKUP(Y8,密度!$A$2:$A$50,密度!$L$2:$L$50)</f>
        <v>35320.182559199995</v>
      </c>
      <c r="Z7" s="73" ph="1">
        <f>Z6*33.183*LOOKUP(Z8,密度!$A$2:$A$50,密度!$L$2:$L$50)</f>
        <v>92051.865260999999</v>
      </c>
      <c r="AA7" s="73" ph="1">
        <f>AA6*33.183*LOOKUP(AA8,密度!$A$2:$A$50,密度!$D$2:$D$50)</f>
        <v>99037.955253600012</v>
      </c>
      <c r="AB7" s="73" ph="1">
        <f>AB6*20.428*LOOKUP(AB8,密度!$A$2:$A$50,密度!$D$2:$D$50)</f>
        <v>65356.685418400004</v>
      </c>
      <c r="AC7" s="73" ph="1">
        <f>AC6*51.53*LOOKUP(AC8,密度!$A$2:$A$50,密度!$Q$2:$Q$50)</f>
        <v>397680.50252700003</v>
      </c>
      <c r="AD7" s="73" ph="1">
        <f>AD6*20.428*LOOKUP(AD8,密度!$A$2:$A$50,密度!$V$2:$V$50)</f>
        <v>94130.589760000003</v>
      </c>
      <c r="AE7" s="73" ph="1">
        <f>AE6*20.428</f>
        <v>62346.256000000001</v>
      </c>
    </row>
    <row r="8" spans="1:99" ph="1">
      <c r="B8" s="191" ph="1"/>
      <c r="C8" s="68" t="s" ph="1">
        <v>179</v>
      </c>
      <c r="D8" s="74">
        <v>23</v>
      </c>
      <c r="E8" s="74">
        <v>13</v>
      </c>
      <c r="F8" s="74">
        <v>15</v>
      </c>
      <c r="G8" s="74">
        <v>14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19</v>
      </c>
      <c r="P8" s="74">
        <v>17</v>
      </c>
      <c r="Q8" s="74">
        <v>16</v>
      </c>
      <c r="R8" s="74">
        <v>20</v>
      </c>
      <c r="S8" s="74">
        <v>10</v>
      </c>
      <c r="T8" s="74">
        <v>11</v>
      </c>
      <c r="U8" s="74">
        <v>15</v>
      </c>
      <c r="V8" s="74">
        <v>7</v>
      </c>
      <c r="W8" s="74">
        <v>16</v>
      </c>
      <c r="X8" s="74">
        <v>22</v>
      </c>
      <c r="Y8" s="74">
        <v>16</v>
      </c>
      <c r="Z8" s="74">
        <v>11</v>
      </c>
      <c r="AA8" s="74">
        <v>15</v>
      </c>
      <c r="AB8" s="74">
        <v>8</v>
      </c>
      <c r="AC8" s="74">
        <v>12</v>
      </c>
      <c r="AD8" s="74">
        <v>18</v>
      </c>
      <c r="AE8" s="74">
        <v>15</v>
      </c>
    </row>
    <row r="9" spans="1:99" ph="1">
      <c r="B9" s="191" ph="1">
        <v>0.66666666666666663</v>
      </c>
      <c r="C9" s="148" t="s" ph="1">
        <v>180</v>
      </c>
      <c r="D9" s="71">
        <v>4609</v>
      </c>
      <c r="E9" s="71">
        <v>0</v>
      </c>
      <c r="F9" s="71">
        <v>2440</v>
      </c>
      <c r="G9" s="71">
        <v>970</v>
      </c>
      <c r="H9" s="71">
        <v>2996</v>
      </c>
      <c r="I9" s="71">
        <v>0</v>
      </c>
      <c r="J9" s="71">
        <v>6.81</v>
      </c>
      <c r="K9" s="71">
        <v>7.41</v>
      </c>
      <c r="L9" s="71">
        <v>31.81</v>
      </c>
      <c r="M9" s="71">
        <v>2110</v>
      </c>
      <c r="N9" s="71">
        <v>6047</v>
      </c>
      <c r="O9" s="71">
        <v>3293</v>
      </c>
      <c r="P9" s="71">
        <v>1629</v>
      </c>
      <c r="Q9" s="71">
        <v>5825</v>
      </c>
      <c r="R9" s="71">
        <v>2594</v>
      </c>
      <c r="S9" s="71">
        <v>0</v>
      </c>
      <c r="T9" s="71">
        <v>1500</v>
      </c>
      <c r="U9" s="71">
        <v>6998</v>
      </c>
      <c r="V9" s="71">
        <v>5900</v>
      </c>
      <c r="W9" s="71">
        <v>7214</v>
      </c>
      <c r="X9" s="71">
        <v>7005</v>
      </c>
      <c r="Y9" s="71">
        <v>5289</v>
      </c>
      <c r="Z9" s="71">
        <v>1392</v>
      </c>
      <c r="AA9" s="71">
        <v>2880</v>
      </c>
      <c r="AB9" s="71">
        <v>3002</v>
      </c>
      <c r="AC9" s="71">
        <v>7966</v>
      </c>
      <c r="AD9" s="71">
        <v>4780</v>
      </c>
      <c r="AE9" s="71">
        <v>2967</v>
      </c>
    </row>
    <row r="10" spans="1:99" s="72" customFormat="1" ht="22.5" ph="1">
      <c r="B10" s="191" ph="1"/>
      <c r="C10" s="148" t="s" ph="1">
        <v>178</v>
      </c>
      <c r="D10" s="73" ph="1">
        <f>D9*33.183*LOOKUP(D11,密度!$A$2:$A$50,密度!$Q$2:$Q$50)</f>
        <v>144906.48531908999</v>
      </c>
      <c r="E10" s="73" ph="1">
        <f>E9*51.53*LOOKUP(E11,密度!$A$2:$A$50,密度!$B$2:$B$50)</f>
        <v>0</v>
      </c>
      <c r="F10" s="73" ph="1">
        <f>F9*33.183*LOOKUP(F11,密度!$A$2:$A$50,密度!$C$2:$C$50)</f>
        <v>90293.863104000004</v>
      </c>
      <c r="G10" s="73" ph="1">
        <f xml:space="preserve"> (G9+2)*51.53*LOOKUP(G11,密度!$A$2:$A$50,密度!$B$2:$B$50)</f>
        <v>39353.481612000003</v>
      </c>
      <c r="H10" s="73" ph="1">
        <f>(H9)*51.53*LOOKUP(H11,密度!$A$2:$A$50,密度!$B$2:$B$50)</f>
        <v>121654.49744000001</v>
      </c>
      <c r="I10" s="73" ph="1">
        <f>I9*290.8*1.0267</f>
        <v>0</v>
      </c>
      <c r="J10" s="73" ph="1">
        <f>J9*290.8*0.7892</f>
        <v>1562.8906416</v>
      </c>
      <c r="K10" s="73" ph="1">
        <f>K9*290.8*1.1126</f>
        <v>2397.4616328000002</v>
      </c>
      <c r="L10" s="73" ph="1">
        <f>L9*290.8*0.777</f>
        <v>7187.5203959999999</v>
      </c>
      <c r="M10" s="73" ph="1">
        <f>M9*33.183*LOOKUP(M11,密度!$A$2:$A$50,密度!$D$2:$D$50)</f>
        <v>72333.663902999993</v>
      </c>
      <c r="N10" s="73" ph="1">
        <f>N9*33.183*LOOKUP(N11,密度!$A$2:$A$50,密度!$E$2:$E$50)</f>
        <v>158800.42543139998</v>
      </c>
      <c r="O10" s="73" ph="1">
        <f>O9*20.428*LOOKUP(O11,密度!$A$2:$A$50,密度!$C$2:$C$50)</f>
        <v>74796.85030760002</v>
      </c>
      <c r="P10" s="73" ph="1">
        <f>P9*51.53*LOOKUP(P11,密度!$A$2:$A$50,密度!$B$2:$B$50)</f>
        <v>65743.664183999994</v>
      </c>
      <c r="Q10" s="73" ph="1">
        <f>Q9*1.5*1.5*3.1416*LOOKUP(W11,密度!$A$2:$A$50,密度!$L$2:$L$50)</f>
        <v>38909.992274999997</v>
      </c>
      <c r="R10" s="73" ph="1">
        <f>R9*1.5*1.5*3.1416*LOOKUP(R11,密度!$A$2:$A$50,密度!$L$2:$L$50)</f>
        <v>17217.455547599999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10051.549199999999</v>
      </c>
      <c r="U10" s="73" ph="1">
        <f>U9*1.5*1.5*3.1416*LOOKUP(U11,密度!$A$2:$A$50,密度!$L$2:$L$50)</f>
        <v>46794.895408799995</v>
      </c>
      <c r="V10" s="73" ph="1">
        <f>V9*1.5*1.5*3.1416*LOOKUP(V11,密度!$A$2:$A$50,密度!$L$2:$L$50)</f>
        <v>39119.046119999999</v>
      </c>
      <c r="W10" s="73" ph="1">
        <f>W9*1.5*1.5*3.1416*LOOKUP(W11,密度!$A$2:$A$50,密度!$L$2:$L$50)</f>
        <v>48188.271977999997</v>
      </c>
      <c r="X10" s="73" ph="1">
        <f>X9*1.5*1.5*3.1416*LOOKUP(X11,密度!$A$2:$A$50,密度!$L$2:$L$50)</f>
        <v>47138.796935999999</v>
      </c>
      <c r="Y10" s="73" ph="1">
        <f>Y9*1.5*1.5*3.1416*LOOKUP(Y11,密度!$A$2:$A$50,密度!$L$2:$L$50)</f>
        <v>35329.605002999997</v>
      </c>
      <c r="Z10" s="73" ph="1">
        <f>Z9*33.183*LOOKUP(Z11,密度!$A$2:$A$50,密度!$L$2:$L$50)</f>
        <v>43788.817727999995</v>
      </c>
      <c r="AA10" s="73" ph="1">
        <f>AA9*33.183*LOOKUP(AA11,密度!$A$2:$A$50,密度!$D$2:$D$50)</f>
        <v>98644.298687999995</v>
      </c>
      <c r="AB10" s="73" ph="1">
        <f>AB9*20.428*LOOKUP(AB11,密度!$A$2:$A$50,密度!$D$2:$D$50)</f>
        <v>63777.85024</v>
      </c>
      <c r="AC10" s="73" ph="1">
        <f>AC9*51.53*LOOKUP(AC11,密度!$A$2:$A$50,密度!$Q$2:$Q$50)</f>
        <v>391441.33772799995</v>
      </c>
      <c r="AD10" s="73" ph="1">
        <f>AD9*20.428*LOOKUP(AD11,密度!$A$2:$A$50,密度!$V$2:$V$50)</f>
        <v>94130.589760000003</v>
      </c>
      <c r="AE10" s="73" ph="1">
        <f>AE9*20.428</f>
        <v>60609.876000000004</v>
      </c>
    </row>
    <row r="11" spans="1:99" ph="1">
      <c r="A11" s="64" t="s" ph="1">
        <v>162</v>
      </c>
      <c r="B11" s="191" ph="1"/>
      <c r="C11" s="148" t="s" ph="1">
        <v>179</v>
      </c>
      <c r="D11" s="74">
        <v>24</v>
      </c>
      <c r="E11" s="74">
        <v>19</v>
      </c>
      <c r="F11" s="74">
        <v>16</v>
      </c>
      <c r="G11" s="74">
        <v>18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21</v>
      </c>
      <c r="P11" s="74">
        <v>21</v>
      </c>
      <c r="Q11" s="74">
        <v>21</v>
      </c>
      <c r="R11" s="74">
        <v>23</v>
      </c>
      <c r="S11" s="74">
        <v>16</v>
      </c>
      <c r="T11" s="74">
        <v>14</v>
      </c>
      <c r="U11" s="74">
        <v>16</v>
      </c>
      <c r="V11" s="74">
        <v>24</v>
      </c>
      <c r="W11" s="74">
        <v>17</v>
      </c>
      <c r="X11" s="74">
        <v>10</v>
      </c>
      <c r="Y11" s="74">
        <v>17</v>
      </c>
      <c r="Z11" s="74">
        <v>14</v>
      </c>
      <c r="AA11" s="74">
        <v>19</v>
      </c>
      <c r="AB11" s="74">
        <v>10</v>
      </c>
      <c r="AC11" s="74">
        <v>16</v>
      </c>
      <c r="AD11" s="74">
        <v>16</v>
      </c>
      <c r="AE11" s="74">
        <v>18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4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0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633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38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636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48" t="s" ph="1">
        <v>177</v>
      </c>
      <c r="D15" s="78">
        <v>2337</v>
      </c>
      <c r="E15" s="78">
        <v>6060</v>
      </c>
      <c r="F15" s="78">
        <v>1589</v>
      </c>
      <c r="G15" s="78">
        <v>4390</v>
      </c>
      <c r="H15" s="78">
        <v>5364</v>
      </c>
      <c r="I15" s="78">
        <v>3663</v>
      </c>
      <c r="J15" s="78">
        <v>5465</v>
      </c>
      <c r="K15" s="78">
        <v>2380</v>
      </c>
      <c r="L15" s="78">
        <v>930</v>
      </c>
      <c r="M15" s="78">
        <v>6632</v>
      </c>
      <c r="N15" s="78">
        <v>2317</v>
      </c>
      <c r="O15" s="78">
        <v>1803</v>
      </c>
      <c r="P15" s="78">
        <v>6953</v>
      </c>
      <c r="Q15" s="78">
        <v>7196</v>
      </c>
      <c r="R15" s="78">
        <v>0</v>
      </c>
      <c r="S15" s="78">
        <v>6386</v>
      </c>
      <c r="T15" s="78">
        <v>533</v>
      </c>
      <c r="U15" s="78">
        <v>5355</v>
      </c>
      <c r="V15" s="78">
        <v>1728</v>
      </c>
      <c r="W15" s="71">
        <v>-817</v>
      </c>
      <c r="X15" s="78">
        <v>662</v>
      </c>
      <c r="Y15" s="106">
        <v>-9901</v>
      </c>
      <c r="Z15" s="78">
        <v>0</v>
      </c>
      <c r="AA15" s="78">
        <v>10</v>
      </c>
      <c r="AB15" s="78" ph="1">
        <v>1527</v>
      </c>
      <c r="AC15" s="78" ph="1">
        <v>0</v>
      </c>
      <c r="AD15" s="78">
        <v>45.41</v>
      </c>
      <c r="AE15" s="78">
        <v>5.31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48" t="s" ph="1">
        <v>178</v>
      </c>
      <c r="D16" s="73" ph="1">
        <f>D15*7.0686*LOOKUP(D17,密度!$A$2:$A$50,密度!$L$2:$L$50)</f>
        <v>15610.755699000001</v>
      </c>
      <c r="E16" s="73" ph="1">
        <f>E15*7.0686*LOOKUP(E17,密度!$A$2:$A$50,密度!$L$2:$L$50)</f>
        <v>40479.751619999995</v>
      </c>
      <c r="F16" s="73" ph="1">
        <f>F15*9.0746*LOOKUP(F17,密度!$A$2:$A$50,密度!$L$2:$L$50)</f>
        <v>13640.884272399999</v>
      </c>
      <c r="G16" s="73" ph="1">
        <f>G15*9.0746*LOOKUP(G17,密度!$A$2:$A$50,密度!$B$2:$B$50)</f>
        <v>31391.945272000001</v>
      </c>
      <c r="H16" s="73" ph="1">
        <f>H15*9.0746*LOOKUP(H17,密度!$A$2:$A$50,密度!$L$2:$L$50)</f>
        <v>46339.698988799995</v>
      </c>
      <c r="I16" s="73" ph="1">
        <f>I15*9.0746*LOOKUP(I17,密度!$A$2:$A$50,密度!$U$2:$U$50)</f>
        <v>34170.9870744</v>
      </c>
      <c r="J16" s="73" ph="1">
        <f>J15*9.0746*LOOKUP(J17,密度!$A$2:$A$50,密度!$L$2:$L$50)</f>
        <v>46914.683793999997</v>
      </c>
      <c r="K16" s="73" ph="1">
        <f>K15*9.0746*LOOKUP(K17,密度!$A$2:$A$50,密度!$C$2:$C$50)</f>
        <v>24085.585529599997</v>
      </c>
      <c r="L16" s="73" ph="1">
        <f>L15*9.0746*LOOKUP(L17,密度!$A$2:$A$50,密度!$E$2:$E$50)</f>
        <v>6745.5948354000002</v>
      </c>
      <c r="M16" s="73" ph="1">
        <f>M15*9.0746*LOOKUP(M17,密度!$A$2:$A$50,密度!$M$2:$M$50)</f>
        <v>52978.87236016</v>
      </c>
      <c r="N16" s="73" ph="1">
        <f>N15*9.0746*LOOKUP(N17,密度!$A$2:$A$50,密度!$M$2:$M$50)</f>
        <v>18509.05417046</v>
      </c>
      <c r="O16" s="73" ph="1">
        <f>O15*9.0746*LOOKUP(O17,密度!$A$2:$A$50,密度!$G$2:$G$50)</f>
        <v>15803.57652042</v>
      </c>
      <c r="P16" s="73" ph="1">
        <f ca="1">P15*9.0746*LOOKUP(P17,密度!$A$2:$A$51,密度!$Q$2:$Q$50)</f>
        <v>60117.577052640001</v>
      </c>
      <c r="Q16" s="73" ph="1">
        <f>Q15*9.0746*LOOKUP(Q17,密度!$A$2:$A$50,密度!$Q$2:$Q$50)</f>
        <v>62218.622820479999</v>
      </c>
      <c r="R16" s="73" ph="1">
        <f>MAX(R15*9.0746*LOOKUP(R17,密度!$A$2:$A$50,密度!$B$2:$B$50),0)</f>
        <v>0</v>
      </c>
      <c r="S16" s="73" ph="1">
        <f>S15*9.0746*LOOKUP(S17,密度!$A$2:$A$50,密度!$Q$2:$Q$50)</f>
        <v>55315.970616024009</v>
      </c>
      <c r="T16" s="73" ph="1">
        <f>T15*9.0746*LOOKUP(T17,密度!$A$2:$A$50,密度!$O$2:$O$50)</f>
        <v>4517.5355212000004</v>
      </c>
      <c r="U16" s="73" ph="1">
        <f>U15*9.0746*LOOKUP(U17,密度!$A$2:$A$50,密度!$H$2:$H$50)</f>
        <v>45081.101879099995</v>
      </c>
      <c r="V16" s="73" ph="1">
        <f>MAX(5600*LOOKUP(V17,密度!$A$2:$A$50,密度!$Q$2:$Q$50)+V15*9.0476*LOOKUP(V17,密度!$A$2:$A$50,密度!$Q$2:$Q$50),0)</f>
        <v>20268.943667711999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12144.64878648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71.816384400000004</v>
      </c>
      <c r="AB16" s="73" ph="1">
        <f>AB15*9.0746*LOOKUP(AB17,密度!$A$2:$A$50,密度!$L$2:$L$50)</f>
        <v>13108.640833200001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10732.565160479999</v>
      </c>
      <c r="AE16" s="73" ph="1">
        <f>AE15*268.68*LOOKUP(AE17,密度!$A$2:$A$50,密度!B2:B50)+IF(AE15&lt;=0,0,1566*LOOKUP(AE17,密度!$A$2:$A$50,密度!B2:B50))</f>
        <v>2333.1017476799998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17</v>
      </c>
      <c r="E17" s="74">
        <v>17</v>
      </c>
      <c r="F17" s="74">
        <v>16</v>
      </c>
      <c r="G17" s="74">
        <v>15</v>
      </c>
      <c r="H17" s="74">
        <v>10</v>
      </c>
      <c r="I17" s="74">
        <v>12</v>
      </c>
      <c r="J17" s="74">
        <v>16</v>
      </c>
      <c r="K17" s="74">
        <v>16</v>
      </c>
      <c r="L17" s="74">
        <v>12</v>
      </c>
      <c r="M17" s="74">
        <v>17</v>
      </c>
      <c r="N17" s="74">
        <v>17</v>
      </c>
      <c r="O17" s="74">
        <v>20</v>
      </c>
      <c r="P17" s="74">
        <v>17</v>
      </c>
      <c r="Q17" s="74">
        <v>17</v>
      </c>
      <c r="R17" s="74">
        <v>18</v>
      </c>
      <c r="S17" s="74">
        <v>15</v>
      </c>
      <c r="T17" s="74">
        <v>15</v>
      </c>
      <c r="U17" s="74">
        <v>12</v>
      </c>
      <c r="V17" s="74">
        <v>15</v>
      </c>
      <c r="W17" s="74">
        <v>15</v>
      </c>
      <c r="X17" s="74">
        <v>20</v>
      </c>
      <c r="Y17" s="108">
        <v>20</v>
      </c>
      <c r="Z17" s="74">
        <v>14</v>
      </c>
      <c r="AA17" s="74">
        <v>11</v>
      </c>
      <c r="AB17" s="74">
        <v>16</v>
      </c>
      <c r="AC17" s="74">
        <v>10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5149</v>
      </c>
      <c r="E18" s="71">
        <v>5929</v>
      </c>
      <c r="F18" s="71">
        <v>1697</v>
      </c>
      <c r="G18" s="71">
        <v>4465</v>
      </c>
      <c r="H18" s="71">
        <v>5369</v>
      </c>
      <c r="I18" s="71">
        <v>3666</v>
      </c>
      <c r="J18" s="71">
        <v>5396</v>
      </c>
      <c r="K18" s="71">
        <v>2845</v>
      </c>
      <c r="L18" s="71">
        <v>931</v>
      </c>
      <c r="M18" s="71">
        <v>6647</v>
      </c>
      <c r="N18" s="71">
        <v>2319</v>
      </c>
      <c r="O18" s="71">
        <v>2103</v>
      </c>
      <c r="P18" s="71">
        <v>5190</v>
      </c>
      <c r="Q18" s="71">
        <v>7201</v>
      </c>
      <c r="R18" s="71">
        <v>0</v>
      </c>
      <c r="S18" s="71">
        <v>6395</v>
      </c>
      <c r="T18" s="71">
        <v>6400</v>
      </c>
      <c r="U18" s="71">
        <v>1205</v>
      </c>
      <c r="V18" s="71">
        <v>1727</v>
      </c>
      <c r="W18" s="71">
        <v>-817</v>
      </c>
      <c r="X18" s="71">
        <v>661</v>
      </c>
      <c r="Y18" s="109">
        <v>-9902</v>
      </c>
      <c r="Z18" s="71">
        <v>0</v>
      </c>
      <c r="AA18" s="71">
        <v>10</v>
      </c>
      <c r="AB18" s="71">
        <v>1527</v>
      </c>
      <c r="AC18" s="71">
        <v>0</v>
      </c>
      <c r="AD18" s="71">
        <v>84.61</v>
      </c>
      <c r="AE18" s="71">
        <v>17.91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48" t="s" ph="1">
        <v>178</v>
      </c>
      <c r="D19" s="73" ph="1">
        <f>D18*7.0686*LOOKUP(D20,密度!$A$2:$A$50,密度!$L$2:$L$50)</f>
        <v>34321.636780200002</v>
      </c>
      <c r="E19" s="73" ph="1">
        <f>E18*7.0686*LOOKUP(E20,密度!$A$2:$A$50,密度!$L$2:$L$50)</f>
        <v>39520.874824199993</v>
      </c>
      <c r="F19" s="73" ph="1">
        <f>F18*9.0746*LOOKUP(F20,密度!$A$2:$A$50,密度!$L$2:$L$50)</f>
        <v>14537.2188128</v>
      </c>
      <c r="G19" s="73" ph="1">
        <f>G18*9.0746*LOOKUP(G20,密度!$A$2:$A$50,密度!$B$2:$B$50)</f>
        <v>31835.062527299997</v>
      </c>
      <c r="H19" s="73" ph="1">
        <f>H18*9.0746*LOOKUP(H20,密度!$A$2:$A$50,密度!$L$2:$L$50)</f>
        <v>46236.729502599999</v>
      </c>
      <c r="I19" s="73" ph="1">
        <f>I18*9.0746*LOOKUP(I20,密度!$A$2:$A$50,密度!$U$2:$U$50)</f>
        <v>34198.973140800001</v>
      </c>
      <c r="J19" s="73" ph="1">
        <f>J18*9.0746*LOOKUP(J20,密度!$A$2:$A$50,密度!$L$2:$L$50)</f>
        <v>46224.415270400001</v>
      </c>
      <c r="K19" s="73" ph="1">
        <f>K18*9.0746*LOOKUP(K20,密度!$A$2:$A$50,密度!$C$2:$C$50)</f>
        <v>28757.8202943</v>
      </c>
      <c r="L19" s="73" ph="1">
        <f>L18*9.0746*LOOKUP(L20,密度!$A$2:$A$50,密度!$E$2:$E$50)</f>
        <v>6676.8120897800009</v>
      </c>
      <c r="M19" s="73" ph="1">
        <f>M18*9.0746*LOOKUP(M20,密度!$A$2:$A$50,密度!$M$2:$M$50)</f>
        <v>53098.697915860001</v>
      </c>
      <c r="N19" s="73" ph="1">
        <f>N18*9.0746*LOOKUP(N20,密度!$A$2:$A$50,密度!$M$2:$M$50)</f>
        <v>18525.030911220001</v>
      </c>
      <c r="O19" s="73" ph="1">
        <f>O18*9.0746*LOOKUP(O20,密度!$A$2:$A$50,密度!$G$2:$G$50)</f>
        <v>18414.039478619998</v>
      </c>
      <c r="P19" s="73" ph="1">
        <f ca="1">P18*9.0746*LOOKUP(P20,密度!$A$2:$A$51,密度!$Q$2:$Q$50)</f>
        <v>44760.212226119998</v>
      </c>
      <c r="Q19" s="73" ph="1">
        <f>Q18*9.0746*LOOKUP(Q20,密度!$A$2:$A$50,密度!$Q$2:$Q$50)</f>
        <v>62159.260689358001</v>
      </c>
      <c r="R19" s="73" ph="1">
        <f>MAX(R18*9.0746*LOOKUP(R20,密度!$A$2:$A$50,密度!$B$2:$B$50),0)</f>
        <v>0</v>
      </c>
      <c r="S19" s="73" ph="1">
        <f>S18*9.0746*LOOKUP(S20,密度!$A$2:$A$50,密度!$Q$2:$Q$50)</f>
        <v>55247.108104670006</v>
      </c>
      <c r="T19" s="73" ph="1">
        <f>T18*9.0746*LOOKUP(T20,密度!$A$2:$A$50,密度!$O$2:$O$50)</f>
        <v>54012.019200000002</v>
      </c>
      <c r="U19" s="73" ph="1">
        <f>U18*9.0746*LOOKUP(U20,密度!$A$2:$A$50,密度!$H$2:$H$50)</f>
        <v>10089.6257711</v>
      </c>
      <c r="V19" s="73" ph="1">
        <f>MAX(5600*LOOKUP(V20,密度!$A$2:$A$50,密度!$Q$2:$Q$50)+V18*9.0476*LOOKUP(V20,密度!$A$2:$A$50,密度!$Q$2:$Q$50),0)</f>
        <v>20157.365126387998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12109.690786519999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13067.0700906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4955.7516876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18</v>
      </c>
      <c r="G20" s="81">
        <v>18</v>
      </c>
      <c r="H20" s="81">
        <v>13</v>
      </c>
      <c r="I20" s="81">
        <v>18</v>
      </c>
      <c r="J20" s="81">
        <v>18</v>
      </c>
      <c r="K20" s="81">
        <v>18</v>
      </c>
      <c r="L20" s="81">
        <v>19</v>
      </c>
      <c r="M20" s="81">
        <v>20</v>
      </c>
      <c r="N20" s="81">
        <v>19</v>
      </c>
      <c r="O20" s="81">
        <v>21</v>
      </c>
      <c r="P20" s="81">
        <v>20</v>
      </c>
      <c r="Q20" s="81">
        <v>19</v>
      </c>
      <c r="R20" s="81">
        <v>30</v>
      </c>
      <c r="S20" s="81">
        <v>18</v>
      </c>
      <c r="T20" s="81">
        <v>20</v>
      </c>
      <c r="U20" s="81">
        <v>17</v>
      </c>
      <c r="V20" s="81">
        <v>21</v>
      </c>
      <c r="W20" s="81">
        <v>21</v>
      </c>
      <c r="X20" s="81">
        <v>22</v>
      </c>
      <c r="Y20" s="110">
        <v>22</v>
      </c>
      <c r="Z20" s="81">
        <v>24</v>
      </c>
      <c r="AA20" s="81">
        <v>20</v>
      </c>
      <c r="AB20" s="81">
        <v>19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643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48" t="s" ph="1">
        <v>177</v>
      </c>
      <c r="D24" s="71">
        <v>3.71</v>
      </c>
      <c r="E24" s="71">
        <v>4.92</v>
      </c>
      <c r="F24" s="71">
        <v>576</v>
      </c>
      <c r="G24" s="71">
        <v>2589</v>
      </c>
      <c r="H24" s="71">
        <v>2220</v>
      </c>
      <c r="I24" s="71">
        <v>69</v>
      </c>
      <c r="J24" s="71">
        <v>3522</v>
      </c>
      <c r="K24" s="71">
        <v>2436</v>
      </c>
      <c r="L24" s="71">
        <v>5535</v>
      </c>
      <c r="M24" s="71">
        <v>4864</v>
      </c>
      <c r="N24" s="71">
        <v>5585</v>
      </c>
      <c r="O24" s="71">
        <v>5716</v>
      </c>
      <c r="P24" s="71">
        <v>651</v>
      </c>
      <c r="Q24" s="90">
        <v>1667</v>
      </c>
      <c r="R24" s="71">
        <v>5203</v>
      </c>
      <c r="S24" s="71">
        <v>5728</v>
      </c>
      <c r="T24" s="71">
        <v>160</v>
      </c>
      <c r="U24" s="71">
        <v>4373</v>
      </c>
      <c r="V24" s="71">
        <v>5029</v>
      </c>
      <c r="W24" s="71">
        <v>92</v>
      </c>
      <c r="X24" s="71">
        <v>3212</v>
      </c>
      <c r="Y24" s="71">
        <v>8082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2426.3079228719998</v>
      </c>
      <c r="E25" s="91" ph="1">
        <f>E24*268.68*LOOKUP(E26,密度!$A$2:$A$50,密度!$C$2:$C$50)+IF(E24&lt;=0,0,1566*LOOKUP(E26,密度!$A$2:$A$50,密度!$C$2:$C$50))</f>
        <v>3202.3985198400001</v>
      </c>
      <c r="F25" s="91" ph="1">
        <f>F24*11.702*LOOKUP(F26,密度!$A$2:$A$50,密度!$Q$2:$Q$50)</f>
        <v>6427.5996672000001</v>
      </c>
      <c r="G25" s="91" ph="1">
        <f>G24*18.322*LOOKUP(G26,密度!$A$2:$A$50,密度!$B$2:$B$50)</f>
        <v>37341.349977599995</v>
      </c>
      <c r="H25" s="91" ph="1">
        <f>H24*18.322*LOOKUP(H26,密度!$A$2:$A$50,密度!$B$2:$B$50)</f>
        <v>31986.694175999997</v>
      </c>
      <c r="I25" s="91" ph="1">
        <f>I24*18.322*LOOKUP(I26,密度!$A$2:$A$50,密度!$Q$2:$Q$50)</f>
        <v>1204.5469103999999</v>
      </c>
      <c r="J25" s="91" ph="1">
        <f>J24*18.322*LOOKUP(J26,密度!$A$2:$A$50,密度!$Q$2:$Q$50)</f>
        <v>61484.264035199994</v>
      </c>
      <c r="K25" s="91" ph="1">
        <f>K24*18.322*LOOKUP(K26,密度!$A$2:$A$50,密度!$Q$2:$Q$50)</f>
        <v>42525.743097599996</v>
      </c>
      <c r="L25" s="91" ph="1">
        <f>L24*18.322*LOOKUP(L26,密度!$A$2:$A$50,密度!$Q$2:$Q$50)</f>
        <v>96545.495162699997</v>
      </c>
      <c r="M25" s="91" ph="1">
        <f>M24*18.322*LOOKUP(M26,密度!$A$2:$A$50,密度!$Q$2:$Q$50)</f>
        <v>84841.425198080004</v>
      </c>
      <c r="N25" s="91" ph="1">
        <f>N24*18.322*LOOKUP(N26,密度!$A$2:$A$50,密度!$Q$2:$Q$50)</f>
        <v>97417.631523699994</v>
      </c>
      <c r="O25" s="91" ph="1">
        <f>O24*18.322*LOOKUP(O26,密度!$A$2:$A$50,密度!$C$2:$C$50)</f>
        <v>116793.2811904</v>
      </c>
      <c r="P25" s="91" ph="1">
        <f>P24*11.702*LOOKUP(P26,密度!$A$2:$A$50,密度!$B$2:$B$50)</f>
        <v>5990.7967728000003</v>
      </c>
      <c r="Q25" s="92" ph="1">
        <f>Q24*18.322*LOOKUP(Q26,密度!$A$2:$A$50,密度!$B$2:$B$50)</f>
        <v>24018.837473599997</v>
      </c>
      <c r="R25" s="91" ph="1">
        <f>R24*35.891*LOOKUP(R26,密度!$A$2:$A$50,密度!$C$2:$C$50)</f>
        <v>208253.42156959997</v>
      </c>
      <c r="S25" s="91" ph="1">
        <f>S24*35.891*LOOKUP(S26,密度!$A$2:$A$50,密度!$B$2:$B$50)</f>
        <v>161835.4477056</v>
      </c>
      <c r="T25" s="91" ph="1">
        <f>T24*35.891*LOOKUP(T26,密度!$A$2:$A$50,密度!$Q$2:$Q$50)</f>
        <v>5476.1052159999999</v>
      </c>
      <c r="U25" s="91" ph="1">
        <f>U24*35.891</f>
        <v>156951.34299999999</v>
      </c>
      <c r="V25" s="91" ph="1">
        <f>V24*47.051*LOOKUP(V26,密度!$A$2:$A$50,密度!$B$2:$B$50)</f>
        <v>185911.9246503</v>
      </c>
      <c r="W25" s="91" ph="1">
        <f>W24*47.051*LOOKUP(W26,密度!$A$2:$A$50,密度!$B$2:$B$50)</f>
        <v>3401.0533043999999</v>
      </c>
      <c r="X25" s="91" ph="1">
        <f>X24*47.051*LOOKUP(X26,密度!$A$2:$A$61,密度!$I$2:$I$61)</f>
        <v>154301.496052</v>
      </c>
      <c r="Y25" s="91" ph="1">
        <f>Y24*47.051*LOOKUP(Y26,密度!$A$2:$A$50,密度!$L$2:$L$50)</f>
        <v>358210.74344400002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16</v>
      </c>
      <c r="G26" s="74">
        <v>16</v>
      </c>
      <c r="H26" s="74">
        <v>17</v>
      </c>
      <c r="I26" s="74">
        <v>17</v>
      </c>
      <c r="J26" s="74">
        <v>17</v>
      </c>
      <c r="K26" s="74">
        <v>17</v>
      </c>
      <c r="L26" s="74">
        <v>18</v>
      </c>
      <c r="M26" s="74">
        <v>18</v>
      </c>
      <c r="N26" s="74">
        <v>18</v>
      </c>
      <c r="O26" s="74">
        <v>16</v>
      </c>
      <c r="P26" s="74">
        <v>17</v>
      </c>
      <c r="Q26" s="93">
        <v>17</v>
      </c>
      <c r="R26" s="74">
        <v>16</v>
      </c>
      <c r="S26" s="74">
        <v>16</v>
      </c>
      <c r="T26" s="74">
        <v>16</v>
      </c>
      <c r="U26" s="74">
        <v>20</v>
      </c>
      <c r="V26" s="74">
        <v>18</v>
      </c>
      <c r="W26" s="74">
        <v>18</v>
      </c>
      <c r="X26" s="74">
        <v>44</v>
      </c>
      <c r="Y26" s="74">
        <v>20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48" t="s" ph="1">
        <v>180</v>
      </c>
      <c r="D27" s="71">
        <v>3.71</v>
      </c>
      <c r="E27" s="71">
        <v>4.91</v>
      </c>
      <c r="F27" s="71">
        <v>574</v>
      </c>
      <c r="G27" s="71">
        <v>2151</v>
      </c>
      <c r="H27" s="71">
        <v>1747</v>
      </c>
      <c r="I27" s="71">
        <v>65</v>
      </c>
      <c r="J27" s="71">
        <v>3520</v>
      </c>
      <c r="K27" s="71">
        <v>2433</v>
      </c>
      <c r="L27" s="71">
        <v>5531</v>
      </c>
      <c r="M27" s="71">
        <v>4864</v>
      </c>
      <c r="N27" s="71">
        <v>5583</v>
      </c>
      <c r="O27" s="71">
        <v>5715</v>
      </c>
      <c r="P27" s="71">
        <v>647</v>
      </c>
      <c r="Q27" s="90">
        <v>1957</v>
      </c>
      <c r="R27" s="71">
        <v>4663</v>
      </c>
      <c r="S27" s="71">
        <v>6322</v>
      </c>
      <c r="T27" s="71">
        <v>158</v>
      </c>
      <c r="U27" s="71">
        <v>4336</v>
      </c>
      <c r="V27" s="71">
        <v>4709</v>
      </c>
      <c r="W27" s="71">
        <v>86</v>
      </c>
      <c r="X27" s="71">
        <v>3222</v>
      </c>
      <c r="Y27" s="71">
        <v>8686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48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6389.3624460400006</v>
      </c>
      <c r="G28" s="91" ph="1">
        <f>G27*18.322*LOOKUP(G29,密度!$A$2:$A$50,密度!$B$2:$B$50)</f>
        <v>30933.397207799997</v>
      </c>
      <c r="H28" s="91" ph="1">
        <f>H27*18.322*LOOKUP(H29,密度!$A$2:$A$50,密度!$B$2:$B$50)</f>
        <v>25123.498336600001</v>
      </c>
      <c r="I28" s="91" ph="1">
        <f>I27*18.322*LOOKUP(I29,密度!$A$2:$A$50,密度!$Q$2:$Q$50)</f>
        <v>1131.8360533999999</v>
      </c>
      <c r="J28" s="91" ph="1">
        <f>J27*18.322*LOOKUP(J29,密度!$A$2:$A$50,密度!$Q$2:$Q$50)</f>
        <v>61248.775033599995</v>
      </c>
      <c r="K28" s="91" ph="1">
        <f>K27*18.322*LOOKUP(K29,密度!$A$2:$A$50,密度!$Q$2:$Q$50)</f>
        <v>42334.735697939999</v>
      </c>
      <c r="L28" s="91" ph="1">
        <f>L27*18.322*LOOKUP(L29,密度!$A$2:$A$50,密度!$Q$2:$Q$50)</f>
        <v>96310.541713159997</v>
      </c>
      <c r="M28" s="91" ph="1">
        <f>M27*18.322*LOOKUP(M29,密度!$A$2:$A$50,密度!$Q$2:$Q$50)</f>
        <v>84771.912995840001</v>
      </c>
      <c r="N28" s="91" ph="1">
        <f>N27*18.322*LOOKUP(N29,密度!$A$2:$A$50,密度!$Q$2:$Q$50)</f>
        <v>97302.95852298</v>
      </c>
      <c r="O28" s="91" ph="1">
        <f>O27*18.322*LOOKUP(O29,密度!$A$2:$A$50,密度!$C$2:$C$50)</f>
        <v>116563.428036</v>
      </c>
      <c r="P28" s="91" ph="1">
        <f>P27*11.702*LOOKUP(P29,密度!$A$2:$A$50,密度!$B$2:$B$50)</f>
        <v>5936.5732154000007</v>
      </c>
      <c r="Q28" s="92" ph="1">
        <f>Q27*18.322*LOOKUP(Q29,密度!$A$2:$A$50,密度!$B$2:$B$50)</f>
        <v>28114.810351399996</v>
      </c>
      <c r="R28" s="91" ph="1">
        <f>R27*35.891*LOOKUP(R29,密度!$A$2:$A$50,密度!$C$2:$C$50)</f>
        <v>186304.85477559996</v>
      </c>
      <c r="S28" s="91" ph="1">
        <f>S27*35.891*LOOKUP(S29,密度!$A$2:$A$50,密度!$B$2:$B$50)</f>
        <v>177914.5654582</v>
      </c>
      <c r="T28" s="91" ph="1">
        <f>T27*35.891*LOOKUP(T29,密度!$A$2:$A$50,密度!$Q$2:$Q$50)</f>
        <v>5389.393995639999</v>
      </c>
      <c r="U28" s="91" ph="1">
        <f>U27*35.891</f>
        <v>155623.37599999999</v>
      </c>
      <c r="V28" s="91" ph="1">
        <f>V27*47.051*LOOKUP(V29,密度!$A$2:$A$50,密度!$B$2:$B$50)</f>
        <v>173528.26612880002</v>
      </c>
      <c r="W28" s="91" ph="1">
        <f>W27*47.051*LOOKUP(W29,密度!$A$2:$A$50,密度!$B$2:$B$50)</f>
        <v>3165.4877677999998</v>
      </c>
      <c r="X28" s="91" ph="1">
        <f>X27*47.051*LOOKUP(X29,密度!$A$2:$A$61,密度!$I$2:$I$61)</f>
        <v>154281.61229940003</v>
      </c>
      <c r="Y28" s="91" ph="1">
        <f>Y27*47.051*LOOKUP(Y29,密度!$A$2:$A$50,密度!$L$2:$L$50)</f>
        <v>384572.571826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48" t="s" ph="1">
        <v>179</v>
      </c>
      <c r="D29" s="74">
        <v>25</v>
      </c>
      <c r="E29" s="74">
        <v>25</v>
      </c>
      <c r="F29" s="74">
        <v>19</v>
      </c>
      <c r="G29" s="74">
        <v>19</v>
      </c>
      <c r="H29" s="74">
        <v>19</v>
      </c>
      <c r="I29" s="74">
        <v>20</v>
      </c>
      <c r="J29" s="74">
        <v>21</v>
      </c>
      <c r="K29" s="74">
        <v>21</v>
      </c>
      <c r="L29" s="74">
        <v>20</v>
      </c>
      <c r="M29" s="74">
        <v>19</v>
      </c>
      <c r="N29" s="74">
        <v>19</v>
      </c>
      <c r="O29" s="74">
        <v>19</v>
      </c>
      <c r="P29" s="74">
        <v>20</v>
      </c>
      <c r="Q29" s="93">
        <v>20</v>
      </c>
      <c r="R29" s="74">
        <v>19</v>
      </c>
      <c r="S29" s="74">
        <v>20</v>
      </c>
      <c r="T29" s="74">
        <v>20</v>
      </c>
      <c r="U29" s="74">
        <v>21</v>
      </c>
      <c r="V29" s="74">
        <v>21</v>
      </c>
      <c r="W29" s="74">
        <v>22</v>
      </c>
      <c r="X29" s="74">
        <v>47</v>
      </c>
      <c r="Y29" s="74">
        <v>21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48" t="s" ph="1">
        <v>5</v>
      </c>
      <c r="F32" s="149" t="s" ph="1">
        <v>43</v>
      </c>
      <c r="G32" s="97" t="s" ph="1">
        <v>4</v>
      </c>
      <c r="H32" s="148" t="s" ph="1">
        <v>5</v>
      </c>
      <c r="I32" s="149" t="s" ph="1">
        <v>43</v>
      </c>
      <c r="J32" s="97" t="s" ph="1">
        <v>4</v>
      </c>
      <c r="K32" s="148" t="s" ph="1">
        <v>5</v>
      </c>
      <c r="L32" s="149" t="s" ph="1">
        <v>43</v>
      </c>
      <c r="M32" s="97" t="s" ph="1">
        <v>4</v>
      </c>
      <c r="N32" s="148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8" t="s" ph="1">
        <v>5</v>
      </c>
      <c r="U32" s="99" t="s" ph="1">
        <v>43</v>
      </c>
      <c r="V32" s="97" t="s" ph="1">
        <v>4</v>
      </c>
      <c r="W32" s="148" t="s" ph="1">
        <v>5</v>
      </c>
      <c r="X32" s="99" t="s" ph="1">
        <v>43</v>
      </c>
      <c r="Y32" s="100" t="s" ph="1">
        <v>4</v>
      </c>
      <c r="Z32" s="148" t="s" ph="1">
        <v>5</v>
      </c>
      <c r="AA32" s="149" t="s" ph="1">
        <v>43</v>
      </c>
      <c r="AB32" s="97" t="s" ph="1">
        <v>85</v>
      </c>
      <c r="AC32" s="148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162422.14892800001</v>
      </c>
      <c r="E33" s="213" ph="1">
        <f>M10+I10</f>
        <v>72333.663902999993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1522252632456786910111213141516171819202123456789101112131415161718192022232424356789101112131415161718192021222345678910111213141516171819202345678910111213149101516171819222123234567891012131415161711181920212224252345678910111213135[[#This Row],[F25]]</f>
        <v>3880</v>
      </c>
      <c r="G33" s="217" ph="1">
        <f>N19</f>
        <v>18525.030911220001</v>
      </c>
      <c r="H33" s="213" ph="1">
        <f>M19</f>
        <v>53098.697915860001</v>
      </c>
      <c r="I33" s="226" ph="1">
        <v>0</v>
      </c>
      <c r="J33" s="224" ph="1">
        <f>F10+O28</f>
        <v>206857.29113999999</v>
      </c>
      <c r="K33" s="213" ph="1">
        <f>O10+K10+E28+R28</f>
        <v>266698.58584332</v>
      </c>
      <c r="L33" s="228" ph="1">
        <f>K19</f>
        <v>28757.8202943</v>
      </c>
      <c r="M33" s="224" ph="1">
        <f>G10+H10+W28+S28+V28+E10+R19+P28+Q28</f>
        <v>549667.68197360006</v>
      </c>
      <c r="N33" s="213" ph="1">
        <f>L10+P10++G28+H28+AD19+AE19</f>
        <v>152824.16631159998</v>
      </c>
      <c r="O33" s="226" ph="1">
        <f>G19</f>
        <v>31835.062527299997</v>
      </c>
      <c r="P33" s="224" ph="1">
        <f>L19</f>
        <v>6676.8120897800009</v>
      </c>
      <c r="Q33" s="213" ph="1">
        <f>J10+N10</f>
        <v>160363.31607299999</v>
      </c>
      <c r="R33" s="226" ph="1">
        <f>BE23</f>
        <v>890</v>
      </c>
      <c r="S33" s="224" ph="1">
        <f>X28</f>
        <v>154281.61229940003</v>
      </c>
      <c r="T33" s="213" ph="1">
        <f>X19</f>
        <v>12109.690786519999</v>
      </c>
      <c r="U33" s="234" ph="1">
        <f>BE21</f>
        <v>730</v>
      </c>
      <c r="V33" s="245" ph="1">
        <f ca="1">P19+Q19+S19+M28+N28+J28+D10+AC10+D19+E19+H19+J19+O19+V19+W19+K28+L28</f>
        <v>1285358.3890131658</v>
      </c>
      <c r="W33" s="245" ph="1">
        <f>D28+F28+T28+I28</f>
        <v>15336.900417952</v>
      </c>
      <c r="X33" s="226" ph="1">
        <f>BE29+BE31</f>
        <v>10200</v>
      </c>
      <c r="Y33" s="247" ph="1">
        <f>+Q10+R10+S10+T10+U10+V10+W10+X10+Y10</f>
        <v>282749.61246839998</v>
      </c>
      <c r="Z33" s="232" ph="1">
        <f>T19+U19+Y28+Z10</f>
        <v>492463.03452510003</v>
      </c>
      <c r="AA33" s="234" ph="1">
        <f>BE19</f>
        <v>1440</v>
      </c>
      <c r="AB33" s="236" ph="1">
        <f>I19</f>
        <v>34198.973140800001</v>
      </c>
      <c r="AC33" s="238" ph="1">
        <f>AD10+AB19</f>
        <v>107197.6598506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0" t="s" ph="1">
        <v>185</v>
      </c>
      <c r="AA36" s="150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595" priority="99">
      <formula>ABS(D$7-D$10)&gt;=1000</formula>
    </cfRule>
  </conditionalFormatting>
  <conditionalFormatting sqref="E4 E6:E11">
    <cfRule type="expression" dxfId="2594" priority="98">
      <formula>ABS(E$7-E$10)&gt;=1000</formula>
    </cfRule>
  </conditionalFormatting>
  <conditionalFormatting sqref="F4:F11">
    <cfRule type="expression" dxfId="2593" priority="97">
      <formula>ABS(F$7-F$10)&gt;=1000</formula>
    </cfRule>
  </conditionalFormatting>
  <conditionalFormatting sqref="G4:G11">
    <cfRule type="expression" dxfId="2592" priority="96">
      <formula>ABS(G$7-G$10)&gt;=1000</formula>
    </cfRule>
  </conditionalFormatting>
  <conditionalFormatting sqref="H4:H11">
    <cfRule type="expression" dxfId="2591" priority="95">
      <formula>ABS(H$7-H$10)&gt;=1000</formula>
    </cfRule>
  </conditionalFormatting>
  <conditionalFormatting sqref="I4:I11">
    <cfRule type="expression" dxfId="2590" priority="94">
      <formula>ABS(I$7-I$10)&gt;=1000</formula>
    </cfRule>
  </conditionalFormatting>
  <conditionalFormatting sqref="J4:J11">
    <cfRule type="expression" dxfId="2589" priority="93">
      <formula>ABS(J$7-J$10)&gt;=1000</formula>
    </cfRule>
  </conditionalFormatting>
  <conditionalFormatting sqref="K4:K11">
    <cfRule type="expression" dxfId="2588" priority="92">
      <formula>ABS(K$7-K$10)&gt;=1000</formula>
    </cfRule>
  </conditionalFormatting>
  <conditionalFormatting sqref="L4:L11">
    <cfRule type="expression" dxfId="2587" priority="91">
      <formula>ABS(L$7-L$10)&gt;=1000</formula>
    </cfRule>
  </conditionalFormatting>
  <conditionalFormatting sqref="M4 M6:M11">
    <cfRule type="expression" dxfId="2586" priority="90">
      <formula>ABS(M$7-M$10)&gt;=1000</formula>
    </cfRule>
  </conditionalFormatting>
  <conditionalFormatting sqref="N4 N6:N11">
    <cfRule type="expression" dxfId="2585" priority="89">
      <formula>ABS(N$7-N$10)&gt;=1000</formula>
    </cfRule>
  </conditionalFormatting>
  <conditionalFormatting sqref="O4 O6:O11">
    <cfRule type="expression" dxfId="2584" priority="88">
      <formula>ABS(O$7-O$10)&gt;=1000</formula>
    </cfRule>
  </conditionalFormatting>
  <conditionalFormatting sqref="P4 P6:P11">
    <cfRule type="expression" dxfId="2583" priority="87">
      <formula>ABS(P$7-P$10)&gt;=1000</formula>
    </cfRule>
  </conditionalFormatting>
  <conditionalFormatting sqref="Q4:Q11">
    <cfRule type="expression" dxfId="2582" priority="86">
      <formula>ABS(Q$7-Q$10)&gt;=1000</formula>
    </cfRule>
  </conditionalFormatting>
  <conditionalFormatting sqref="R4:R11">
    <cfRule type="expression" dxfId="2581" priority="85">
      <formula>ABS(R$7-R$10)&gt;=1000</formula>
    </cfRule>
  </conditionalFormatting>
  <conditionalFormatting sqref="S4:S11">
    <cfRule type="expression" dxfId="2580" priority="84">
      <formula>ABS(S$7-S$10)&gt;=1000</formula>
    </cfRule>
  </conditionalFormatting>
  <conditionalFormatting sqref="T4:T9 T11">
    <cfRule type="expression" dxfId="2579" priority="83">
      <formula>ABS(T$7-T$10)&gt;=1000</formula>
    </cfRule>
  </conditionalFormatting>
  <conditionalFormatting sqref="U4:U9 U11">
    <cfRule type="expression" dxfId="2578" priority="82">
      <formula>ABS(U$7-U$10)&gt;=1000</formula>
    </cfRule>
  </conditionalFormatting>
  <conditionalFormatting sqref="V4:V9 V11">
    <cfRule type="expression" dxfId="2577" priority="81">
      <formula>ABS(V$7-V$10)&gt;=1000</formula>
    </cfRule>
  </conditionalFormatting>
  <conditionalFormatting sqref="W4:W9 W11">
    <cfRule type="expression" dxfId="2576" priority="80">
      <formula>ABS(W$7-W$10)&gt;=1000</formula>
    </cfRule>
  </conditionalFormatting>
  <conditionalFormatting sqref="X4:X9 X11">
    <cfRule type="expression" dxfId="2575" priority="79">
      <formula>ABS(X$7-X$10)&gt;=1000</formula>
    </cfRule>
  </conditionalFormatting>
  <conditionalFormatting sqref="Y4:Y9 Y11">
    <cfRule type="expression" dxfId="2574" priority="78">
      <formula>ABS(Y$7-Y$10)&gt;=1000</formula>
    </cfRule>
  </conditionalFormatting>
  <conditionalFormatting sqref="Z4:Z11">
    <cfRule type="expression" dxfId="2573" priority="77">
      <formula>ABS(Z$7-Z$10)&gt;=1000</formula>
    </cfRule>
  </conditionalFormatting>
  <conditionalFormatting sqref="AA4:AA11">
    <cfRule type="expression" dxfId="2572" priority="76">
      <formula>ABS(AA$7-AA$10)&gt;=1000</formula>
    </cfRule>
  </conditionalFormatting>
  <conditionalFormatting sqref="AB4:AB11">
    <cfRule type="expression" dxfId="2571" priority="75">
      <formula>ABS(AB$7-AB$10)&gt;=1000</formula>
    </cfRule>
  </conditionalFormatting>
  <conditionalFormatting sqref="AC4 AC6:AC11">
    <cfRule type="expression" dxfId="2570" priority="74">
      <formula>ABS(AC$7-AC$10)&gt;=1000</formula>
    </cfRule>
  </conditionalFormatting>
  <conditionalFormatting sqref="AD4:AD11">
    <cfRule type="expression" dxfId="2569" priority="73">
      <formula>ABS(AD$7-AD$10)&gt;=1000</formula>
    </cfRule>
  </conditionalFormatting>
  <conditionalFormatting sqref="AE4 AE6:AE11">
    <cfRule type="expression" dxfId="2568" priority="72">
      <formula>ABS(AE$7-AE$10)&gt;=1000</formula>
    </cfRule>
  </conditionalFormatting>
  <conditionalFormatting sqref="D13:D20">
    <cfRule type="expression" dxfId="2567" priority="71">
      <formula>ABS(D$16-D$19)&gt;=1000</formula>
    </cfRule>
  </conditionalFormatting>
  <conditionalFormatting sqref="E13:E20">
    <cfRule type="expression" dxfId="2566" priority="70">
      <formula>ABS(E$16-E$19)&gt;=1000</formula>
    </cfRule>
  </conditionalFormatting>
  <conditionalFormatting sqref="F13 F15:F20">
    <cfRule type="expression" dxfId="2565" priority="69">
      <formula>ABS(F$16-F$19)&gt;=1000</formula>
    </cfRule>
  </conditionalFormatting>
  <conditionalFormatting sqref="G13:G20">
    <cfRule type="expression" dxfId="2564" priority="68">
      <formula>ABS(G$16-G$19)&gt;=1000</formula>
    </cfRule>
  </conditionalFormatting>
  <conditionalFormatting sqref="H13 H15:H20">
    <cfRule type="expression" dxfId="2563" priority="67">
      <formula>ABS(H$16-H$19)&gt;=1000</formula>
    </cfRule>
  </conditionalFormatting>
  <conditionalFormatting sqref="I13:I20">
    <cfRule type="expression" dxfId="2562" priority="66">
      <formula>ABS(I$16-I$19)&gt;=1000</formula>
    </cfRule>
  </conditionalFormatting>
  <conditionalFormatting sqref="J13:J20">
    <cfRule type="expression" dxfId="2561" priority="65">
      <formula>ABS(J$16-J$19)&gt;=1000</formula>
    </cfRule>
  </conditionalFormatting>
  <conditionalFormatting sqref="L13:L20">
    <cfRule type="expression" dxfId="2560" priority="64">
      <formula>ABS(L$16-L$19)&gt;=1000</formula>
    </cfRule>
  </conditionalFormatting>
  <conditionalFormatting sqref="M13 M15 M17:M18 M20">
    <cfRule type="expression" dxfId="2559" priority="63">
      <formula>ABS(M$16-M$19)&gt;=1000</formula>
    </cfRule>
  </conditionalFormatting>
  <conditionalFormatting sqref="N13:N20">
    <cfRule type="expression" dxfId="2558" priority="62">
      <formula>ABS(N$16-N$19)&gt;=1000</formula>
    </cfRule>
  </conditionalFormatting>
  <conditionalFormatting sqref="O13:O20">
    <cfRule type="expression" dxfId="2557" priority="61">
      <formula>ABS(O$16-O$19)&gt;=1000</formula>
    </cfRule>
  </conditionalFormatting>
  <conditionalFormatting sqref="P13:P20">
    <cfRule type="expression" dxfId="2556" priority="60">
      <formula>ABS(P$16-P$19)&gt;=1000</formula>
    </cfRule>
  </conditionalFormatting>
  <conditionalFormatting sqref="Q13 Q15:Q20">
    <cfRule type="expression" dxfId="2555" priority="59">
      <formula>ABS(Q$16-Q$19)&gt;=1000</formula>
    </cfRule>
  </conditionalFormatting>
  <conditionalFormatting sqref="R13:R20">
    <cfRule type="expression" dxfId="2554" priority="58">
      <formula>ABS(R$16-R$19)&gt;=1000</formula>
    </cfRule>
  </conditionalFormatting>
  <conditionalFormatting sqref="S13:S20">
    <cfRule type="expression" dxfId="2553" priority="57">
      <formula>ABS(S$16-S$19)&gt;=1000</formula>
    </cfRule>
  </conditionalFormatting>
  <conditionalFormatting sqref="T13:T20">
    <cfRule type="expression" dxfId="2552" priority="56">
      <formula>ABS(T$16-T$19)&gt;=1000</formula>
    </cfRule>
  </conditionalFormatting>
  <conditionalFormatting sqref="U13:U20">
    <cfRule type="expression" dxfId="2551" priority="55">
      <formula>ABS(U$16-U$19)&gt;=1000</formula>
    </cfRule>
  </conditionalFormatting>
  <conditionalFormatting sqref="V13:V20">
    <cfRule type="expression" dxfId="2550" priority="54">
      <formula>ABS(V$16-V$19)&gt;=1000</formula>
    </cfRule>
  </conditionalFormatting>
  <conditionalFormatting sqref="W13 W20 W15:W18">
    <cfRule type="expression" dxfId="2549" priority="53">
      <formula>ABS(W$16-W$19)&gt;=1000</formula>
    </cfRule>
  </conditionalFormatting>
  <conditionalFormatting sqref="X13 X15:X20 Y19">
    <cfRule type="expression" dxfId="2548" priority="52">
      <formula>ABS(X$16-X$19)&gt;=1000</formula>
    </cfRule>
  </conditionalFormatting>
  <conditionalFormatting sqref="Y13 Y15:Y18 Y20">
    <cfRule type="expression" dxfId="2547" priority="51">
      <formula>ABS(Y$16-Y$19)&gt;=1000</formula>
    </cfRule>
  </conditionalFormatting>
  <conditionalFormatting sqref="Z13:Z20">
    <cfRule type="expression" dxfId="2546" priority="50">
      <formula>ABS(Z$16-Z$19)&gt;=1000</formula>
    </cfRule>
  </conditionalFormatting>
  <conditionalFormatting sqref="AA13:AA20">
    <cfRule type="expression" dxfId="2545" priority="49">
      <formula>ABS(AA$16-AA$19)&gt;=1000</formula>
    </cfRule>
  </conditionalFormatting>
  <conditionalFormatting sqref="AB13 AB15:AB20">
    <cfRule type="expression" dxfId="2544" priority="48">
      <formula>ABS(AB$16-AB$19)&gt;=1000</formula>
    </cfRule>
  </conditionalFormatting>
  <conditionalFormatting sqref="AC13 AC15:AC20">
    <cfRule type="expression" dxfId="2543" priority="47">
      <formula>ABS(AC$16-AC$19)&gt;=1000</formula>
    </cfRule>
  </conditionalFormatting>
  <conditionalFormatting sqref="AD13:AD20">
    <cfRule type="expression" dxfId="2542" priority="46">
      <formula>ABS(AD$16-AD$19)&gt;=1000</formula>
    </cfRule>
  </conditionalFormatting>
  <conditionalFormatting sqref="AE13:AE20">
    <cfRule type="expression" dxfId="2541" priority="45">
      <formula>ABS(AE$16-AE$19)&gt;=1000</formula>
    </cfRule>
  </conditionalFormatting>
  <conditionalFormatting sqref="D22:D29">
    <cfRule type="expression" dxfId="2540" priority="44">
      <formula>ABS(D$25-D$28)&gt;=1000</formula>
    </cfRule>
  </conditionalFormatting>
  <conditionalFormatting sqref="E22:E29">
    <cfRule type="expression" dxfId="2539" priority="43">
      <formula>ABS(E$25-E$28)&gt;=1000</formula>
    </cfRule>
  </conditionalFormatting>
  <conditionalFormatting sqref="F22:F29">
    <cfRule type="expression" dxfId="2538" priority="42">
      <formula>ABS(F$25-F$28)&gt;=1000</formula>
    </cfRule>
  </conditionalFormatting>
  <conditionalFormatting sqref="G22:G29">
    <cfRule type="expression" dxfId="2537" priority="41">
      <formula>ABS(G$25-G$28)&gt;=1000</formula>
    </cfRule>
  </conditionalFormatting>
  <conditionalFormatting sqref="H22:H29">
    <cfRule type="expression" dxfId="2536" priority="40">
      <formula>ABS(H$25-H$28)&gt;=1000</formula>
    </cfRule>
  </conditionalFormatting>
  <conditionalFormatting sqref="I22 I24:I29">
    <cfRule type="expression" dxfId="2535" priority="39">
      <formula>ABS(I$25-I$28)&gt;=1000</formula>
    </cfRule>
  </conditionalFormatting>
  <conditionalFormatting sqref="J22:J29 K22">
    <cfRule type="expression" dxfId="2534" priority="38">
      <formula>ABS(J$25-J$28)&gt;=1000</formula>
    </cfRule>
  </conditionalFormatting>
  <conditionalFormatting sqref="K23:K29 L25 L28">
    <cfRule type="expression" dxfId="2533" priority="37">
      <formula>ABS(K$25-K$28)&gt;=1000</formula>
    </cfRule>
  </conditionalFormatting>
  <conditionalFormatting sqref="L22 L26:L27 L29 L24">
    <cfRule type="expression" dxfId="2532" priority="36">
      <formula>ABS(L$25-L$28)&gt;=1000</formula>
    </cfRule>
  </conditionalFormatting>
  <conditionalFormatting sqref="M22:M29">
    <cfRule type="expression" dxfId="2531" priority="35">
      <formula>ABS(M$25-M$28)&gt;=1000</formula>
    </cfRule>
  </conditionalFormatting>
  <conditionalFormatting sqref="N22:N29">
    <cfRule type="expression" dxfId="2530" priority="34">
      <formula>ABS(N$25-N$28)&gt;=1000</formula>
    </cfRule>
  </conditionalFormatting>
  <conditionalFormatting sqref="O22:O29">
    <cfRule type="expression" dxfId="2529" priority="33">
      <formula>ABS(O$25-O$28)&gt;=1000</formula>
    </cfRule>
  </conditionalFormatting>
  <conditionalFormatting sqref="P22:P29">
    <cfRule type="expression" dxfId="2528" priority="32">
      <formula>ABS(P$25-P$28)&gt;=1000</formula>
    </cfRule>
  </conditionalFormatting>
  <conditionalFormatting sqref="Q22:Q29">
    <cfRule type="expression" dxfId="2527" priority="31">
      <formula>ABS(Q$25-Q$28)&gt;=1000</formula>
    </cfRule>
  </conditionalFormatting>
  <conditionalFormatting sqref="R22:R29">
    <cfRule type="expression" dxfId="2526" priority="30">
      <formula>ABS(R$25-R$28)&gt;=1000</formula>
    </cfRule>
  </conditionalFormatting>
  <conditionalFormatting sqref="S22:S29">
    <cfRule type="expression" dxfId="2525" priority="29">
      <formula>ABS(S$25-S$28)&gt;=1000</formula>
    </cfRule>
  </conditionalFormatting>
  <conditionalFormatting sqref="T22:T29">
    <cfRule type="expression" dxfId="2524" priority="28">
      <formula>ABS(T$25-T$28)&gt;=1000</formula>
    </cfRule>
  </conditionalFormatting>
  <conditionalFormatting sqref="U22:U29">
    <cfRule type="expression" dxfId="2523" priority="27">
      <formula>ABS(U$25-U$28)&gt;=1000</formula>
    </cfRule>
  </conditionalFormatting>
  <conditionalFormatting sqref="V22:V29">
    <cfRule type="expression" dxfId="2522" priority="26">
      <formula>ABS(V$25-V$28)&gt;=1000</formula>
    </cfRule>
  </conditionalFormatting>
  <conditionalFormatting sqref="W22:W29">
    <cfRule type="expression" dxfId="2521" priority="25">
      <formula>ABS(W$25-W$28)&gt;=1000</formula>
    </cfRule>
  </conditionalFormatting>
  <conditionalFormatting sqref="X22:X29">
    <cfRule type="expression" dxfId="2520" priority="24">
      <formula>ABS(X$25-X$28)&gt;=1000</formula>
    </cfRule>
  </conditionalFormatting>
  <conditionalFormatting sqref="Y22:Y29">
    <cfRule type="expression" dxfId="2519" priority="23">
      <formula>ABS(Y$25-Y$28)&gt;=1000</formula>
    </cfRule>
  </conditionalFormatting>
  <conditionalFormatting sqref="I23">
    <cfRule type="expression" dxfId="2518" priority="22">
      <formula>ABS(I$25-I$28)&gt;=1000</formula>
    </cfRule>
  </conditionalFormatting>
  <conditionalFormatting sqref="Q14">
    <cfRule type="expression" dxfId="2517" priority="21">
      <formula>ABS(Q$16-Q$19)&gt;=1000</formula>
    </cfRule>
  </conditionalFormatting>
  <conditionalFormatting sqref="W14">
    <cfRule type="expression" dxfId="2516" priority="20">
      <formula>ABS(W$16-W$19)&gt;=1000</formula>
    </cfRule>
  </conditionalFormatting>
  <conditionalFormatting sqref="Y14">
    <cfRule type="expression" dxfId="2515" priority="19">
      <formula>ABS(Y$16-Y$19)&gt;=1000</formula>
    </cfRule>
  </conditionalFormatting>
  <conditionalFormatting sqref="X14">
    <cfRule type="expression" dxfId="2514" priority="18">
      <formula>ABS(X$16-X$19)&gt;=1000</formula>
    </cfRule>
  </conditionalFormatting>
  <conditionalFormatting sqref="T10:Y10">
    <cfRule type="expression" dxfId="2513" priority="17">
      <formula>ABS(T$7-T$10)&gt;=1000</formula>
    </cfRule>
  </conditionalFormatting>
  <conditionalFormatting sqref="W19">
    <cfRule type="expression" dxfId="2512" priority="16">
      <formula>ABS(W$16-W$19)&gt;=1000</formula>
    </cfRule>
  </conditionalFormatting>
  <conditionalFormatting sqref="AC5">
    <cfRule type="expression" dxfId="2511" priority="15">
      <formula>ABS(AC$7-AC$10)&gt;=1000</formula>
    </cfRule>
  </conditionalFormatting>
  <conditionalFormatting sqref="M14">
    <cfRule type="expression" dxfId="2510" priority="14">
      <formula>ABS(M$16-M$19)&gt;=1000</formula>
    </cfRule>
  </conditionalFormatting>
  <conditionalFormatting sqref="M16">
    <cfRule type="expression" dxfId="2509" priority="13">
      <formula>ABS(M$16-M$19)&gt;=1000</formula>
    </cfRule>
  </conditionalFormatting>
  <conditionalFormatting sqref="M19">
    <cfRule type="expression" dxfId="2508" priority="12">
      <formula>ABS(M$16-M$19)&gt;=1000</formula>
    </cfRule>
  </conditionalFormatting>
  <conditionalFormatting sqref="K13:K20">
    <cfRule type="expression" dxfId="2507" priority="11">
      <formula>ABS(K$16-K$19)&gt;=1000</formula>
    </cfRule>
  </conditionalFormatting>
  <conditionalFormatting sqref="E5">
    <cfRule type="expression" dxfId="2506" priority="10">
      <formula>ABS(E$7-E$10)&gt;=1000</formula>
    </cfRule>
  </conditionalFormatting>
  <conditionalFormatting sqref="AB14:AC14">
    <cfRule type="expression" dxfId="2505" priority="9">
      <formula>ABS(AB$16-AB$19)&gt;=1000</formula>
    </cfRule>
  </conditionalFormatting>
  <conditionalFormatting sqref="M5">
    <cfRule type="expression" dxfId="2504" priority="8">
      <formula>ABS(M$7-M$10)&gt;=1000</formula>
    </cfRule>
  </conditionalFormatting>
  <conditionalFormatting sqref="N5">
    <cfRule type="expression" dxfId="2503" priority="7">
      <formula>ABS(N$7-N$10)&gt;=1000</formula>
    </cfRule>
  </conditionalFormatting>
  <conditionalFormatting sqref="O5">
    <cfRule type="expression" dxfId="2502" priority="6">
      <formula>ABS(O$7-O$10)&gt;=1000</formula>
    </cfRule>
  </conditionalFormatting>
  <conditionalFormatting sqref="P5">
    <cfRule type="expression" dxfId="2501" priority="5">
      <formula>ABS(P$7-P$10)&gt;=1000</formula>
    </cfRule>
  </conditionalFormatting>
  <conditionalFormatting sqref="L23">
    <cfRule type="expression" dxfId="2500" priority="4">
      <formula>ABS(L$25-L$28)&gt;=1000</formula>
    </cfRule>
  </conditionalFormatting>
  <conditionalFormatting sqref="F14">
    <cfRule type="expression" dxfId="2499" priority="3">
      <formula>ABS(F$16-F$19)&gt;=1000</formula>
    </cfRule>
  </conditionalFormatting>
  <conditionalFormatting sqref="AE5">
    <cfRule type="expression" dxfId="2498" priority="2">
      <formula>ABS(AE$25-AE$28)&gt;=1000</formula>
    </cfRule>
  </conditionalFormatting>
  <conditionalFormatting sqref="H14">
    <cfRule type="expression" dxfId="2497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28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0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46028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70" t="s" ph="1">
        <v>633</v>
      </c>
      <c r="F5" s="70" t="s" ph="1">
        <v>1</v>
      </c>
      <c r="G5" s="70" t="s" ph="1">
        <v>7</v>
      </c>
      <c r="H5" s="70" t="s" ph="1">
        <v>7</v>
      </c>
      <c r="I5" s="70" t="s" ph="1">
        <v>608</v>
      </c>
      <c r="J5" s="70" t="s" ph="1">
        <v>609</v>
      </c>
      <c r="K5" s="70" t="s" ph="1">
        <v>611</v>
      </c>
      <c r="L5" s="70" t="s" ph="1">
        <v>613</v>
      </c>
      <c r="M5" s="70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04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53" t="s" ph="1">
        <v>177</v>
      </c>
      <c r="D6" s="71">
        <v>5418</v>
      </c>
      <c r="E6" s="71">
        <v>0</v>
      </c>
      <c r="F6" s="71">
        <v>2441</v>
      </c>
      <c r="G6" s="71">
        <v>1956</v>
      </c>
      <c r="H6" s="71">
        <v>3001</v>
      </c>
      <c r="I6" s="71">
        <v>0.1</v>
      </c>
      <c r="J6" s="71">
        <v>6.62</v>
      </c>
      <c r="K6" s="71">
        <v>7.41</v>
      </c>
      <c r="L6" s="71">
        <v>94.01</v>
      </c>
      <c r="M6" s="71">
        <v>2111</v>
      </c>
      <c r="N6" s="71">
        <v>6042</v>
      </c>
      <c r="O6" s="71">
        <v>3294</v>
      </c>
      <c r="P6" s="71">
        <v>1954</v>
      </c>
      <c r="Q6" s="71">
        <v>7014</v>
      </c>
      <c r="R6" s="71">
        <v>3879</v>
      </c>
      <c r="S6" s="71">
        <v>0</v>
      </c>
      <c r="T6" s="71">
        <v>0</v>
      </c>
      <c r="U6" s="71">
        <v>1242</v>
      </c>
      <c r="V6" s="71">
        <v>5895</v>
      </c>
      <c r="W6" s="71">
        <v>7205</v>
      </c>
      <c r="X6" s="71">
        <v>6996</v>
      </c>
      <c r="Y6" s="71">
        <v>5281</v>
      </c>
      <c r="Z6" s="71">
        <v>1598</v>
      </c>
      <c r="AA6" s="71">
        <v>2885</v>
      </c>
      <c r="AB6" s="71">
        <v>3003</v>
      </c>
      <c r="AC6" s="71">
        <v>8045</v>
      </c>
      <c r="AD6" s="71">
        <v>4780</v>
      </c>
      <c r="AE6" s="71">
        <v>2960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170632.61450046001</v>
      </c>
      <c r="E7" s="73" ph="1">
        <f>E6*51.53*LOOKUP(E8,密度!$A$2:$A$50,密度!$B$2:$B$50)</f>
        <v>0</v>
      </c>
      <c r="F7" s="73" ph="1">
        <f>F6*33.183*LOOKUP(F8,密度!$A$2:$A$50,密度!$C$2:$C$50)</f>
        <v>90444.268369799989</v>
      </c>
      <c r="G7" s="73" ph="1">
        <f xml:space="preserve"> (G6+2)*51.53*LOOKUP(G8,密度!$A$2:$A$50,密度!$B$2:$B$50)</f>
        <v>79505.843120000005</v>
      </c>
      <c r="H7" s="73" ph="1">
        <f>(H6)*51.53*LOOKUP(H8,密度!$A$2:$A$50,密度!$B$2:$B$50)</f>
        <v>122259.593618</v>
      </c>
      <c r="I7" s="73" ph="1">
        <f>I6*290.8*1.0267</f>
        <v>29.856435999999999</v>
      </c>
      <c r="J7" s="73" ph="1">
        <f>J6*290.8*0.7892</f>
        <v>1519.2857632</v>
      </c>
      <c r="K7" s="73" ph="1">
        <f>K6*290.8*1.1126</f>
        <v>2397.4616328000002</v>
      </c>
      <c r="L7" s="73" ph="1">
        <f>L6*290.8*0.777</f>
        <v>21241.709916000003</v>
      </c>
      <c r="M7" s="73" ph="1">
        <f>M6*33.183*LOOKUP(M8,密度!$A$2:$A$50,密度!$D$2:$D$50)</f>
        <v>72543.0685428</v>
      </c>
      <c r="N7" s="73" ph="1">
        <f>N6*33.183*LOOKUP(N8,密度!$A$2:$A$50,密度!$E$2:$E$50)</f>
        <v>158889.66115499998</v>
      </c>
      <c r="O7" s="73" ph="1">
        <f>O6*20.428*LOOKUP(O8,密度!$A$2:$A$50,密度!$C$2:$C$50)</f>
        <v>74907.040982400009</v>
      </c>
      <c r="P7" s="73" ph="1">
        <f>P6*51.53*LOOKUP(P8,密度!$A$2:$A$50,密度!$B$2:$B$50)</f>
        <v>79343.420559999999</v>
      </c>
      <c r="Q7" s="73" ph="1">
        <f>Q6*1.5*1.5*3.1416*LOOKUP(W8,密度!$A$2:$A$50,密度!$L$2:$L$50)</f>
        <v>46852.306577999996</v>
      </c>
      <c r="R7" s="73" ph="1">
        <f>R6*1.5*1.5*3.1416*LOOKUP(R8,密度!$A$2:$A$50,密度!$L$2:$L$50)</f>
        <v>25801.372535399998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8305.1243351999983</v>
      </c>
      <c r="V7" s="73" ph="1">
        <f>V6*1.5*1.5*3.1416*LOOKUP(V8,密度!$A$2:$A$50,密度!$L$2:$L$50)</f>
        <v>39210.902576999993</v>
      </c>
      <c r="W7" s="73" ph="1">
        <f>W6*1.5*1.5*3.1416*LOOKUP(W8,密度!$A$2:$A$50,密度!$L$2:$L$50)</f>
        <v>48128.153534999998</v>
      </c>
      <c r="X7" s="73" ph="1">
        <f>X6*1.5*1.5*3.1416*LOOKUP(X8,密度!$A$2:$A$50,密度!$L$2:$L$50)</f>
        <v>47276.040873600003</v>
      </c>
      <c r="Y7" s="73" ph="1">
        <f>Y6*1.5*1.5*3.1416*LOOKUP(Y8,密度!$A$2:$A$50,密度!$L$2:$L$50)</f>
        <v>35313.495663599999</v>
      </c>
      <c r="Z7" s="73" ph="1">
        <f>Z6*33.183*LOOKUP(Z8,密度!$A$2:$A$50,密度!$L$2:$L$50)</f>
        <v>50322.085866000001</v>
      </c>
      <c r="AA7" s="73" ph="1">
        <f>AA6*33.183*LOOKUP(AA8,密度!$A$2:$A$50,密度!$D$2:$D$50)</f>
        <v>99313.367517000006</v>
      </c>
      <c r="AB7" s="73" ph="1">
        <f>AB6*20.428*LOOKUP(AB8,密度!$A$2:$A$50,密度!$D$2:$D$50)</f>
        <v>63909.516871200001</v>
      </c>
      <c r="AC7" s="73" ph="1">
        <f>AC6*51.53*LOOKUP(AC8,密度!$A$2:$A$50,密度!$Q$2:$Q$50)</f>
        <v>395713.00467900006</v>
      </c>
      <c r="AD7" s="73" ph="1">
        <f>AD6*20.428*LOOKUP(AD8,密度!$A$2:$A$50,密度!$V$2:$V$50)</f>
        <v>94130.589760000003</v>
      </c>
      <c r="AE7" s="73" ph="1">
        <f>AE6*20.428</f>
        <v>60466.880000000005</v>
      </c>
    </row>
    <row r="8" spans="1:99" ph="1">
      <c r="B8" s="191" ph="1"/>
      <c r="C8" s="68" t="s" ph="1">
        <v>179</v>
      </c>
      <c r="D8" s="74">
        <v>22</v>
      </c>
      <c r="E8" s="74">
        <v>12</v>
      </c>
      <c r="F8" s="74">
        <v>14</v>
      </c>
      <c r="G8" s="74">
        <v>15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19</v>
      </c>
      <c r="P8" s="74">
        <v>15</v>
      </c>
      <c r="Q8" s="74">
        <v>18</v>
      </c>
      <c r="R8" s="74">
        <v>21</v>
      </c>
      <c r="S8" s="74">
        <v>10</v>
      </c>
      <c r="T8" s="74">
        <v>9</v>
      </c>
      <c r="U8" s="74">
        <v>16</v>
      </c>
      <c r="V8" s="74">
        <v>21</v>
      </c>
      <c r="W8" s="74">
        <v>17</v>
      </c>
      <c r="X8" s="74">
        <v>6</v>
      </c>
      <c r="Y8" s="74">
        <v>16</v>
      </c>
      <c r="Z8" s="74">
        <v>13</v>
      </c>
      <c r="AA8" s="74">
        <v>13</v>
      </c>
      <c r="AB8" s="74">
        <v>8</v>
      </c>
      <c r="AC8" s="74">
        <v>11</v>
      </c>
      <c r="AD8" s="74">
        <v>12</v>
      </c>
      <c r="AE8" s="74">
        <v>15</v>
      </c>
    </row>
    <row r="9" spans="1:99" ph="1">
      <c r="B9" s="191" ph="1">
        <v>0.66666666666666663</v>
      </c>
      <c r="C9" s="153" t="s" ph="1">
        <v>180</v>
      </c>
      <c r="D9" s="71">
        <v>5797</v>
      </c>
      <c r="E9" s="71">
        <v>0</v>
      </c>
      <c r="F9" s="71">
        <v>2441</v>
      </c>
      <c r="G9" s="71">
        <v>2715</v>
      </c>
      <c r="H9" s="71">
        <v>2999</v>
      </c>
      <c r="I9" s="71">
        <v>0</v>
      </c>
      <c r="J9" s="71">
        <v>6.71</v>
      </c>
      <c r="K9" s="71">
        <v>7.41</v>
      </c>
      <c r="L9" s="71">
        <v>29.51</v>
      </c>
      <c r="M9" s="71">
        <v>2110</v>
      </c>
      <c r="N9" s="71">
        <v>6042</v>
      </c>
      <c r="O9" s="71">
        <v>3293</v>
      </c>
      <c r="P9" s="71">
        <v>2193</v>
      </c>
      <c r="Q9" s="71">
        <v>7013</v>
      </c>
      <c r="R9" s="71">
        <v>7014</v>
      </c>
      <c r="S9" s="71">
        <v>3303</v>
      </c>
      <c r="T9" s="71">
        <v>0</v>
      </c>
      <c r="U9" s="71">
        <v>0</v>
      </c>
      <c r="V9" s="71">
        <v>2475</v>
      </c>
      <c r="W9" s="71">
        <v>7207</v>
      </c>
      <c r="X9" s="71">
        <v>6997</v>
      </c>
      <c r="Y9" s="71">
        <v>5283</v>
      </c>
      <c r="Z9" s="71">
        <v>2603</v>
      </c>
      <c r="AA9" s="71">
        <v>2882</v>
      </c>
      <c r="AB9" s="71">
        <v>2905</v>
      </c>
      <c r="AC9" s="71">
        <v>8311</v>
      </c>
      <c r="AD9" s="71">
        <v>4780</v>
      </c>
      <c r="AE9" s="71">
        <v>2860</v>
      </c>
    </row>
    <row r="10" spans="1:99" s="72" customFormat="1" ht="22.5" ph="1">
      <c r="B10" s="191" ph="1"/>
      <c r="C10" s="153" t="s" ph="1">
        <v>178</v>
      </c>
      <c r="D10" s="73" ph="1">
        <f>D9*33.183*LOOKUP(D11,密度!$A$2:$A$50,密度!$Q$2:$Q$50)</f>
        <v>182684.12627619001</v>
      </c>
      <c r="E10" s="73" ph="1">
        <f>E9*51.53*LOOKUP(E11,密度!$A$2:$A$50,密度!$B$2:$B$50)</f>
        <v>0</v>
      </c>
      <c r="F10" s="73" ph="1">
        <f>F9*33.183*LOOKUP(F11,密度!$A$2:$A$50,密度!$C$2:$C$50)</f>
        <v>90379.468607399991</v>
      </c>
      <c r="G10" s="73" ph="1">
        <f xml:space="preserve"> (G9+2)*51.53*LOOKUP(G11,密度!$A$2:$A$50,密度!$B$2:$B$50)</f>
        <v>110213.51827200002</v>
      </c>
      <c r="H10" s="73" ph="1">
        <f>(H9)*51.53*LOOKUP(H11,密度!$A$2:$A$50,密度!$B$2:$B$50)</f>
        <v>121776.31436</v>
      </c>
      <c r="I10" s="73" ph="1">
        <f>I9*290.8*1.0267</f>
        <v>0</v>
      </c>
      <c r="J10" s="73" ph="1">
        <f>J9*290.8*0.7892</f>
        <v>1539.9407056</v>
      </c>
      <c r="K10" s="73" ph="1">
        <f>K9*290.8*1.1126</f>
        <v>2397.4616328000002</v>
      </c>
      <c r="L10" s="73" ph="1">
        <f>L9*290.8*0.777</f>
        <v>6667.8317160000015</v>
      </c>
      <c r="M10" s="73" ph="1">
        <f>M9*33.183*LOOKUP(M11,密度!$A$2:$A$50,密度!$D$2:$D$50)</f>
        <v>72508.704228000017</v>
      </c>
      <c r="N10" s="73" ph="1">
        <f>N9*33.183*LOOKUP(N11,密度!$A$2:$A$50,密度!$E$2:$E$50)</f>
        <v>158669.12030039998</v>
      </c>
      <c r="O10" s="73" ph="1">
        <f>O9*20.428*LOOKUP(O11,密度!$A$2:$A$50,密度!$C$2:$C$50)</f>
        <v>74843.938890400008</v>
      </c>
      <c r="P10" s="73" ph="1">
        <f>P9*51.53*LOOKUP(P11,密度!$A$2:$A$50,密度!$B$2:$B$50)</f>
        <v>88867.360056000005</v>
      </c>
      <c r="Q10" s="73" ph="1">
        <f>Q9*1.5*1.5*3.1416*LOOKUP(W11,密度!$A$2:$A$50,密度!$L$2:$L$50)</f>
        <v>46895.198842799997</v>
      </c>
      <c r="R10" s="73" ph="1">
        <f>R9*1.5*1.5*3.1416*LOOKUP(R11,密度!$A$2:$A$50,密度!$L$2:$L$50)</f>
        <v>46653.989936400001</v>
      </c>
      <c r="S10" s="73" ph="1">
        <f>S9*1.5*1.5*3.1416*LOOKUP(S11,密度!$A$2:$A$50,密度!$L$2:$L$50)</f>
        <v>22133.5113384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16462.592685</v>
      </c>
      <c r="W10" s="73" ph="1">
        <f>W9*1.5*1.5*3.1416*LOOKUP(W11,密度!$A$2:$A$50,密度!$L$2:$L$50)</f>
        <v>48192.456589199996</v>
      </c>
      <c r="X10" s="73" ph="1">
        <f>X9*1.5*1.5*3.1416*LOOKUP(X11,密度!$A$2:$A$50,密度!$L$2:$L$50)</f>
        <v>47233.339460999996</v>
      </c>
      <c r="Y10" s="73" ph="1">
        <f>Y9*1.5*1.5*3.1416*LOOKUP(Y11,密度!$A$2:$A$50,密度!$L$2:$L$50)</f>
        <v>35326.869454799998</v>
      </c>
      <c r="Z10" s="73" ph="1">
        <f>Z9*33.183*LOOKUP(Z11,密度!$A$2:$A$50,密度!$L$2:$L$50)</f>
        <v>81711.080153999996</v>
      </c>
      <c r="AA10" s="73" ph="1">
        <f>AA9*33.183*LOOKUP(AA11,密度!$A$2:$A$50,密度!$D$2:$D$50)</f>
        <v>99037.955253600012</v>
      </c>
      <c r="AB10" s="73" ph="1">
        <f>AB9*20.428*LOOKUP(AB11,密度!$A$2:$A$50,密度!$D$2:$D$50)</f>
        <v>61770.482605999998</v>
      </c>
      <c r="AC10" s="73" ph="1">
        <f>AC9*51.53*LOOKUP(AC11,密度!$A$2:$A$50,密度!$Q$2:$Q$50)</f>
        <v>408796.86536820006</v>
      </c>
      <c r="AD10" s="73" ph="1">
        <f>AD9*20.428*LOOKUP(AD11,密度!$A$2:$A$50,密度!$V$2:$V$50)</f>
        <v>94130.589760000003</v>
      </c>
      <c r="AE10" s="73" ph="1">
        <f>AE9*20.428</f>
        <v>58424.08</v>
      </c>
    </row>
    <row r="11" spans="1:99" ph="1">
      <c r="A11" s="64" t="s" ph="1">
        <v>162</v>
      </c>
      <c r="B11" s="191" ph="1"/>
      <c r="C11" s="153" t="s" ph="1">
        <v>179</v>
      </c>
      <c r="D11" s="74">
        <v>21</v>
      </c>
      <c r="E11" s="74">
        <v>15</v>
      </c>
      <c r="F11" s="74">
        <v>15</v>
      </c>
      <c r="G11" s="74">
        <v>16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18</v>
      </c>
      <c r="O11" s="74">
        <v>20</v>
      </c>
      <c r="P11" s="74">
        <v>17</v>
      </c>
      <c r="Q11" s="74">
        <v>19</v>
      </c>
      <c r="R11" s="74">
        <v>21</v>
      </c>
      <c r="S11" s="74">
        <v>14</v>
      </c>
      <c r="T11" s="74">
        <v>14</v>
      </c>
      <c r="U11" s="74">
        <v>15</v>
      </c>
      <c r="V11" s="74">
        <v>21</v>
      </c>
      <c r="W11" s="74">
        <v>16</v>
      </c>
      <c r="X11" s="74">
        <v>7</v>
      </c>
      <c r="Y11" s="74">
        <v>16</v>
      </c>
      <c r="Z11" s="74">
        <v>16</v>
      </c>
      <c r="AA11" s="74">
        <v>15</v>
      </c>
      <c r="AB11" s="74">
        <v>9</v>
      </c>
      <c r="AC11" s="74">
        <v>14</v>
      </c>
      <c r="AD11" s="74">
        <v>14</v>
      </c>
      <c r="AE11" s="74">
        <v>17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0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633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38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636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53" t="s" ph="1">
        <v>177</v>
      </c>
      <c r="D15" s="78">
        <v>3294</v>
      </c>
      <c r="E15" s="78">
        <v>6059</v>
      </c>
      <c r="F15" s="78">
        <v>1829</v>
      </c>
      <c r="G15" s="78">
        <v>4610</v>
      </c>
      <c r="H15" s="78">
        <v>5365</v>
      </c>
      <c r="I15" s="78">
        <v>3664</v>
      </c>
      <c r="J15" s="78">
        <v>1898</v>
      </c>
      <c r="K15" s="78">
        <v>3254</v>
      </c>
      <c r="L15" s="78">
        <v>930</v>
      </c>
      <c r="M15" s="78">
        <v>6631</v>
      </c>
      <c r="N15" s="78">
        <v>2317</v>
      </c>
      <c r="O15" s="78">
        <v>2417</v>
      </c>
      <c r="P15" s="78">
        <v>5178</v>
      </c>
      <c r="Q15" s="78">
        <v>7190</v>
      </c>
      <c r="R15" s="78">
        <v>0</v>
      </c>
      <c r="S15" s="78">
        <v>6387</v>
      </c>
      <c r="T15" s="78">
        <v>6398</v>
      </c>
      <c r="U15" s="78">
        <v>1213</v>
      </c>
      <c r="V15" s="78">
        <v>1727</v>
      </c>
      <c r="W15" s="71">
        <v>-817</v>
      </c>
      <c r="X15" s="78">
        <v>664</v>
      </c>
      <c r="Y15" s="106">
        <v>-9900</v>
      </c>
      <c r="Z15" s="78">
        <v>0</v>
      </c>
      <c r="AA15" s="78">
        <v>10</v>
      </c>
      <c r="AB15" s="78" ph="1">
        <v>1527</v>
      </c>
      <c r="AC15" s="78" ph="1">
        <v>0</v>
      </c>
      <c r="AD15" s="78">
        <v>43.01</v>
      </c>
      <c r="AE15" s="78">
        <v>5.21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53" t="s" ph="1">
        <v>178</v>
      </c>
      <c r="D16" s="73" ph="1">
        <f>D15*7.0686*LOOKUP(D17,密度!$A$2:$A$50,密度!$L$2:$L$50)</f>
        <v>22049.9180748</v>
      </c>
      <c r="E16" s="73" ph="1">
        <f>E15*7.0686*LOOKUP(E17,密度!$A$2:$A$50,密度!$L$2:$L$50)</f>
        <v>40558.729087799999</v>
      </c>
      <c r="F16" s="73" ph="1">
        <f>F15*9.0746*LOOKUP(F17,密度!$A$2:$A$50,密度!$L$2:$L$50)</f>
        <v>15750.9737866</v>
      </c>
      <c r="G16" s="73" ph="1">
        <f>G15*9.0746*LOOKUP(G17,密度!$A$2:$A$50,密度!$B$2:$B$50)</f>
        <v>32965.117928000007</v>
      </c>
      <c r="H16" s="73" ph="1">
        <f>H15*9.0746*LOOKUP(H17,密度!$A$2:$A$50,密度!$L$2:$L$50)</f>
        <v>46348.338007999999</v>
      </c>
      <c r="I16" s="73" ph="1">
        <f>I15*9.0746*LOOKUP(I17,密度!$A$2:$A$50,密度!$U$2:$U$50)</f>
        <v>34180.3157632</v>
      </c>
      <c r="J16" s="73" ph="1">
        <f>J15*9.0746*LOOKUP(J17,密度!$A$2:$A$50,密度!$L$2:$L$50)</f>
        <v>16310.7404876</v>
      </c>
      <c r="K16" s="73" ph="1">
        <f>K15*9.0746*LOOKUP(K17,密度!$A$2:$A$50,密度!$C$2:$C$50)</f>
        <v>32995.423462159997</v>
      </c>
      <c r="L16" s="73" ph="1">
        <f>L15*9.0746*LOOKUP(L17,密度!$A$2:$A$50,密度!$E$2:$E$50)</f>
        <v>6754.8781512000005</v>
      </c>
      <c r="M16" s="73" ph="1">
        <f>M15*9.0746*LOOKUP(M17,密度!$A$2:$A$50,密度!$M$2:$M$50)</f>
        <v>52970.883989779999</v>
      </c>
      <c r="N16" s="73" ph="1">
        <f>N15*9.0746*LOOKUP(N17,密度!$A$2:$A$50,密度!$M$2:$M$50)</f>
        <v>18509.05417046</v>
      </c>
      <c r="O16" s="73" ph="1">
        <f>O15*9.0746*LOOKUP(O17,密度!$A$2:$A$50,密度!$G$2:$G$50)</f>
        <v>21231.442337599998</v>
      </c>
      <c r="P16" s="73" ph="1">
        <f ca="1">P15*9.0746*LOOKUP(P17,密度!$A$2:$A$51,密度!$Q$2:$Q$50)</f>
        <v>44733.311300387999</v>
      </c>
      <c r="Q16" s="73" ph="1">
        <f>Q15*9.0746*LOOKUP(Q17,密度!$A$2:$A$50,密度!$Q$2:$Q$50)</f>
        <v>62280.273837960005</v>
      </c>
      <c r="R16" s="73" ph="1">
        <f>MAX(R15*9.0746*LOOKUP(R17,密度!$A$2:$A$50,密度!$B$2:$B$50),0)</f>
        <v>0</v>
      </c>
      <c r="S16" s="73" ph="1">
        <f>S15*9.0746*LOOKUP(S17,密度!$A$2:$A$50,密度!$Q$2:$Q$50)</f>
        <v>55324.632684708005</v>
      </c>
      <c r="T16" s="73" ph="1">
        <f>T15*9.0746*LOOKUP(T17,密度!$A$2:$A$50,密度!$O$2:$O$50)</f>
        <v>54227.377607200004</v>
      </c>
      <c r="U16" s="73" ph="1">
        <f>U15*9.0746*LOOKUP(U17,密度!$A$2:$A$50,密度!$H$2:$H$50)</f>
        <v>10233.663267059999</v>
      </c>
      <c r="V16" s="73" ph="1">
        <f>MAX(5600*LOOKUP(V17,密度!$A$2:$A$50,密度!$Q$2:$Q$50)+V15*9.0476*LOOKUP(V17,密度!$A$2:$A$50,密度!$Q$2:$Q$50),0)</f>
        <v>20260.307371608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12073.071416639999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71.898055800000009</v>
      </c>
      <c r="AB16" s="73" ph="1">
        <f>AB15*9.0746*LOOKUP(AB17,密度!$A$2:$A$50,密度!$L$2:$L$50)</f>
        <v>13108.640833200001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10229.85413328</v>
      </c>
      <c r="AE16" s="73" ph="1">
        <f>AE15*268.68*LOOKUP(AE17,密度!$A$2:$A$50,密度!B2:B50)+IF(AE15&lt;=0,0,1566*LOOKUP(AE17,密度!$A$2:$A$50,密度!B2:B50))</f>
        <v>2312.1554548799995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15</v>
      </c>
      <c r="E17" s="74">
        <v>15</v>
      </c>
      <c r="F17" s="74">
        <v>13</v>
      </c>
      <c r="G17" s="74">
        <v>15</v>
      </c>
      <c r="H17" s="74">
        <v>10</v>
      </c>
      <c r="I17" s="74">
        <v>11</v>
      </c>
      <c r="J17" s="74">
        <v>15</v>
      </c>
      <c r="K17" s="74">
        <v>13</v>
      </c>
      <c r="L17" s="74">
        <v>11</v>
      </c>
      <c r="M17" s="74">
        <v>17</v>
      </c>
      <c r="N17" s="74">
        <v>16</v>
      </c>
      <c r="O17" s="74">
        <v>18</v>
      </c>
      <c r="P17" s="74">
        <v>18</v>
      </c>
      <c r="Q17" s="74">
        <v>15</v>
      </c>
      <c r="R17" s="74">
        <v>13</v>
      </c>
      <c r="S17" s="74">
        <v>15</v>
      </c>
      <c r="T17" s="74">
        <v>15</v>
      </c>
      <c r="U17" s="74">
        <v>10</v>
      </c>
      <c r="V17" s="74">
        <v>13</v>
      </c>
      <c r="W17" s="74">
        <v>13</v>
      </c>
      <c r="X17" s="74">
        <v>27</v>
      </c>
      <c r="Y17" s="108">
        <v>27</v>
      </c>
      <c r="Z17" s="74">
        <v>14</v>
      </c>
      <c r="AA17" s="74">
        <v>10</v>
      </c>
      <c r="AB17" s="74">
        <v>16</v>
      </c>
      <c r="AC17" s="74">
        <v>10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2704</v>
      </c>
      <c r="E18" s="71">
        <v>5755</v>
      </c>
      <c r="F18" s="71">
        <v>1890</v>
      </c>
      <c r="G18" s="71">
        <v>1283</v>
      </c>
      <c r="H18" s="71">
        <v>5366</v>
      </c>
      <c r="I18" s="71">
        <v>3665</v>
      </c>
      <c r="J18" s="71">
        <v>433</v>
      </c>
      <c r="K18" s="71">
        <v>4050</v>
      </c>
      <c r="L18" s="71">
        <v>931</v>
      </c>
      <c r="M18" s="71">
        <v>5786</v>
      </c>
      <c r="N18" s="71">
        <v>2208</v>
      </c>
      <c r="O18" s="71">
        <v>2483</v>
      </c>
      <c r="P18" s="71">
        <v>5180</v>
      </c>
      <c r="Q18" s="71">
        <v>7190</v>
      </c>
      <c r="R18" s="71">
        <v>2391</v>
      </c>
      <c r="S18" s="71">
        <v>6389</v>
      </c>
      <c r="T18" s="71">
        <v>5886</v>
      </c>
      <c r="U18" s="71">
        <v>1211</v>
      </c>
      <c r="V18" s="71">
        <v>1726</v>
      </c>
      <c r="W18" s="71">
        <v>-817</v>
      </c>
      <c r="X18" s="71">
        <v>434</v>
      </c>
      <c r="Y18" s="109">
        <v>-9900</v>
      </c>
      <c r="Z18" s="71">
        <v>0</v>
      </c>
      <c r="AA18" s="71">
        <v>10</v>
      </c>
      <c r="AB18" s="71">
        <v>1527</v>
      </c>
      <c r="AC18" s="71">
        <v>0</v>
      </c>
      <c r="AD18" s="71">
        <v>84.62</v>
      </c>
      <c r="AE18" s="71">
        <v>14.21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53" t="s" ph="1">
        <v>178</v>
      </c>
      <c r="D19" s="73" ph="1">
        <f>D18*7.0686*LOOKUP(D20,密度!$A$2:$A$50,密度!$L$2:$L$50)</f>
        <v>18062.252207999998</v>
      </c>
      <c r="E19" s="73" ph="1">
        <f>E18*7.0686*LOOKUP(E20,密度!$A$2:$A$50,密度!$L$2:$L$50)</f>
        <v>38442.404384999994</v>
      </c>
      <c r="F19" s="73" ph="1">
        <f>F18*9.0746*LOOKUP(F20,密度!$A$2:$A$50,密度!$L$2:$L$50)</f>
        <v>16190.538335999998</v>
      </c>
      <c r="G19" s="73" ph="1">
        <f>G18*9.0746*LOOKUP(G20,密度!$A$2:$A$50,密度!$B$2:$B$50)</f>
        <v>9174.4568984000016</v>
      </c>
      <c r="H19" s="73" ph="1">
        <f>H18*9.0746*LOOKUP(H20,密度!$A$2:$A$50,密度!$L$2:$L$50)</f>
        <v>46259.58842</v>
      </c>
      <c r="I19" s="73" ph="1">
        <f>I18*9.0746*LOOKUP(I20,密度!$A$2:$A$50,密度!$U$2:$U$50)</f>
        <v>34189.644452</v>
      </c>
      <c r="J19" s="73" ph="1">
        <f>J18*9.0746*LOOKUP(J20,密度!$A$2:$A$50,密度!$L$2:$L$50)</f>
        <v>3717.1195028000002</v>
      </c>
      <c r="K19" s="73" ph="1">
        <f>K18*9.0746*LOOKUP(K20,密度!$A$2:$A$50,密度!$C$2:$C$50)</f>
        <v>41008.026653999994</v>
      </c>
      <c r="L19" s="73" ph="1">
        <f>L18*9.0746*LOOKUP(L20,密度!$A$2:$A$50,密度!$E$2:$E$50)</f>
        <v>6713.9852812199997</v>
      </c>
      <c r="M19" s="73" ph="1">
        <f>M18*9.0746*LOOKUP(M20,密度!$A$2:$A$50,密度!$M$2:$M$50)</f>
        <v>46220.711018679998</v>
      </c>
      <c r="N19" s="73" ph="1">
        <f>N18*9.0746*LOOKUP(N20,密度!$A$2:$A$50,密度!$M$2:$M$50)</f>
        <v>17638.321799040001</v>
      </c>
      <c r="O19" s="73" ph="1">
        <f>O18*9.0746*LOOKUP(O20,密度!$A$2:$A$50,密度!$G$2:$G$50)</f>
        <v>21788.668150600002</v>
      </c>
      <c r="P19" s="73" ph="1">
        <f ca="1">P18*9.0746*LOOKUP(P20,密度!$A$2:$A$51,密度!$Q$2:$Q$50)</f>
        <v>44750.589520280002</v>
      </c>
      <c r="Q19" s="73" ph="1">
        <f>Q18*9.0746*LOOKUP(Q20,密度!$A$2:$A$50,密度!$Q$2:$Q$50)</f>
        <v>62166.745147200003</v>
      </c>
      <c r="R19" s="73" ph="1">
        <f>MAX(R18*9.0746*LOOKUP(R20,密度!$A$2:$A$50,密度!$B$2:$B$50),0)</f>
        <v>17012.906719260001</v>
      </c>
      <c r="S19" s="73" ph="1">
        <f>S18*9.0746*LOOKUP(S20,密度!$A$2:$A$50,密度!$Q$2:$Q$50)</f>
        <v>55341.956822076005</v>
      </c>
      <c r="T19" s="73" ph="1">
        <f>T18*9.0746*LOOKUP(T20,密度!$A$2:$A$50,密度!$O$2:$O$50)</f>
        <v>49887.831290400005</v>
      </c>
      <c r="U19" s="73" ph="1">
        <f>U18*9.0746*LOOKUP(U20,密度!$A$2:$A$50,密度!$H$2:$H$50)</f>
        <v>10172.832593419998</v>
      </c>
      <c r="V19" s="73" ph="1">
        <f>MAX(5600*LOOKUP(V20,密度!$A$2:$A$50,密度!$Q$2:$Q$50)+V18*9.0476*LOOKUP(V20,密度!$A$2:$A$50,密度!$Q$2:$Q$50),0)</f>
        <v>20251.671075504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9908.6774018399992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71.6621162</v>
      </c>
      <c r="AB19" s="73" ph="1">
        <f>AB18*9.0746*LOOKUP(AB20,密度!$A$2:$A$50,密度!$L$2:$L$50)</f>
        <v>13094.783919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18882.422143200001</v>
      </c>
      <c r="AE19" s="73" ph="1">
        <f>AE18*268.68*LOOKUP(AE20,密度!$A$2:$A$50,密度!B5:B53)+IF(AE18&lt;=0,0,1566*LOOKUP(AE20,密度!$A$2:$A$50,密度!B5:B53))</f>
        <v>4183.3235556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17</v>
      </c>
      <c r="E20" s="81">
        <v>17</v>
      </c>
      <c r="F20" s="81">
        <v>18</v>
      </c>
      <c r="G20" s="81">
        <v>15</v>
      </c>
      <c r="H20" s="81">
        <v>12</v>
      </c>
      <c r="I20" s="81">
        <v>17</v>
      </c>
      <c r="J20" s="81">
        <v>16</v>
      </c>
      <c r="K20" s="81">
        <v>15</v>
      </c>
      <c r="L20" s="81">
        <v>15</v>
      </c>
      <c r="M20" s="81">
        <v>18</v>
      </c>
      <c r="N20" s="81">
        <v>17</v>
      </c>
      <c r="O20" s="81">
        <v>19</v>
      </c>
      <c r="P20" s="81">
        <v>18</v>
      </c>
      <c r="Q20" s="81">
        <v>17</v>
      </c>
      <c r="R20" s="81">
        <v>20</v>
      </c>
      <c r="S20" s="81">
        <v>15</v>
      </c>
      <c r="T20" s="81">
        <v>18</v>
      </c>
      <c r="U20" s="81">
        <v>14</v>
      </c>
      <c r="V20" s="81">
        <v>15</v>
      </c>
      <c r="W20" s="81">
        <v>13</v>
      </c>
      <c r="X20" s="81">
        <v>27</v>
      </c>
      <c r="Y20" s="110">
        <v>27</v>
      </c>
      <c r="Z20" s="81">
        <v>18</v>
      </c>
      <c r="AA20" s="81">
        <v>13</v>
      </c>
      <c r="AB20" s="81">
        <v>17</v>
      </c>
      <c r="AC20" s="81">
        <v>14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642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53" t="s" ph="1">
        <v>177</v>
      </c>
      <c r="D24" s="71">
        <v>3.72</v>
      </c>
      <c r="E24" s="71">
        <v>5.01</v>
      </c>
      <c r="F24" s="71">
        <v>576</v>
      </c>
      <c r="G24" s="71">
        <v>2552</v>
      </c>
      <c r="H24" s="71">
        <v>2475</v>
      </c>
      <c r="I24" s="71">
        <v>69</v>
      </c>
      <c r="J24" s="71">
        <v>3522</v>
      </c>
      <c r="K24" s="71">
        <v>2436</v>
      </c>
      <c r="L24" s="71">
        <v>5535</v>
      </c>
      <c r="M24" s="71">
        <v>4864</v>
      </c>
      <c r="N24" s="71">
        <v>5585</v>
      </c>
      <c r="O24" s="71">
        <v>5716</v>
      </c>
      <c r="P24" s="71">
        <v>651</v>
      </c>
      <c r="Q24" s="90">
        <v>2167</v>
      </c>
      <c r="R24" s="71">
        <v>4665</v>
      </c>
      <c r="S24" s="71">
        <v>5519</v>
      </c>
      <c r="T24" s="71">
        <v>161</v>
      </c>
      <c r="U24" s="71">
        <v>4464</v>
      </c>
      <c r="V24" s="71">
        <v>4086</v>
      </c>
      <c r="W24" s="71">
        <v>93</v>
      </c>
      <c r="X24" s="71">
        <v>3219</v>
      </c>
      <c r="Y24" s="71">
        <v>9141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2428.851623904</v>
      </c>
      <c r="E25" s="91" ph="1">
        <f>E24*268.68*LOOKUP(E26,密度!$A$2:$A$50,密度!$C$2:$C$50)+IF(E24&lt;=0,0,1566*LOOKUP(E26,密度!$A$2:$A$50,密度!$C$2:$C$50))</f>
        <v>3229.21305252</v>
      </c>
      <c r="F25" s="91" ph="1">
        <f>F24*11.702*LOOKUP(F26,密度!$A$2:$A$50,密度!$Q$2:$Q$50)</f>
        <v>6433.9355980800001</v>
      </c>
      <c r="G25" s="91" ph="1">
        <f>G24*18.322*LOOKUP(G26,密度!$A$2:$A$50,密度!$B$2:$B$50)</f>
        <v>36887.1842416</v>
      </c>
      <c r="H25" s="91" ph="1">
        <f>H24*18.322*LOOKUP(H26,密度!$A$2:$A$50,密度!$B$2:$B$50)</f>
        <v>35733.3966</v>
      </c>
      <c r="I25" s="91" ph="1">
        <f>I24*18.322*LOOKUP(I26,密度!$A$2:$A$50,密度!$Q$2:$Q$50)</f>
        <v>1206.7466497199998</v>
      </c>
      <c r="J25" s="91" ph="1">
        <f>J24*18.322*LOOKUP(J26,密度!$A$2:$A$50,密度!$Q$2:$Q$50)</f>
        <v>61535.888102399993</v>
      </c>
      <c r="K25" s="91" ph="1">
        <f>K24*18.322*LOOKUP(K26,密度!$A$2:$A$50,密度!$Q$2:$Q$50)</f>
        <v>42561.449011199998</v>
      </c>
      <c r="L25" s="91" ph="1">
        <f>L24*18.322*LOOKUP(L26,密度!$A$2:$A$50,密度!$Q$2:$Q$50)</f>
        <v>96802.068205799995</v>
      </c>
      <c r="M25" s="91" ph="1">
        <f>M24*18.322*LOOKUP(M26,密度!$A$2:$A$50,密度!$Q$2:$Q$50)</f>
        <v>85066.894264319999</v>
      </c>
      <c r="N25" s="91" ph="1">
        <f>N24*18.322*LOOKUP(N26,密度!$A$2:$A$50,密度!$Q$2:$Q$50)</f>
        <v>97676.522299799995</v>
      </c>
      <c r="O25" s="91" ph="1">
        <f>O24*18.322*LOOKUP(O26,密度!$A$2:$A$50,密度!$C$2:$C$50)</f>
        <v>116856.11832159999</v>
      </c>
      <c r="P25" s="91" ph="1">
        <f>P24*11.702*LOOKUP(P26,密度!$A$2:$A$50,密度!$B$2:$B$50)</f>
        <v>5996.8911744000006</v>
      </c>
      <c r="Q25" s="92" ph="1">
        <f>Q24*18.322*LOOKUP(Q26,密度!$A$2:$A$50,密度!$B$2:$B$50)</f>
        <v>31286.573912</v>
      </c>
      <c r="R25" s="91" ph="1">
        <f>R24*35.891*LOOKUP(R26,密度!$A$2:$A$50,密度!$C$2:$C$50)</f>
        <v>186820.08443699995</v>
      </c>
      <c r="S25" s="91" ph="1">
        <f>S24*35.891*LOOKUP(S26,密度!$A$2:$A$50,密度!$B$2:$B$50)</f>
        <v>156267.22823810001</v>
      </c>
      <c r="T25" s="91" ph="1">
        <f>T24*35.891*LOOKUP(T26,密度!$A$2:$A$50,密度!$Q$2:$Q$50)</f>
        <v>5515.7626175400001</v>
      </c>
      <c r="U25" s="91" ph="1">
        <f>U24*35.891</f>
        <v>160217.424</v>
      </c>
      <c r="V25" s="91" ph="1">
        <f>V24*47.051*LOOKUP(V26,密度!$A$2:$A$50,密度!$B$2:$B$50)</f>
        <v>151339.50385919999</v>
      </c>
      <c r="W25" s="91" ph="1">
        <f>W24*47.051*LOOKUP(W26,密度!$A$2:$A$50,密度!$B$2:$B$50)</f>
        <v>3452.0236527000006</v>
      </c>
      <c r="X25" s="91" ph="1">
        <f>X24*47.051*LOOKUP(X26,密度!$A$2:$A$61,密度!$I$2:$I$61)</f>
        <v>154304.56377719998</v>
      </c>
      <c r="Y25" s="91" ph="1">
        <f>Y24*47.051*LOOKUP(Y26,密度!$A$2:$A$50,密度!$L$2:$L$50)</f>
        <v>405147.78592199995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14</v>
      </c>
      <c r="H26" s="74">
        <v>15</v>
      </c>
      <c r="I26" s="74">
        <v>15</v>
      </c>
      <c r="J26" s="74">
        <v>16</v>
      </c>
      <c r="K26" s="74">
        <v>16</v>
      </c>
      <c r="L26" s="74">
        <v>13</v>
      </c>
      <c r="M26" s="74">
        <v>13</v>
      </c>
      <c r="N26" s="74">
        <v>15</v>
      </c>
      <c r="O26" s="74">
        <v>15</v>
      </c>
      <c r="P26" s="74">
        <v>16</v>
      </c>
      <c r="Q26" s="93">
        <v>15</v>
      </c>
      <c r="R26" s="74">
        <v>15</v>
      </c>
      <c r="S26" s="74">
        <v>14</v>
      </c>
      <c r="T26" s="74">
        <v>15</v>
      </c>
      <c r="U26" s="74">
        <v>16</v>
      </c>
      <c r="V26" s="74">
        <v>16</v>
      </c>
      <c r="W26" s="74">
        <v>14</v>
      </c>
      <c r="X26" s="74">
        <v>46</v>
      </c>
      <c r="Y26" s="74">
        <v>20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53" t="s" ph="1">
        <v>180</v>
      </c>
      <c r="D27" s="71">
        <v>3.71</v>
      </c>
      <c r="E27" s="71">
        <v>4.91</v>
      </c>
      <c r="F27" s="71">
        <v>574</v>
      </c>
      <c r="G27" s="71">
        <v>2098</v>
      </c>
      <c r="H27" s="71">
        <v>2021</v>
      </c>
      <c r="I27" s="71">
        <v>67</v>
      </c>
      <c r="J27" s="71">
        <v>3520</v>
      </c>
      <c r="K27" s="71">
        <v>2434</v>
      </c>
      <c r="L27" s="71">
        <v>5533</v>
      </c>
      <c r="M27" s="71">
        <v>4862</v>
      </c>
      <c r="N27" s="71">
        <v>5584</v>
      </c>
      <c r="O27" s="71">
        <v>5715</v>
      </c>
      <c r="P27" s="71">
        <v>648</v>
      </c>
      <c r="Q27" s="90">
        <v>2454</v>
      </c>
      <c r="R27" s="71">
        <v>4106</v>
      </c>
      <c r="S27" s="71">
        <v>5141</v>
      </c>
      <c r="T27" s="71">
        <v>159</v>
      </c>
      <c r="U27" s="71">
        <v>4507</v>
      </c>
      <c r="V27" s="71">
        <v>3784</v>
      </c>
      <c r="W27" s="71">
        <v>89</v>
      </c>
      <c r="X27" s="71">
        <v>3710</v>
      </c>
      <c r="Y27" s="71">
        <v>8054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53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6405.2816128000004</v>
      </c>
      <c r="G28" s="91" ph="1">
        <f>G27*18.322*LOOKUP(G29,密度!$A$2:$A$50,密度!$B$2:$B$50)</f>
        <v>30290.370127999999</v>
      </c>
      <c r="H28" s="91" ph="1">
        <f>H27*18.322*LOOKUP(H29,密度!$A$2:$A$50,密度!$B$2:$B$50)</f>
        <v>29149.041446399995</v>
      </c>
      <c r="I28" s="91" ph="1">
        <f>I27*18.322*LOOKUP(I29,密度!$A$2:$A$50,密度!$Q$2:$Q$50)</f>
        <v>1169.6325071999997</v>
      </c>
      <c r="J28" s="91" ph="1">
        <f>J27*18.322*LOOKUP(J29,密度!$A$2:$A$50,密度!$Q$2:$Q$50)</f>
        <v>61561.568217599997</v>
      </c>
      <c r="K28" s="91" ph="1">
        <f>K27*18.322*LOOKUP(K29,密度!$A$2:$A$50,密度!$Q$2:$Q$50)</f>
        <v>42568.425295920002</v>
      </c>
      <c r="L28" s="91" ph="1">
        <f>L27*18.322*LOOKUP(L29,密度!$A$2:$A$50,密度!$Q$2:$Q$50)</f>
        <v>96671.796953599987</v>
      </c>
      <c r="M28" s="91" ph="1">
        <f>M27*18.322*LOOKUP(M29,密度!$A$2:$A$50,密度!$Q$2:$Q$50)</f>
        <v>84948.179430399992</v>
      </c>
      <c r="N28" s="91" ph="1">
        <f>N27*18.322*LOOKUP(N29,密度!$A$2:$A$50,密度!$Q$2:$Q$50)</f>
        <v>97400.188796479997</v>
      </c>
      <c r="O28" s="91" ph="1">
        <f>O27*18.322*LOOKUP(O29,密度!$A$2:$A$50,密度!$C$2:$C$50)</f>
        <v>116772.84849599999</v>
      </c>
      <c r="P28" s="91" ph="1">
        <f>P27*11.702*LOOKUP(P29,密度!$A$2:$A$50,密度!$B$2:$B$50)</f>
        <v>5969.2557311999999</v>
      </c>
      <c r="Q28" s="92" ph="1">
        <f>Q27*18.322*LOOKUP(Q29,密度!$A$2:$A$50,密度!$B$2:$B$50)</f>
        <v>35430.204143999996</v>
      </c>
      <c r="R28" s="91" ph="1">
        <f>R27*35.891*LOOKUP(R29,密度!$A$2:$A$50,密度!$C$2:$C$50)</f>
        <v>164345.29097919998</v>
      </c>
      <c r="S28" s="91" ph="1">
        <f>S27*35.891*LOOKUP(S29,密度!$A$2:$A$50,密度!$B$2:$B$50)</f>
        <v>145250.7047232</v>
      </c>
      <c r="T28" s="91" ph="1">
        <f>T27*35.891*LOOKUP(T29,密度!$A$2:$A$50,密度!$Q$2:$Q$50)</f>
        <v>5437.3142232</v>
      </c>
      <c r="U28" s="91" ph="1">
        <f>U27*35.891</f>
        <v>161760.73699999999</v>
      </c>
      <c r="V28" s="91" ph="1">
        <f>V27*47.051*LOOKUP(V29,密度!$A$2:$A$50,密度!$B$2:$B$50)</f>
        <v>140153.8626048</v>
      </c>
      <c r="W28" s="91" ph="1">
        <f>W27*47.051*LOOKUP(W29,密度!$A$2:$A$50,密度!$B$2:$B$50)</f>
        <v>3296.4307008000001</v>
      </c>
      <c r="X28" s="91" ph="1">
        <f>X27*47.051*LOOKUP(X29,密度!$A$2:$A$61,密度!$I$2:$I$61)</f>
        <v>177648.90801700004</v>
      </c>
      <c r="Y28" s="91" ph="1">
        <f>Y27*47.051*LOOKUP(Y29,密度!$A$2:$A$50,密度!$L$2:$L$50)</f>
        <v>358485.52128400002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53" t="s" ph="1">
        <v>179</v>
      </c>
      <c r="D29" s="74">
        <v>25</v>
      </c>
      <c r="E29" s="74">
        <v>25</v>
      </c>
      <c r="F29" s="74">
        <v>16</v>
      </c>
      <c r="G29" s="74">
        <v>15</v>
      </c>
      <c r="H29" s="74">
        <v>16</v>
      </c>
      <c r="I29" s="74">
        <v>17</v>
      </c>
      <c r="J29" s="74">
        <v>15</v>
      </c>
      <c r="K29" s="74">
        <v>15</v>
      </c>
      <c r="L29" s="74">
        <v>16</v>
      </c>
      <c r="M29" s="74">
        <v>16</v>
      </c>
      <c r="N29" s="74">
        <v>18</v>
      </c>
      <c r="O29" s="74">
        <v>16</v>
      </c>
      <c r="P29" s="74">
        <v>16</v>
      </c>
      <c r="Q29" s="93">
        <v>15</v>
      </c>
      <c r="R29" s="74">
        <v>16</v>
      </c>
      <c r="S29" s="74">
        <v>16</v>
      </c>
      <c r="T29" s="74">
        <v>17</v>
      </c>
      <c r="U29" s="74">
        <v>17</v>
      </c>
      <c r="V29" s="74">
        <v>16</v>
      </c>
      <c r="W29" s="74">
        <v>16</v>
      </c>
      <c r="X29" s="74">
        <v>47</v>
      </c>
      <c r="Y29" s="74">
        <v>16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160808.4378596</v>
      </c>
      <c r="E33" s="213" ph="1">
        <f>M10+I10</f>
        <v>72508.704228000017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1522252632456786910111213141516171819202123456789101112131415161718192022232424356789101112131415161718192021222345678910111213141516171819202345678910111213149101516171819222123234567891012131415161711181920212224252345678910111213136[[#This Row],[F25]]</f>
        <v>3880</v>
      </c>
      <c r="G33" s="217" ph="1">
        <f>N19</f>
        <v>17638.321799040001</v>
      </c>
      <c r="H33" s="213" ph="1">
        <f>M19</f>
        <v>46220.711018679998</v>
      </c>
      <c r="I33" s="226" ph="1">
        <v>0</v>
      </c>
      <c r="J33" s="224" ph="1">
        <f>F10+O28</f>
        <v>207152.31710339998</v>
      </c>
      <c r="K33" s="213" ph="1">
        <f>O10+K10+E28+R28</f>
        <v>244786.11062971997</v>
      </c>
      <c r="L33" s="228" ph="1">
        <f>K19</f>
        <v>41008.026653999994</v>
      </c>
      <c r="M33" s="224" ph="1">
        <f>G10+H10+W28+S28+V28+E10+R19+P28+Q28</f>
        <v>579103.19725526008</v>
      </c>
      <c r="N33" s="213" ph="1">
        <f>L10+P10++G28+H28+AD19+AE19</f>
        <v>178040.34904519998</v>
      </c>
      <c r="O33" s="226" ph="1">
        <f>G19</f>
        <v>9174.4568984000016</v>
      </c>
      <c r="P33" s="224" ph="1">
        <f>L19</f>
        <v>6713.9852812199997</v>
      </c>
      <c r="Q33" s="213" ph="1">
        <f>J10+N10</f>
        <v>160209.06100599997</v>
      </c>
      <c r="R33" s="226" ph="1">
        <f>BE23</f>
        <v>890</v>
      </c>
      <c r="S33" s="224" ph="1">
        <f>X28</f>
        <v>177648.90801700004</v>
      </c>
      <c r="T33" s="213" ph="1">
        <f>X19</f>
        <v>9908.6774018399992</v>
      </c>
      <c r="U33" s="234" ph="1">
        <f>BE21</f>
        <v>730</v>
      </c>
      <c r="V33" s="245" ph="1">
        <f ca="1">P19+Q19+S19+M28+N28+J28+D10+AC10+D19+E19+H19+J19+O19+V19+W19+K28+L28</f>
        <v>1285412.1455698502</v>
      </c>
      <c r="W33" s="245" ph="1">
        <f>D28+F28+T28+I28</f>
        <v>15438.536266071998</v>
      </c>
      <c r="X33" s="226" ph="1">
        <f>BE29+BE31</f>
        <v>10200</v>
      </c>
      <c r="Y33" s="247" ph="1">
        <f>+Q10+R10+S10+T10+U10+V10+W10+X10+Y10</f>
        <v>262897.95830759994</v>
      </c>
      <c r="Z33" s="232" ph="1">
        <f>T19+U19+Y28+Z10</f>
        <v>500257.26532182004</v>
      </c>
      <c r="AA33" s="234" ph="1">
        <f>BE19</f>
        <v>1440</v>
      </c>
      <c r="AB33" s="236" ph="1">
        <f>I19</f>
        <v>34189.644452</v>
      </c>
      <c r="AC33" s="238" ph="1">
        <f>AD10+AB19</f>
        <v>107225.373679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1" t="s" ph="1">
        <v>185</v>
      </c>
      <c r="AA36" s="151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466" priority="99">
      <formula>ABS(D$7-D$10)&gt;=1000</formula>
    </cfRule>
  </conditionalFormatting>
  <conditionalFormatting sqref="E4 E6:E11">
    <cfRule type="expression" dxfId="2465" priority="98">
      <formula>ABS(E$7-E$10)&gt;=1000</formula>
    </cfRule>
  </conditionalFormatting>
  <conditionalFormatting sqref="F4:F11">
    <cfRule type="expression" dxfId="2464" priority="97">
      <formula>ABS(F$7-F$10)&gt;=1000</formula>
    </cfRule>
  </conditionalFormatting>
  <conditionalFormatting sqref="G4:G11">
    <cfRule type="expression" dxfId="2463" priority="96">
      <formula>ABS(G$7-G$10)&gt;=1000</formula>
    </cfRule>
  </conditionalFormatting>
  <conditionalFormatting sqref="H4:H11">
    <cfRule type="expression" dxfId="2462" priority="95">
      <formula>ABS(H$7-H$10)&gt;=1000</formula>
    </cfRule>
  </conditionalFormatting>
  <conditionalFormatting sqref="I4:I11">
    <cfRule type="expression" dxfId="2461" priority="94">
      <formula>ABS(I$7-I$10)&gt;=1000</formula>
    </cfRule>
  </conditionalFormatting>
  <conditionalFormatting sqref="J4:J11">
    <cfRule type="expression" dxfId="2460" priority="93">
      <formula>ABS(J$7-J$10)&gt;=1000</formula>
    </cfRule>
  </conditionalFormatting>
  <conditionalFormatting sqref="K4:K11">
    <cfRule type="expression" dxfId="2459" priority="92">
      <formula>ABS(K$7-K$10)&gt;=1000</formula>
    </cfRule>
  </conditionalFormatting>
  <conditionalFormatting sqref="L4:L11">
    <cfRule type="expression" dxfId="2458" priority="91">
      <formula>ABS(L$7-L$10)&gt;=1000</formula>
    </cfRule>
  </conditionalFormatting>
  <conditionalFormatting sqref="M4 M6:M11">
    <cfRule type="expression" dxfId="2457" priority="90">
      <formula>ABS(M$7-M$10)&gt;=1000</formula>
    </cfRule>
  </conditionalFormatting>
  <conditionalFormatting sqref="N4 N6:N11">
    <cfRule type="expression" dxfId="2456" priority="89">
      <formula>ABS(N$7-N$10)&gt;=1000</formula>
    </cfRule>
  </conditionalFormatting>
  <conditionalFormatting sqref="O4 O6:O11">
    <cfRule type="expression" dxfId="2455" priority="88">
      <formula>ABS(O$7-O$10)&gt;=1000</formula>
    </cfRule>
  </conditionalFormatting>
  <conditionalFormatting sqref="P4 P6:P11">
    <cfRule type="expression" dxfId="2454" priority="87">
      <formula>ABS(P$7-P$10)&gt;=1000</formula>
    </cfRule>
  </conditionalFormatting>
  <conditionalFormatting sqref="Q4:Q11">
    <cfRule type="expression" dxfId="2453" priority="86">
      <formula>ABS(Q$7-Q$10)&gt;=1000</formula>
    </cfRule>
  </conditionalFormatting>
  <conditionalFormatting sqref="R4:R11">
    <cfRule type="expression" dxfId="2452" priority="85">
      <formula>ABS(R$7-R$10)&gt;=1000</formula>
    </cfRule>
  </conditionalFormatting>
  <conditionalFormatting sqref="S4:S11">
    <cfRule type="expression" dxfId="2451" priority="84">
      <formula>ABS(S$7-S$10)&gt;=1000</formula>
    </cfRule>
  </conditionalFormatting>
  <conditionalFormatting sqref="T4:T9 T11">
    <cfRule type="expression" dxfId="2450" priority="83">
      <formula>ABS(T$7-T$10)&gt;=1000</formula>
    </cfRule>
  </conditionalFormatting>
  <conditionalFormatting sqref="U4:U9 U11">
    <cfRule type="expression" dxfId="2449" priority="82">
      <formula>ABS(U$7-U$10)&gt;=1000</formula>
    </cfRule>
  </conditionalFormatting>
  <conditionalFormatting sqref="V4:V9 V11">
    <cfRule type="expression" dxfId="2448" priority="81">
      <formula>ABS(V$7-V$10)&gt;=1000</formula>
    </cfRule>
  </conditionalFormatting>
  <conditionalFormatting sqref="W4:W9 W11">
    <cfRule type="expression" dxfId="2447" priority="80">
      <formula>ABS(W$7-W$10)&gt;=1000</formula>
    </cfRule>
  </conditionalFormatting>
  <conditionalFormatting sqref="X4:X9 X11">
    <cfRule type="expression" dxfId="2446" priority="79">
      <formula>ABS(X$7-X$10)&gt;=1000</formula>
    </cfRule>
  </conditionalFormatting>
  <conditionalFormatting sqref="Y4:Y9 Y11">
    <cfRule type="expression" dxfId="2445" priority="78">
      <formula>ABS(Y$7-Y$10)&gt;=1000</formula>
    </cfRule>
  </conditionalFormatting>
  <conditionalFormatting sqref="Z4:Z11">
    <cfRule type="expression" dxfId="2444" priority="77">
      <formula>ABS(Z$7-Z$10)&gt;=1000</formula>
    </cfRule>
  </conditionalFormatting>
  <conditionalFormatting sqref="AA4:AA11">
    <cfRule type="expression" dxfId="2443" priority="76">
      <formula>ABS(AA$7-AA$10)&gt;=1000</formula>
    </cfRule>
  </conditionalFormatting>
  <conditionalFormatting sqref="AB4:AB11">
    <cfRule type="expression" dxfId="2442" priority="75">
      <formula>ABS(AB$7-AB$10)&gt;=1000</formula>
    </cfRule>
  </conditionalFormatting>
  <conditionalFormatting sqref="AC4 AC6:AC11">
    <cfRule type="expression" dxfId="2441" priority="74">
      <formula>ABS(AC$7-AC$10)&gt;=1000</formula>
    </cfRule>
  </conditionalFormatting>
  <conditionalFormatting sqref="AD4:AD11">
    <cfRule type="expression" dxfId="2440" priority="73">
      <formula>ABS(AD$7-AD$10)&gt;=1000</formula>
    </cfRule>
  </conditionalFormatting>
  <conditionalFormatting sqref="AE4 AE6:AE11">
    <cfRule type="expression" dxfId="2439" priority="72">
      <formula>ABS(AE$7-AE$10)&gt;=1000</formula>
    </cfRule>
  </conditionalFormatting>
  <conditionalFormatting sqref="D13:D20">
    <cfRule type="expression" dxfId="2438" priority="71">
      <formula>ABS(D$16-D$19)&gt;=1000</formula>
    </cfRule>
  </conditionalFormatting>
  <conditionalFormatting sqref="E13:E20">
    <cfRule type="expression" dxfId="2437" priority="70">
      <formula>ABS(E$16-E$19)&gt;=1000</formula>
    </cfRule>
  </conditionalFormatting>
  <conditionalFormatting sqref="F13 F15:F20">
    <cfRule type="expression" dxfId="2436" priority="69">
      <formula>ABS(F$16-F$19)&gt;=1000</formula>
    </cfRule>
  </conditionalFormatting>
  <conditionalFormatting sqref="G13:G20">
    <cfRule type="expression" dxfId="2435" priority="68">
      <formula>ABS(G$16-G$19)&gt;=1000</formula>
    </cfRule>
  </conditionalFormatting>
  <conditionalFormatting sqref="H13 H15:H20">
    <cfRule type="expression" dxfId="2434" priority="67">
      <formula>ABS(H$16-H$19)&gt;=1000</formula>
    </cfRule>
  </conditionalFormatting>
  <conditionalFormatting sqref="I13:I20">
    <cfRule type="expression" dxfId="2433" priority="66">
      <formula>ABS(I$16-I$19)&gt;=1000</formula>
    </cfRule>
  </conditionalFormatting>
  <conditionalFormatting sqref="J13:J20">
    <cfRule type="expression" dxfId="2432" priority="65">
      <formula>ABS(J$16-J$19)&gt;=1000</formula>
    </cfRule>
  </conditionalFormatting>
  <conditionalFormatting sqref="L13:L20">
    <cfRule type="expression" dxfId="2431" priority="64">
      <formula>ABS(L$16-L$19)&gt;=1000</formula>
    </cfRule>
  </conditionalFormatting>
  <conditionalFormatting sqref="M13 M15 M17:M18 M20">
    <cfRule type="expression" dxfId="2430" priority="63">
      <formula>ABS(M$16-M$19)&gt;=1000</formula>
    </cfRule>
  </conditionalFormatting>
  <conditionalFormatting sqref="N13:N20">
    <cfRule type="expression" dxfId="2429" priority="62">
      <formula>ABS(N$16-N$19)&gt;=1000</formula>
    </cfRule>
  </conditionalFormatting>
  <conditionalFormatting sqref="O13:O20">
    <cfRule type="expression" dxfId="2428" priority="61">
      <formula>ABS(O$16-O$19)&gt;=1000</formula>
    </cfRule>
  </conditionalFormatting>
  <conditionalFormatting sqref="P13:P20">
    <cfRule type="expression" dxfId="2427" priority="60">
      <formula>ABS(P$16-P$19)&gt;=1000</formula>
    </cfRule>
  </conditionalFormatting>
  <conditionalFormatting sqref="Q13 Q15:Q20">
    <cfRule type="expression" dxfId="2426" priority="59">
      <formula>ABS(Q$16-Q$19)&gt;=1000</formula>
    </cfRule>
  </conditionalFormatting>
  <conditionalFormatting sqref="R13:R20">
    <cfRule type="expression" dxfId="2425" priority="58">
      <formula>ABS(R$16-R$19)&gt;=1000</formula>
    </cfRule>
  </conditionalFormatting>
  <conditionalFormatting sqref="S13:S20">
    <cfRule type="expression" dxfId="2424" priority="57">
      <formula>ABS(S$16-S$19)&gt;=1000</formula>
    </cfRule>
  </conditionalFormatting>
  <conditionalFormatting sqref="T13:T20">
    <cfRule type="expression" dxfId="2423" priority="56">
      <formula>ABS(T$16-T$19)&gt;=1000</formula>
    </cfRule>
  </conditionalFormatting>
  <conditionalFormatting sqref="U13:U20">
    <cfRule type="expression" dxfId="2422" priority="55">
      <formula>ABS(U$16-U$19)&gt;=1000</formula>
    </cfRule>
  </conditionalFormatting>
  <conditionalFormatting sqref="V13:V20">
    <cfRule type="expression" dxfId="2421" priority="54">
      <formula>ABS(V$16-V$19)&gt;=1000</formula>
    </cfRule>
  </conditionalFormatting>
  <conditionalFormatting sqref="W13 W20 W15:W18">
    <cfRule type="expression" dxfId="2420" priority="53">
      <formula>ABS(W$16-W$19)&gt;=1000</formula>
    </cfRule>
  </conditionalFormatting>
  <conditionalFormatting sqref="X13 X15:X20 Y19">
    <cfRule type="expression" dxfId="2419" priority="52">
      <formula>ABS(X$16-X$19)&gt;=1000</formula>
    </cfRule>
  </conditionalFormatting>
  <conditionalFormatting sqref="Y13 Y15:Y18 Y20">
    <cfRule type="expression" dxfId="2418" priority="51">
      <formula>ABS(Y$16-Y$19)&gt;=1000</formula>
    </cfRule>
  </conditionalFormatting>
  <conditionalFormatting sqref="Z13:Z20">
    <cfRule type="expression" dxfId="2417" priority="50">
      <formula>ABS(Z$16-Z$19)&gt;=1000</formula>
    </cfRule>
  </conditionalFormatting>
  <conditionalFormatting sqref="AA13:AA20">
    <cfRule type="expression" dxfId="2416" priority="49">
      <formula>ABS(AA$16-AA$19)&gt;=1000</formula>
    </cfRule>
  </conditionalFormatting>
  <conditionalFormatting sqref="AB13 AB15:AB20">
    <cfRule type="expression" dxfId="2415" priority="48">
      <formula>ABS(AB$16-AB$19)&gt;=1000</formula>
    </cfRule>
  </conditionalFormatting>
  <conditionalFormatting sqref="AC13 AC15:AC20">
    <cfRule type="expression" dxfId="2414" priority="47">
      <formula>ABS(AC$16-AC$19)&gt;=1000</formula>
    </cfRule>
  </conditionalFormatting>
  <conditionalFormatting sqref="AD13:AD20">
    <cfRule type="expression" dxfId="2413" priority="46">
      <formula>ABS(AD$16-AD$19)&gt;=1000</formula>
    </cfRule>
  </conditionalFormatting>
  <conditionalFormatting sqref="AE13:AE20">
    <cfRule type="expression" dxfId="2412" priority="45">
      <formula>ABS(AE$16-AE$19)&gt;=1000</formula>
    </cfRule>
  </conditionalFormatting>
  <conditionalFormatting sqref="D22:D29">
    <cfRule type="expression" dxfId="2411" priority="44">
      <formula>ABS(D$25-D$28)&gt;=1000</formula>
    </cfRule>
  </conditionalFormatting>
  <conditionalFormatting sqref="E22:E29">
    <cfRule type="expression" dxfId="2410" priority="43">
      <formula>ABS(E$25-E$28)&gt;=1000</formula>
    </cfRule>
  </conditionalFormatting>
  <conditionalFormatting sqref="F22:F29">
    <cfRule type="expression" dxfId="2409" priority="42">
      <formula>ABS(F$25-F$28)&gt;=1000</formula>
    </cfRule>
  </conditionalFormatting>
  <conditionalFormatting sqref="G22:G29">
    <cfRule type="expression" dxfId="2408" priority="41">
      <formula>ABS(G$25-G$28)&gt;=1000</formula>
    </cfRule>
  </conditionalFormatting>
  <conditionalFormatting sqref="H22:H29">
    <cfRule type="expression" dxfId="2407" priority="40">
      <formula>ABS(H$25-H$28)&gt;=1000</formula>
    </cfRule>
  </conditionalFormatting>
  <conditionalFormatting sqref="I22 I24:I29">
    <cfRule type="expression" dxfId="2406" priority="39">
      <formula>ABS(I$25-I$28)&gt;=1000</formula>
    </cfRule>
  </conditionalFormatting>
  <conditionalFormatting sqref="J22:J29 K22">
    <cfRule type="expression" dxfId="2405" priority="38">
      <formula>ABS(J$25-J$28)&gt;=1000</formula>
    </cfRule>
  </conditionalFormatting>
  <conditionalFormatting sqref="K23:K29 L25 L28">
    <cfRule type="expression" dxfId="2404" priority="37">
      <formula>ABS(K$25-K$28)&gt;=1000</formula>
    </cfRule>
  </conditionalFormatting>
  <conditionalFormatting sqref="L22 L26:L27 L29 L24">
    <cfRule type="expression" dxfId="2403" priority="36">
      <formula>ABS(L$25-L$28)&gt;=1000</formula>
    </cfRule>
  </conditionalFormatting>
  <conditionalFormatting sqref="M22:M29">
    <cfRule type="expression" dxfId="2402" priority="35">
      <formula>ABS(M$25-M$28)&gt;=1000</formula>
    </cfRule>
  </conditionalFormatting>
  <conditionalFormatting sqref="N22:N29">
    <cfRule type="expression" dxfId="2401" priority="34">
      <formula>ABS(N$25-N$28)&gt;=1000</formula>
    </cfRule>
  </conditionalFormatting>
  <conditionalFormatting sqref="O22:O29">
    <cfRule type="expression" dxfId="2400" priority="33">
      <formula>ABS(O$25-O$28)&gt;=1000</formula>
    </cfRule>
  </conditionalFormatting>
  <conditionalFormatting sqref="P22:P29">
    <cfRule type="expression" dxfId="2399" priority="32">
      <formula>ABS(P$25-P$28)&gt;=1000</formula>
    </cfRule>
  </conditionalFormatting>
  <conditionalFormatting sqref="Q22:Q29">
    <cfRule type="expression" dxfId="2398" priority="31">
      <formula>ABS(Q$25-Q$28)&gt;=1000</formula>
    </cfRule>
  </conditionalFormatting>
  <conditionalFormatting sqref="R22:R29">
    <cfRule type="expression" dxfId="2397" priority="30">
      <formula>ABS(R$25-R$28)&gt;=1000</formula>
    </cfRule>
  </conditionalFormatting>
  <conditionalFormatting sqref="S22:S29">
    <cfRule type="expression" dxfId="2396" priority="29">
      <formula>ABS(S$25-S$28)&gt;=1000</formula>
    </cfRule>
  </conditionalFormatting>
  <conditionalFormatting sqref="T22:T29">
    <cfRule type="expression" dxfId="2395" priority="28">
      <formula>ABS(T$25-T$28)&gt;=1000</formula>
    </cfRule>
  </conditionalFormatting>
  <conditionalFormatting sqref="U22:U29">
    <cfRule type="expression" dxfId="2394" priority="27">
      <formula>ABS(U$25-U$28)&gt;=1000</formula>
    </cfRule>
  </conditionalFormatting>
  <conditionalFormatting sqref="V22:V29">
    <cfRule type="expression" dxfId="2393" priority="26">
      <formula>ABS(V$25-V$28)&gt;=1000</formula>
    </cfRule>
  </conditionalFormatting>
  <conditionalFormatting sqref="W22:W29">
    <cfRule type="expression" dxfId="2392" priority="25">
      <formula>ABS(W$25-W$28)&gt;=1000</formula>
    </cfRule>
  </conditionalFormatting>
  <conditionalFormatting sqref="X22:X29">
    <cfRule type="expression" dxfId="2391" priority="24">
      <formula>ABS(X$25-X$28)&gt;=1000</formula>
    </cfRule>
  </conditionalFormatting>
  <conditionalFormatting sqref="Y22:Y29">
    <cfRule type="expression" dxfId="2390" priority="23">
      <formula>ABS(Y$25-Y$28)&gt;=1000</formula>
    </cfRule>
  </conditionalFormatting>
  <conditionalFormatting sqref="I23">
    <cfRule type="expression" dxfId="2389" priority="22">
      <formula>ABS(I$25-I$28)&gt;=1000</formula>
    </cfRule>
  </conditionalFormatting>
  <conditionalFormatting sqref="Q14">
    <cfRule type="expression" dxfId="2388" priority="21">
      <formula>ABS(Q$16-Q$19)&gt;=1000</formula>
    </cfRule>
  </conditionalFormatting>
  <conditionalFormatting sqref="W14">
    <cfRule type="expression" dxfId="2387" priority="20">
      <formula>ABS(W$16-W$19)&gt;=1000</formula>
    </cfRule>
  </conditionalFormatting>
  <conditionalFormatting sqref="Y14">
    <cfRule type="expression" dxfId="2386" priority="19">
      <formula>ABS(Y$16-Y$19)&gt;=1000</formula>
    </cfRule>
  </conditionalFormatting>
  <conditionalFormatting sqref="X14">
    <cfRule type="expression" dxfId="2385" priority="18">
      <formula>ABS(X$16-X$19)&gt;=1000</formula>
    </cfRule>
  </conditionalFormatting>
  <conditionalFormatting sqref="T10:Y10">
    <cfRule type="expression" dxfId="2384" priority="17">
      <formula>ABS(T$7-T$10)&gt;=1000</formula>
    </cfRule>
  </conditionalFormatting>
  <conditionalFormatting sqref="W19">
    <cfRule type="expression" dxfId="2383" priority="16">
      <formula>ABS(W$16-W$19)&gt;=1000</formula>
    </cfRule>
  </conditionalFormatting>
  <conditionalFormatting sqref="AC5">
    <cfRule type="expression" dxfId="2382" priority="15">
      <formula>ABS(AC$7-AC$10)&gt;=1000</formula>
    </cfRule>
  </conditionalFormatting>
  <conditionalFormatting sqref="M14">
    <cfRule type="expression" dxfId="2381" priority="14">
      <formula>ABS(M$16-M$19)&gt;=1000</formula>
    </cfRule>
  </conditionalFormatting>
  <conditionalFormatting sqref="M16">
    <cfRule type="expression" dxfId="2380" priority="13">
      <formula>ABS(M$16-M$19)&gt;=1000</formula>
    </cfRule>
  </conditionalFormatting>
  <conditionalFormatting sqref="M19">
    <cfRule type="expression" dxfId="2379" priority="12">
      <formula>ABS(M$16-M$19)&gt;=1000</formula>
    </cfRule>
  </conditionalFormatting>
  <conditionalFormatting sqref="K13:K20">
    <cfRule type="expression" dxfId="2378" priority="11">
      <formula>ABS(K$16-K$19)&gt;=1000</formula>
    </cfRule>
  </conditionalFormatting>
  <conditionalFormatting sqref="E5">
    <cfRule type="expression" dxfId="2377" priority="10">
      <formula>ABS(E$7-E$10)&gt;=1000</formula>
    </cfRule>
  </conditionalFormatting>
  <conditionalFormatting sqref="AB14:AC14">
    <cfRule type="expression" dxfId="2376" priority="9">
      <formula>ABS(AB$16-AB$19)&gt;=1000</formula>
    </cfRule>
  </conditionalFormatting>
  <conditionalFormatting sqref="M5">
    <cfRule type="expression" dxfId="2375" priority="8">
      <formula>ABS(M$7-M$10)&gt;=1000</formula>
    </cfRule>
  </conditionalFormatting>
  <conditionalFormatting sqref="N5">
    <cfRule type="expression" dxfId="2374" priority="7">
      <formula>ABS(N$7-N$10)&gt;=1000</formula>
    </cfRule>
  </conditionalFormatting>
  <conditionalFormatting sqref="O5">
    <cfRule type="expression" dxfId="2373" priority="6">
      <formula>ABS(O$7-O$10)&gt;=1000</formula>
    </cfRule>
  </conditionalFormatting>
  <conditionalFormatting sqref="P5">
    <cfRule type="expression" dxfId="2372" priority="5">
      <formula>ABS(P$7-P$10)&gt;=1000</formula>
    </cfRule>
  </conditionalFormatting>
  <conditionalFormatting sqref="L23">
    <cfRule type="expression" dxfId="2371" priority="4">
      <formula>ABS(L$25-L$28)&gt;=1000</formula>
    </cfRule>
  </conditionalFormatting>
  <conditionalFormatting sqref="F14">
    <cfRule type="expression" dxfId="2370" priority="3">
      <formula>ABS(F$16-F$19)&gt;=1000</formula>
    </cfRule>
  </conditionalFormatting>
  <conditionalFormatting sqref="AE5">
    <cfRule type="expression" dxfId="2369" priority="2">
      <formula>ABS(AE$25-AE$28)&gt;=1000</formula>
    </cfRule>
  </conditionalFormatting>
  <conditionalFormatting sqref="H14">
    <cfRule type="expression" dxfId="2368" priority="1">
      <formula>ABS(H$7-H$10)&gt;=1000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48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1">
    <pageSetUpPr fitToPage="1"/>
  </sheetPr>
  <dimension ref="A1:CU223"/>
  <sheetViews>
    <sheetView view="pageBreakPreview" topLeftCell="A13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46029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63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53" t="s" ph="1">
        <v>177</v>
      </c>
      <c r="D6" s="71">
        <v>6604</v>
      </c>
      <c r="E6" s="71">
        <v>0</v>
      </c>
      <c r="F6" s="71">
        <v>2441</v>
      </c>
      <c r="G6" s="71">
        <v>3567</v>
      </c>
      <c r="H6" s="71">
        <v>2999</v>
      </c>
      <c r="I6" s="71">
        <v>0</v>
      </c>
      <c r="J6" s="71">
        <v>6.61</v>
      </c>
      <c r="K6" s="71">
        <v>7.41</v>
      </c>
      <c r="L6" s="71">
        <v>32.909999999999997</v>
      </c>
      <c r="M6" s="71">
        <v>2109</v>
      </c>
      <c r="N6" s="71">
        <v>5864</v>
      </c>
      <c r="O6" s="71">
        <v>3292</v>
      </c>
      <c r="P6" s="71">
        <v>2100</v>
      </c>
      <c r="Q6" s="71">
        <v>7002</v>
      </c>
      <c r="R6" s="71">
        <v>7004</v>
      </c>
      <c r="S6" s="71">
        <v>5929</v>
      </c>
      <c r="T6" s="71">
        <v>0</v>
      </c>
      <c r="U6" s="71">
        <v>0</v>
      </c>
      <c r="V6" s="71">
        <v>0</v>
      </c>
      <c r="W6" s="71">
        <v>3262</v>
      </c>
      <c r="X6" s="71">
        <v>6986</v>
      </c>
      <c r="Y6" s="71">
        <v>5275</v>
      </c>
      <c r="Z6" s="71">
        <v>3898</v>
      </c>
      <c r="AA6" s="71">
        <v>2880</v>
      </c>
      <c r="AB6" s="71">
        <v>2904</v>
      </c>
      <c r="AC6" s="71">
        <v>8482</v>
      </c>
      <c r="AD6" s="71">
        <v>4780</v>
      </c>
      <c r="AE6" s="71">
        <v>2854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208266.77880216</v>
      </c>
      <c r="E7" s="73" ph="1">
        <f>E6*51.53*LOOKUP(E8,密度!$A$2:$A$50,密度!$B$2:$B$50)</f>
        <v>0</v>
      </c>
      <c r="F7" s="73" ph="1">
        <f>F6*33.183*LOOKUP(F8,密度!$A$2:$A$50,密度!$C$2:$C$50)</f>
        <v>90509.068132199987</v>
      </c>
      <c r="G7" s="73" ph="1">
        <f xml:space="preserve"> (G6+2)*51.53*LOOKUP(G8,密度!$A$2:$A$50,密度!$B$2:$B$50)</f>
        <v>145087.04867300001</v>
      </c>
      <c r="H7" s="73" ph="1">
        <f>(H6)*51.53*LOOKUP(H8,密度!$A$2:$A$50,密度!$B$2:$B$50)</f>
        <v>122440.82978100001</v>
      </c>
      <c r="I7" s="73" ph="1">
        <f>I6*290.8*1.0267</f>
        <v>0</v>
      </c>
      <c r="J7" s="73" ph="1">
        <f>J6*290.8*0.7892</f>
        <v>1516.9907696</v>
      </c>
      <c r="K7" s="73" ph="1">
        <f>K6*290.8*1.1126</f>
        <v>2397.4616328000002</v>
      </c>
      <c r="L7" s="73" ph="1">
        <f>L6*290.8*0.777</f>
        <v>7436.0671559999992</v>
      </c>
      <c r="M7" s="73" ph="1">
        <f>M6*33.183*LOOKUP(M8,密度!$A$2:$A$50,密度!$D$2:$D$50)</f>
        <v>72600.309217800008</v>
      </c>
      <c r="N7" s="73" ph="1">
        <f>N6*33.183*LOOKUP(N8,密度!$A$2:$A$50,密度!$E$2:$E$50)</f>
        <v>154208.70126</v>
      </c>
      <c r="O7" s="73" ph="1">
        <f>O6*20.428*LOOKUP(O8,密度!$A$2:$A$50,密度!$C$2:$C$50)</f>
        <v>74908.634366400001</v>
      </c>
      <c r="P7" s="73" ph="1">
        <f>P6*51.53*LOOKUP(P8,密度!$A$2:$A$50,密度!$B$2:$B$50)</f>
        <v>85455.806100000002</v>
      </c>
      <c r="Q7" s="73" ph="1">
        <f>Q6*1.5*1.5*3.1416*LOOKUP(W8,密度!$A$2:$A$50,密度!$L$2:$L$50)</f>
        <v>46821.642991200002</v>
      </c>
      <c r="R7" s="73" ph="1">
        <f>R6*1.5*1.5*3.1416*LOOKUP(R8,密度!$A$2:$A$50,密度!$L$2:$L$50)</f>
        <v>46636.982884799996</v>
      </c>
      <c r="S7" s="73" ph="1">
        <f>S6*1.5*1.5*3.1416*LOOKUP(S8,密度!$A$2:$A$50,密度!$L$2:$L$50)</f>
        <v>39898.062388799997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21812.653447199998</v>
      </c>
      <c r="X7" s="73" ph="1">
        <f>X6*1.5*1.5*3.1416*LOOKUP(X8,密度!$A$2:$A$50,密度!$L$2:$L$50)</f>
        <v>47257.846297199998</v>
      </c>
      <c r="Y7" s="73" ph="1">
        <f>Y6*1.5*1.5*3.1416*LOOKUP(Y8,密度!$A$2:$A$50,密度!$L$2:$L$50)</f>
        <v>35310.661154999994</v>
      </c>
      <c r="Z7" s="73" ph="1">
        <f>Z6*33.183*LOOKUP(Z8,密度!$A$2:$A$50,密度!$L$2:$L$50)</f>
        <v>122879.9673</v>
      </c>
      <c r="AA7" s="73" ph="1">
        <f>AA6*33.183*LOOKUP(AA8,密度!$A$2:$A$50,密度!$D$2:$D$50)</f>
        <v>99141.247296000001</v>
      </c>
      <c r="AB7" s="73" ph="1">
        <f>AB6*20.428*LOOKUP(AB8,密度!$A$2:$A$50,密度!$D$2:$D$50)</f>
        <v>61909.390963200007</v>
      </c>
      <c r="AC7" s="73" ph="1">
        <f>AC6*51.53*LOOKUP(AC8,密度!$A$2:$A$50,密度!$Q$2:$Q$50)</f>
        <v>417207.91866840003</v>
      </c>
      <c r="AD7" s="73" ph="1">
        <f>AD6*20.428*LOOKUP(AD8,密度!$A$2:$A$50,密度!$V$2:$V$50)</f>
        <v>94130.589760000003</v>
      </c>
      <c r="AE7" s="73" ph="1">
        <f>AE6*20.428</f>
        <v>58301.512000000002</v>
      </c>
    </row>
    <row r="8" spans="1:99" ph="1">
      <c r="B8" s="191" ph="1"/>
      <c r="C8" s="68" t="s" ph="1">
        <v>179</v>
      </c>
      <c r="D8" s="74">
        <v>20</v>
      </c>
      <c r="E8" s="74">
        <v>11</v>
      </c>
      <c r="F8" s="74">
        <v>13</v>
      </c>
      <c r="G8" s="74">
        <v>14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17</v>
      </c>
      <c r="O8" s="74">
        <v>18</v>
      </c>
      <c r="P8" s="74">
        <v>13</v>
      </c>
      <c r="Q8" s="74">
        <v>16</v>
      </c>
      <c r="R8" s="74">
        <v>20</v>
      </c>
      <c r="S8" s="74">
        <v>10</v>
      </c>
      <c r="T8" s="74">
        <v>8</v>
      </c>
      <c r="U8" s="74">
        <v>13</v>
      </c>
      <c r="V8" s="74">
        <v>18</v>
      </c>
      <c r="W8" s="74">
        <v>16</v>
      </c>
      <c r="X8" s="74">
        <v>5</v>
      </c>
      <c r="Y8" s="74">
        <v>15</v>
      </c>
      <c r="Z8" s="74">
        <v>12</v>
      </c>
      <c r="AA8" s="74">
        <v>13</v>
      </c>
      <c r="AB8" s="74">
        <v>6</v>
      </c>
      <c r="AC8" s="74">
        <v>10</v>
      </c>
      <c r="AD8" s="74">
        <v>12</v>
      </c>
      <c r="AE8" s="74">
        <v>13</v>
      </c>
    </row>
    <row r="9" spans="1:99" ph="1">
      <c r="B9" s="191" ph="1">
        <v>0.66666666666666663</v>
      </c>
      <c r="C9" s="153" t="s" ph="1">
        <v>180</v>
      </c>
      <c r="D9" s="71">
        <v>7008</v>
      </c>
      <c r="E9" s="71">
        <v>0</v>
      </c>
      <c r="F9" s="71">
        <v>2441</v>
      </c>
      <c r="G9" s="71">
        <v>5115</v>
      </c>
      <c r="H9" s="71">
        <v>2765</v>
      </c>
      <c r="I9" s="71">
        <v>0</v>
      </c>
      <c r="J9" s="71">
        <v>6.81</v>
      </c>
      <c r="K9" s="71">
        <v>7.41</v>
      </c>
      <c r="L9" s="71">
        <v>19.11</v>
      </c>
      <c r="M9" s="71">
        <v>2108</v>
      </c>
      <c r="N9" s="71">
        <v>5812</v>
      </c>
      <c r="O9" s="71">
        <v>3291</v>
      </c>
      <c r="P9" s="71">
        <v>2024</v>
      </c>
      <c r="Q9" s="71">
        <v>7003</v>
      </c>
      <c r="R9" s="71">
        <v>7004</v>
      </c>
      <c r="S9" s="71">
        <v>5929</v>
      </c>
      <c r="T9" s="71">
        <v>5406</v>
      </c>
      <c r="U9" s="71">
        <v>0</v>
      </c>
      <c r="V9" s="71">
        <v>0</v>
      </c>
      <c r="W9" s="71">
        <v>0</v>
      </c>
      <c r="X9" s="71">
        <v>5492</v>
      </c>
      <c r="Y9" s="71">
        <v>5279</v>
      </c>
      <c r="Z9" s="71">
        <v>4900</v>
      </c>
      <c r="AA9" s="71">
        <v>2879</v>
      </c>
      <c r="AB9" s="71">
        <v>2902</v>
      </c>
      <c r="AC9" s="71">
        <v>8607</v>
      </c>
      <c r="AD9" s="71">
        <v>4780</v>
      </c>
      <c r="AE9" s="71">
        <v>2722</v>
      </c>
    </row>
    <row r="10" spans="1:99" s="72" customFormat="1" ht="22.5" ph="1">
      <c r="B10" s="191" ph="1"/>
      <c r="C10" s="153" t="s" ph="1">
        <v>178</v>
      </c>
      <c r="D10" s="73" ph="1">
        <f>D9*33.183*LOOKUP(D11,密度!$A$2:$A$50,密度!$Q$2:$Q$50)</f>
        <v>220847.05139616001</v>
      </c>
      <c r="E10" s="73" ph="1">
        <f>E9*51.53*LOOKUP(E11,密度!$A$2:$A$50,密度!$B$2:$B$50)</f>
        <v>0</v>
      </c>
      <c r="F10" s="73" ph="1">
        <f>F9*33.183*LOOKUP(F11,密度!$A$2:$A$50,密度!$C$2:$C$50)</f>
        <v>90444.268369799989</v>
      </c>
      <c r="G10" s="73" ph="1">
        <f xml:space="preserve"> (G9+2)*51.53*LOOKUP(G11,密度!$A$2:$A$50,密度!$B$2:$B$50)</f>
        <v>207779.05988000002</v>
      </c>
      <c r="H10" s="73" ph="1">
        <f>(H9)*51.53*LOOKUP(H11,密度!$A$2:$A$50,密度!$B$2:$B$50)</f>
        <v>112516.811365</v>
      </c>
      <c r="I10" s="73" ph="1">
        <f>I9*290.8*1.0267</f>
        <v>0</v>
      </c>
      <c r="J10" s="73" ph="1">
        <f>J9*290.8*0.7892</f>
        <v>1562.8906416</v>
      </c>
      <c r="K10" s="73" ph="1">
        <f>K9*290.8*1.1126</f>
        <v>2397.4616328000002</v>
      </c>
      <c r="L10" s="73" ph="1">
        <f>L9*290.8*0.777</f>
        <v>4317.9350760000007</v>
      </c>
      <c r="M10" s="73" ph="1">
        <f>M9*33.183*LOOKUP(M11,密度!$A$2:$A$50,密度!$D$2:$D$50)</f>
        <v>72439.975598400008</v>
      </c>
      <c r="N10" s="73" ph="1">
        <f>N9*33.183*LOOKUP(N11,密度!$A$2:$A$50,密度!$E$2:$E$50)</f>
        <v>152841.22983</v>
      </c>
      <c r="O10" s="73" ph="1">
        <f>O9*20.428*LOOKUP(O11,密度!$A$2:$A$50,密度!$C$2:$C$50)</f>
        <v>74838.819633600011</v>
      </c>
      <c r="P10" s="73" ph="1">
        <f>P9*51.53*LOOKUP(P11,密度!$A$2:$A$50,密度!$B$2:$B$50)</f>
        <v>82102.377984000006</v>
      </c>
      <c r="Q10" s="73" ph="1">
        <f>Q9*1.5*1.5*3.1416*LOOKUP(W11,密度!$A$2:$A$50,密度!$L$2:$L$50)</f>
        <v>46630.3242636</v>
      </c>
      <c r="R10" s="73" ph="1">
        <f>R9*1.5*1.5*3.1416*LOOKUP(R11,密度!$A$2:$A$50,密度!$L$2:$L$50)</f>
        <v>46587.474410399998</v>
      </c>
      <c r="S10" s="73" ph="1">
        <f>S9*1.5*1.5*3.1416*LOOKUP(S11,密度!$A$2:$A$50,密度!$L$2:$L$50)</f>
        <v>39772.333200599998</v>
      </c>
      <c r="T10" s="73" ph="1">
        <f>T9*1.5*1.5*3.1416*LOOKUP(T11,密度!$A$2:$A$50,密度!$L$2:$L$50)</f>
        <v>36263.996168400001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37073.817395999999</v>
      </c>
      <c r="Y10" s="73" ph="1">
        <f>Y9*1.5*1.5*3.1416*LOOKUP(Y11,密度!$A$2:$A$50,密度!$L$2:$L$50)</f>
        <v>35337.437011800001</v>
      </c>
      <c r="Z10" s="73" ph="1">
        <f>Z9*33.183*LOOKUP(Z11,密度!$A$2:$A$50,密度!$L$2:$L$50)</f>
        <v>153979.07490000001</v>
      </c>
      <c r="AA10" s="73" ph="1">
        <f>AA9*33.183*LOOKUP(AA11,密度!$A$2:$A$50,密度!$D$2:$D$50)</f>
        <v>98934.862309200005</v>
      </c>
      <c r="AB10" s="73" ph="1">
        <f>AB9*20.428*LOOKUP(AB11,密度!$A$2:$A$50,密度!$D$2:$D$50)</f>
        <v>61760.04594080001</v>
      </c>
      <c r="AC10" s="73" ph="1">
        <f>AC9*51.53*LOOKUP(AC11,密度!$A$2:$A$50,密度!$Q$2:$Q$50)</f>
        <v>423356.34944340005</v>
      </c>
      <c r="AD10" s="73" ph="1">
        <f>AD9*20.428*LOOKUP(AD11,密度!$A$2:$A$50,密度!$V$2:$V$50)</f>
        <v>94130.589760000003</v>
      </c>
      <c r="AE10" s="73" ph="1">
        <f>AE9*20.428</f>
        <v>55605.016000000003</v>
      </c>
    </row>
    <row r="11" spans="1:99" ph="1">
      <c r="A11" s="64" t="s" ph="1">
        <v>162</v>
      </c>
      <c r="B11" s="191" ph="1"/>
      <c r="C11" s="153" t="s" ph="1">
        <v>179</v>
      </c>
      <c r="D11" s="74">
        <v>21</v>
      </c>
      <c r="E11" s="74">
        <v>14</v>
      </c>
      <c r="F11" s="74">
        <v>14</v>
      </c>
      <c r="G11" s="74">
        <v>15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17</v>
      </c>
      <c r="O11" s="74">
        <v>19</v>
      </c>
      <c r="P11" s="74">
        <v>16</v>
      </c>
      <c r="Q11" s="74">
        <v>17</v>
      </c>
      <c r="R11" s="74">
        <v>21</v>
      </c>
      <c r="S11" s="74">
        <v>13</v>
      </c>
      <c r="T11" s="74">
        <v>13</v>
      </c>
      <c r="U11" s="74">
        <v>15</v>
      </c>
      <c r="V11" s="74">
        <v>21</v>
      </c>
      <c r="W11" s="74">
        <v>20</v>
      </c>
      <c r="X11" s="74">
        <v>7</v>
      </c>
      <c r="Y11" s="74">
        <v>15</v>
      </c>
      <c r="Z11" s="74">
        <v>15</v>
      </c>
      <c r="AA11" s="74">
        <v>15</v>
      </c>
      <c r="AB11" s="74">
        <v>8</v>
      </c>
      <c r="AC11" s="74">
        <v>13</v>
      </c>
      <c r="AD11" s="74">
        <v>14</v>
      </c>
      <c r="AE11" s="74">
        <v>16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5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0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636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53" t="s" ph="1">
        <v>177</v>
      </c>
      <c r="D15" s="78">
        <v>885</v>
      </c>
      <c r="E15" s="78">
        <v>5747</v>
      </c>
      <c r="F15" s="78">
        <v>2043</v>
      </c>
      <c r="G15" s="78">
        <v>1417</v>
      </c>
      <c r="H15" s="78">
        <v>2241</v>
      </c>
      <c r="I15" s="78">
        <v>3661</v>
      </c>
      <c r="J15" s="78">
        <v>0</v>
      </c>
      <c r="K15" s="78">
        <v>4049</v>
      </c>
      <c r="L15" s="78">
        <v>929</v>
      </c>
      <c r="M15" s="78">
        <v>6726</v>
      </c>
      <c r="N15" s="78">
        <v>1171</v>
      </c>
      <c r="O15" s="78">
        <v>3040</v>
      </c>
      <c r="P15" s="78">
        <v>5168</v>
      </c>
      <c r="Q15" s="78">
        <v>7178</v>
      </c>
      <c r="R15" s="78">
        <v>4875</v>
      </c>
      <c r="S15" s="78">
        <v>6380</v>
      </c>
      <c r="T15" s="78">
        <v>5879</v>
      </c>
      <c r="U15" s="78">
        <v>1212</v>
      </c>
      <c r="V15" s="78">
        <v>1726</v>
      </c>
      <c r="W15" s="71">
        <v>-817</v>
      </c>
      <c r="X15" s="78">
        <v>451</v>
      </c>
      <c r="Y15" s="106">
        <v>-9900</v>
      </c>
      <c r="Z15" s="78">
        <v>0</v>
      </c>
      <c r="AA15" s="78">
        <v>10</v>
      </c>
      <c r="AB15" s="78" ph="1">
        <v>1526</v>
      </c>
      <c r="AC15" s="78" ph="1">
        <v>0</v>
      </c>
      <c r="AD15" s="78">
        <v>40.409999999999997</v>
      </c>
      <c r="AE15" s="78">
        <v>5.61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53" t="s" ph="1">
        <v>178</v>
      </c>
      <c r="D16" s="73" ph="1">
        <f>D15*7.0686*LOOKUP(D17,密度!$A$2:$A$50,密度!$L$2:$L$50)</f>
        <v>5942.9254499999997</v>
      </c>
      <c r="E16" s="73" ph="1">
        <f>E15*7.0686*LOOKUP(E17,密度!$A$2:$A$50,密度!$L$2:$L$50)</f>
        <v>38592.081989999999</v>
      </c>
      <c r="F16" s="73" ph="1">
        <f>F15*9.0746*LOOKUP(F17,密度!$A$2:$A$50,密度!$L$2:$L$50)</f>
        <v>17538.279778799999</v>
      </c>
      <c r="G16" s="73" ph="1">
        <f>G15*9.0746*LOOKUP(G17,密度!$A$2:$A$50,密度!$B$2:$B$50)</f>
        <v>10154.52186554</v>
      </c>
      <c r="H16" s="73" ph="1">
        <f>H15*9.0746*LOOKUP(H17,密度!$A$2:$A$50,密度!$L$2:$L$50)</f>
        <v>19360.042027199997</v>
      </c>
      <c r="I16" s="73" ph="1">
        <f>I15*9.0746*LOOKUP(I17,密度!$A$2:$A$50,密度!$U$2:$U$50)</f>
        <v>34152.3296968</v>
      </c>
      <c r="J16" s="73" ph="1">
        <f>J15*9.0746*LOOKUP(J17,密度!$A$2:$A$50,密度!$L$2:$L$50)</f>
        <v>0</v>
      </c>
      <c r="K16" s="73" ph="1">
        <f>K15*9.0746*LOOKUP(K17,密度!$A$2:$A$50,密度!$C$2:$C$50)</f>
        <v>41086.08454828</v>
      </c>
      <c r="L16" s="73" ph="1">
        <f>L15*9.0746*LOOKUP(L17,密度!$A$2:$A$50,密度!$E$2:$E$50)</f>
        <v>6757.7312054399999</v>
      </c>
      <c r="M16" s="73" ph="1">
        <f>M15*9.0746*LOOKUP(M17,密度!$A$2:$A$50,密度!$M$2:$M$50)</f>
        <v>53729.779175880001</v>
      </c>
      <c r="N16" s="73" ph="1">
        <f>N15*9.0746*LOOKUP(N17,密度!$A$2:$A$50,密度!$M$2:$M$50)</f>
        <v>9354.3817149799997</v>
      </c>
      <c r="O16" s="73" ph="1">
        <f>O15*9.0746*LOOKUP(O17,密度!$A$2:$A$50,密度!$G$2:$G$50)</f>
        <v>26731.593696</v>
      </c>
      <c r="P16" s="73" ph="1">
        <f ca="1">P15*9.0746*LOOKUP(P17,密度!$A$2:$A$51,密度!$Q$2:$Q$50)</f>
        <v>44765.570958912002</v>
      </c>
      <c r="Q16" s="73" ph="1">
        <f>Q15*9.0746*LOOKUP(Q17,密度!$A$2:$A$50,密度!$Q$2:$Q$50)</f>
        <v>62176.329013752009</v>
      </c>
      <c r="R16" s="73" ph="1">
        <f>MAX(R15*9.0746*LOOKUP(R17,密度!$A$2:$A$50,密度!$B$2:$B$50),0)</f>
        <v>34860.075900000003</v>
      </c>
      <c r="S16" s="73" ph="1">
        <f>S15*9.0746*LOOKUP(S17,密度!$A$2:$A$50,密度!$Q$2:$Q$50)</f>
        <v>55263.998203920004</v>
      </c>
      <c r="T16" s="73" ph="1">
        <f>T15*9.0746*LOOKUP(T17,密度!$A$2:$A$50,密度!$O$2:$O$50)</f>
        <v>49828.501555600007</v>
      </c>
      <c r="U16" s="73" ph="1">
        <f>U15*9.0746*LOOKUP(U17,密度!$A$2:$A$50,密度!$H$2:$H$50)</f>
        <v>10225.226611439999</v>
      </c>
      <c r="V16" s="73" ph="1">
        <f>MAX(5600*LOOKUP(V17,密度!$A$2:$A$50,密度!$Q$2:$Q$50)+V15*9.0476*LOOKUP(V17,密度!$A$2:$A$50,密度!$Q$2:$Q$50),0)</f>
        <v>20251.671075504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10068.65435076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71.898055800000009</v>
      </c>
      <c r="AB16" s="73" ph="1">
        <f>AB15*9.0746*LOOKUP(AB17,密度!$A$2:$A$50,密度!$L$2:$L$50)</f>
        <v>13113.9041012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9685.25052048</v>
      </c>
      <c r="AE16" s="73" ph="1">
        <f>AE15*268.68*LOOKUP(AE17,密度!$A$2:$A$50,密度!B2:B50)+IF(AE15&lt;=0,0,1566*LOOKUP(AE17,密度!$A$2:$A$50,密度!B2:B50))</f>
        <v>2395.9406260799997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12</v>
      </c>
      <c r="E17" s="74">
        <v>12</v>
      </c>
      <c r="F17" s="74">
        <v>16</v>
      </c>
      <c r="G17" s="74">
        <v>13</v>
      </c>
      <c r="H17" s="74">
        <v>10</v>
      </c>
      <c r="I17" s="74">
        <v>10</v>
      </c>
      <c r="J17" s="74">
        <v>13</v>
      </c>
      <c r="K17" s="74">
        <v>12</v>
      </c>
      <c r="L17" s="74">
        <v>10</v>
      </c>
      <c r="M17" s="74">
        <v>15</v>
      </c>
      <c r="N17" s="74">
        <v>12</v>
      </c>
      <c r="O17" s="74">
        <v>17</v>
      </c>
      <c r="P17" s="74">
        <v>14</v>
      </c>
      <c r="Q17" s="74">
        <v>12</v>
      </c>
      <c r="R17" s="74">
        <v>15</v>
      </c>
      <c r="S17" s="74">
        <v>12</v>
      </c>
      <c r="T17" s="74">
        <v>14</v>
      </c>
      <c r="U17" s="74">
        <v>10</v>
      </c>
      <c r="V17" s="74">
        <v>10</v>
      </c>
      <c r="W17" s="74">
        <v>10</v>
      </c>
      <c r="X17" s="74">
        <v>27</v>
      </c>
      <c r="Y17" s="108">
        <v>27</v>
      </c>
      <c r="Z17" s="74">
        <v>13</v>
      </c>
      <c r="AA17" s="74">
        <v>10</v>
      </c>
      <c r="AB17" s="74">
        <v>15</v>
      </c>
      <c r="AC17" s="74">
        <v>10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2435</v>
      </c>
      <c r="E18" s="71">
        <v>5917</v>
      </c>
      <c r="F18" s="71">
        <v>2109</v>
      </c>
      <c r="G18" s="71">
        <v>1554</v>
      </c>
      <c r="H18" s="71">
        <v>375</v>
      </c>
      <c r="I18" s="71">
        <v>3662</v>
      </c>
      <c r="J18" s="71">
        <v>0</v>
      </c>
      <c r="K18" s="71">
        <v>4049</v>
      </c>
      <c r="L18" s="71">
        <v>930</v>
      </c>
      <c r="M18" s="71">
        <v>3776</v>
      </c>
      <c r="N18" s="71">
        <v>2675</v>
      </c>
      <c r="O18" s="71">
        <v>3345</v>
      </c>
      <c r="P18" s="71">
        <v>5173</v>
      </c>
      <c r="Q18" s="71">
        <v>7180</v>
      </c>
      <c r="R18" s="71">
        <v>4879</v>
      </c>
      <c r="S18" s="71">
        <v>6383</v>
      </c>
      <c r="T18" s="71">
        <v>4537</v>
      </c>
      <c r="U18" s="71">
        <v>3003</v>
      </c>
      <c r="V18" s="71">
        <v>1724</v>
      </c>
      <c r="W18" s="71">
        <v>-817</v>
      </c>
      <c r="X18" s="71">
        <v>450</v>
      </c>
      <c r="Y18" s="109">
        <v>-9901</v>
      </c>
      <c r="Z18" s="71">
        <v>0</v>
      </c>
      <c r="AA18" s="71">
        <v>11</v>
      </c>
      <c r="AB18" s="71">
        <v>1525</v>
      </c>
      <c r="AC18" s="71">
        <v>0</v>
      </c>
      <c r="AD18" s="71">
        <v>84.61</v>
      </c>
      <c r="AE18" s="71">
        <v>12.61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53" t="s" ph="1">
        <v>178</v>
      </c>
      <c r="D19" s="73" ph="1">
        <f>D18*7.0686*LOOKUP(D20,密度!$A$2:$A$50,密度!$L$2:$L$50)</f>
        <v>16299.802827</v>
      </c>
      <c r="E19" s="73" ph="1">
        <f>E18*7.0686*LOOKUP(E20,密度!$A$2:$A$50,密度!$L$2:$L$50)</f>
        <v>39608.186171399997</v>
      </c>
      <c r="F19" s="73" ph="1">
        <f>F18*9.0746*LOOKUP(F20,密度!$A$2:$A$50,密度!$L$2:$L$50)</f>
        <v>18066.584841599997</v>
      </c>
      <c r="G19" s="73" ph="1">
        <f>G18*9.0746*LOOKUP(G20,密度!$A$2:$A$50,密度!$B$2:$B$50)</f>
        <v>11112.319579200001</v>
      </c>
      <c r="H19" s="73" ph="1">
        <f>H18*9.0746*LOOKUP(H20,密度!$A$2:$A$50,密度!$L$2:$L$50)</f>
        <v>3239.6321999999996</v>
      </c>
      <c r="I19" s="73" ph="1">
        <f>I18*9.0746*LOOKUP(I20,密度!$A$2:$A$50,密度!$U$2:$U$50)</f>
        <v>34161.6583856</v>
      </c>
      <c r="J19" s="73" ph="1">
        <f>J18*9.0746*LOOKUP(J20,密度!$A$2:$A$50,密度!$L$2:$L$50)</f>
        <v>0</v>
      </c>
      <c r="K19" s="73" ph="1">
        <f>K18*9.0746*LOOKUP(K20,密度!$A$2:$A$50,密度!$C$2:$C$50)</f>
        <v>40997.901215319995</v>
      </c>
      <c r="L19" s="73" ph="1">
        <f>L18*9.0746*LOOKUP(L20,密度!$A$2:$A$50,密度!$E$2:$E$50)</f>
        <v>6706.7736966000002</v>
      </c>
      <c r="M19" s="73" ph="1">
        <f>M18*9.0746*LOOKUP(M20,密度!$A$2:$A$50,密度!$M$2:$M$50)</f>
        <v>30164.086554879996</v>
      </c>
      <c r="N19" s="73" ph="1">
        <f>N18*9.0746*LOOKUP(N20,密度!$A$2:$A$50,密度!$M$2:$M$50)</f>
        <v>21368.890766500001</v>
      </c>
      <c r="O19" s="73" ph="1">
        <f>O18*9.0746*LOOKUP(O20,密度!$A$2:$A$50,密度!$G$2:$G$50)</f>
        <v>29352.837278999999</v>
      </c>
      <c r="P19" s="73" ph="1">
        <f ca="1">P18*9.0746*LOOKUP(P20,密度!$A$2:$A$51,密度!$Q$2:$Q$50)</f>
        <v>44690.115750657998</v>
      </c>
      <c r="Q19" s="73" ph="1">
        <f>Q18*9.0746*LOOKUP(Q20,密度!$A$2:$A$50,密度!$Q$2:$Q$50)</f>
        <v>62193.653151120008</v>
      </c>
      <c r="R19" s="73" ph="1">
        <f>MAX(R18*9.0746*LOOKUP(R20,密度!$A$2:$A$50,密度!$B$2:$B$50),0)</f>
        <v>34751.426621660001</v>
      </c>
      <c r="S19" s="73" ph="1">
        <f>S18*9.0746*LOOKUP(S20,密度!$A$2:$A$50,密度!$Q$2:$Q$50)</f>
        <v>55289.984409972007</v>
      </c>
      <c r="T19" s="73" ph="1">
        <f>T18*9.0746*LOOKUP(T20,密度!$A$2:$A$50,密度!$O$2:$O$50)</f>
        <v>38454.143826800006</v>
      </c>
      <c r="U19" s="73" ph="1">
        <f>U18*9.0746*LOOKUP(U20,密度!$A$2:$A$50,密度!$H$2:$H$50)</f>
        <v>25226.272731659999</v>
      </c>
      <c r="V19" s="73" ph="1">
        <f>MAX(5600*LOOKUP(V20,密度!$A$2:$A$50,密度!$Q$2:$Q$50)+V18*9.0476*LOOKUP(V20,密度!$A$2:$A$50,密度!$Q$2:$Q$50),0)</f>
        <v>20214.472304639999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10015.722551999999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78.828327819999998</v>
      </c>
      <c r="AB19" s="73" ph="1">
        <f>AB18*9.0746*LOOKUP(AB20,密度!$A$2:$A$50,密度!$L$2:$L$50)</f>
        <v>13077.632925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18880.334499600001</v>
      </c>
      <c r="AE19" s="73" ph="1">
        <f>AE18*268.68*LOOKUP(AE20,密度!$A$2:$A$50,密度!B5:B53)+IF(AE18&lt;=0,0,1566*LOOKUP(AE20,密度!$A$2:$A$50,密度!B5:B53))</f>
        <v>3849.3005795999998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15</v>
      </c>
      <c r="E20" s="81">
        <v>15</v>
      </c>
      <c r="F20" s="81">
        <v>18</v>
      </c>
      <c r="G20" s="81">
        <v>15</v>
      </c>
      <c r="H20" s="81">
        <v>10</v>
      </c>
      <c r="I20" s="81">
        <v>15</v>
      </c>
      <c r="J20" s="81">
        <v>15</v>
      </c>
      <c r="K20" s="81">
        <v>15</v>
      </c>
      <c r="L20" s="81">
        <v>15</v>
      </c>
      <c r="M20" s="81">
        <v>18</v>
      </c>
      <c r="N20" s="81">
        <v>15</v>
      </c>
      <c r="O20" s="81">
        <v>19</v>
      </c>
      <c r="P20" s="81">
        <v>18</v>
      </c>
      <c r="Q20" s="81">
        <v>15</v>
      </c>
      <c r="R20" s="81">
        <v>19</v>
      </c>
      <c r="S20" s="81">
        <v>15</v>
      </c>
      <c r="T20" s="81">
        <v>19</v>
      </c>
      <c r="U20" s="81">
        <v>14</v>
      </c>
      <c r="V20" s="81">
        <v>16</v>
      </c>
      <c r="W20" s="81">
        <v>15</v>
      </c>
      <c r="X20" s="81">
        <v>31</v>
      </c>
      <c r="Y20" s="110">
        <v>31</v>
      </c>
      <c r="Z20" s="81">
        <v>19</v>
      </c>
      <c r="AA20" s="81">
        <v>13</v>
      </c>
      <c r="AB20" s="81">
        <v>17</v>
      </c>
      <c r="AC20" s="81">
        <v>14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642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53" t="s" ph="1">
        <v>177</v>
      </c>
      <c r="D24" s="71">
        <v>3.72</v>
      </c>
      <c r="E24" s="71">
        <v>4.91</v>
      </c>
      <c r="F24" s="71">
        <v>575</v>
      </c>
      <c r="G24" s="71">
        <v>2509</v>
      </c>
      <c r="H24" s="71">
        <v>2707</v>
      </c>
      <c r="I24" s="71">
        <v>69</v>
      </c>
      <c r="J24" s="71">
        <v>3518</v>
      </c>
      <c r="K24" s="71">
        <v>2434</v>
      </c>
      <c r="L24" s="71">
        <v>5530</v>
      </c>
      <c r="M24" s="71">
        <v>4858</v>
      </c>
      <c r="N24" s="71">
        <v>5581</v>
      </c>
      <c r="O24" s="71">
        <v>5714</v>
      </c>
      <c r="P24" s="71">
        <v>649</v>
      </c>
      <c r="Q24" s="90">
        <v>2702</v>
      </c>
      <c r="R24" s="71">
        <v>4105</v>
      </c>
      <c r="S24" s="71">
        <v>4330</v>
      </c>
      <c r="T24" s="71">
        <v>160</v>
      </c>
      <c r="U24" s="71">
        <v>4493</v>
      </c>
      <c r="V24" s="71">
        <v>3164</v>
      </c>
      <c r="W24" s="71">
        <v>93</v>
      </c>
      <c r="X24" s="71">
        <v>3706</v>
      </c>
      <c r="Y24" s="71">
        <v>8043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2428.851623904</v>
      </c>
      <c r="E25" s="91" ph="1">
        <f>E24*268.68*LOOKUP(E26,密度!$A$2:$A$50,密度!$C$2:$C$50)+IF(E24&lt;=0,0,1566*LOOKUP(E26,密度!$A$2:$A$50,密度!$C$2:$C$50))</f>
        <v>3199.4191273200004</v>
      </c>
      <c r="F25" s="91" ph="1">
        <f>F24*11.702*LOOKUP(F26,密度!$A$2:$A$50,密度!$Q$2:$Q$50)</f>
        <v>6422.7655709999999</v>
      </c>
      <c r="G25" s="91" ph="1">
        <f>G24*18.322*LOOKUP(G26,密度!$A$2:$A$50,密度!$B$2:$B$50)</f>
        <v>36265.652532200002</v>
      </c>
      <c r="H25" s="91" ph="1">
        <f>H24*18.322*LOOKUP(H26,密度!$A$2:$A$50,密度!$B$2:$B$50)</f>
        <v>39127.589240599998</v>
      </c>
      <c r="I25" s="91" ph="1">
        <f>I24*18.322*LOOKUP(I26,密度!$A$2:$A$50,密度!$Q$2:$Q$50)</f>
        <v>1206.7466497199998</v>
      </c>
      <c r="J25" s="91" ph="1">
        <f>J24*18.322*LOOKUP(J26,密度!$A$2:$A$50,密度!$Q$2:$Q$50)</f>
        <v>61526.590053840002</v>
      </c>
      <c r="K25" s="91" ph="1">
        <f>K24*18.322*LOOKUP(K26,密度!$A$2:$A$50,密度!$Q$2:$Q$50)</f>
        <v>42568.425295920002</v>
      </c>
      <c r="L25" s="91" ph="1">
        <f>L24*18.322*LOOKUP(L26,密度!$A$2:$A$50,密度!$Q$2:$Q$50)</f>
        <v>96714.622796399999</v>
      </c>
      <c r="M25" s="91" ph="1">
        <f>M24*18.322*LOOKUP(M26,密度!$A$2:$A$50,密度!$Q$2:$Q$50)</f>
        <v>84961.959773039998</v>
      </c>
      <c r="N25" s="91" ph="1">
        <f>N24*18.322*LOOKUP(N26,密度!$A$2:$A$50,密度!$Q$2:$Q$50)</f>
        <v>97606.565972280005</v>
      </c>
      <c r="O25" s="91" ph="1">
        <f>O24*18.322*LOOKUP(O26,密度!$A$2:$A$50,密度!$C$2:$C$50)</f>
        <v>116752.41580159999</v>
      </c>
      <c r="P25" s="91" ph="1">
        <f>P24*11.702*LOOKUP(P26,密度!$A$2:$A$50,密度!$B$2:$B$50)</f>
        <v>5984.543224</v>
      </c>
      <c r="Q25" s="92" ph="1">
        <f>Q24*18.322*LOOKUP(Q26,密度!$A$2:$A$50,密度!$B$2:$B$50)</f>
        <v>39010.762671999997</v>
      </c>
      <c r="R25" s="91" ph="1">
        <f>R24*35.891*LOOKUP(R26,密度!$A$2:$A$50,密度!$C$2:$C$50)</f>
        <v>164629.39695699999</v>
      </c>
      <c r="S25" s="91" ph="1">
        <f>S24*35.891*LOOKUP(S26,密度!$A$2:$A$50,密度!$B$2:$B$50)</f>
        <v>122601.39486700001</v>
      </c>
      <c r="T25" s="91" ph="1">
        <f>T24*35.891*LOOKUP(T26,密度!$A$2:$A$50,密度!$Q$2:$Q$50)</f>
        <v>5481.5032223999997</v>
      </c>
      <c r="U25" s="91" ph="1">
        <f>U24*35.891</f>
        <v>161258.26300000001</v>
      </c>
      <c r="V25" s="91" ph="1">
        <f>V24*47.051*LOOKUP(V26,密度!$A$2:$A$50,密度!$B$2:$B$50)</f>
        <v>117443.04125960001</v>
      </c>
      <c r="W25" s="91" ph="1">
        <f>W24*47.051*LOOKUP(W26,密度!$A$2:$A$50,密度!$B$2:$B$50)</f>
        <v>3448.0854840000006</v>
      </c>
      <c r="X25" s="91" ph="1">
        <f>X24*47.051*LOOKUP(X26,密度!$A$2:$A$61,密度!$I$2:$I$61)</f>
        <v>177840.9890194</v>
      </c>
      <c r="Y25" s="91" ph="1">
        <f>Y24*47.051*LOOKUP(Y26,密度!$A$2:$A$50,密度!$L$2:$L$50)</f>
        <v>358374.33977100003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14</v>
      </c>
      <c r="H26" s="74">
        <v>14</v>
      </c>
      <c r="I26" s="74">
        <v>15</v>
      </c>
      <c r="J26" s="74">
        <v>15</v>
      </c>
      <c r="K26" s="74">
        <v>14</v>
      </c>
      <c r="L26" s="74">
        <v>14</v>
      </c>
      <c r="M26" s="74">
        <v>15</v>
      </c>
      <c r="N26" s="74">
        <v>15</v>
      </c>
      <c r="O26" s="74">
        <v>16</v>
      </c>
      <c r="P26" s="74">
        <v>15</v>
      </c>
      <c r="Q26" s="93">
        <v>15</v>
      </c>
      <c r="R26" s="74">
        <v>13</v>
      </c>
      <c r="S26" s="74">
        <v>14</v>
      </c>
      <c r="T26" s="74">
        <v>13</v>
      </c>
      <c r="U26" s="74">
        <v>13</v>
      </c>
      <c r="V26" s="74">
        <v>14</v>
      </c>
      <c r="W26" s="74">
        <v>15</v>
      </c>
      <c r="X26" s="74">
        <v>45</v>
      </c>
      <c r="Y26" s="74">
        <v>15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53" t="s" ph="1">
        <v>180</v>
      </c>
      <c r="D27" s="71">
        <v>3.71</v>
      </c>
      <c r="E27" s="71">
        <v>4.91</v>
      </c>
      <c r="F27" s="71">
        <v>574</v>
      </c>
      <c r="G27" s="71">
        <v>2071</v>
      </c>
      <c r="H27" s="71">
        <v>2251</v>
      </c>
      <c r="I27" s="71">
        <v>66</v>
      </c>
      <c r="J27" s="71">
        <v>3516</v>
      </c>
      <c r="K27" s="71">
        <v>2432</v>
      </c>
      <c r="L27" s="71">
        <v>5527</v>
      </c>
      <c r="M27" s="71">
        <v>4857</v>
      </c>
      <c r="N27" s="71">
        <v>5578</v>
      </c>
      <c r="O27" s="71">
        <v>5713</v>
      </c>
      <c r="P27" s="71">
        <v>645</v>
      </c>
      <c r="Q27" s="90">
        <v>2996</v>
      </c>
      <c r="R27" s="71">
        <v>4103</v>
      </c>
      <c r="S27" s="71">
        <v>3934</v>
      </c>
      <c r="T27" s="71">
        <v>159</v>
      </c>
      <c r="U27" s="71">
        <v>4453</v>
      </c>
      <c r="V27" s="71">
        <v>3096</v>
      </c>
      <c r="W27" s="71">
        <v>1031</v>
      </c>
      <c r="X27" s="71">
        <v>4185</v>
      </c>
      <c r="Y27" s="71">
        <v>6375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53" t="s" ph="1">
        <v>178</v>
      </c>
      <c r="D28" s="91" ph="1">
        <f>D27*268.68*LOOKUP(D29,密度!$A$2:$A$50,密度!$Q$2:$Q$50)+IF(D27&lt;=0,0,1566*LOOKUP(D29,密度!$A$2:$A$50,密度!$Q$2:$Q$50))</f>
        <v>2426.3079228719998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6405.2816128000004</v>
      </c>
      <c r="G28" s="91" ph="1">
        <f>G27*18.322*LOOKUP(G29,密度!$A$2:$A$50,密度!$B$2:$B$50)</f>
        <v>29870.195366400003</v>
      </c>
      <c r="H28" s="91" ph="1">
        <f>H27*18.322*LOOKUP(H29,密度!$A$2:$A$50,密度!$B$2:$B$50)</f>
        <v>32499.343736000003</v>
      </c>
      <c r="I28" s="91" ph="1">
        <f>I27*18.322*LOOKUP(I29,密度!$A$2:$A$50,密度!$Q$2:$Q$50)</f>
        <v>1154.2794040799999</v>
      </c>
      <c r="J28" s="91" ph="1">
        <f>J27*18.322*LOOKUP(J29,密度!$A$2:$A$50,密度!$Q$2:$Q$50)</f>
        <v>61431.056947199992</v>
      </c>
      <c r="K28" s="91" ph="1">
        <f>K27*18.322*LOOKUP(K29,密度!$A$2:$A$50,密度!$Q$2:$Q$50)</f>
        <v>42491.561574400002</v>
      </c>
      <c r="L28" s="91" ph="1">
        <f>L27*18.322*LOOKUP(L29,密度!$A$2:$A$50,密度!$Q$2:$Q$50)</f>
        <v>96662.155550759999</v>
      </c>
      <c r="M28" s="91" ph="1">
        <f>M27*18.322*LOOKUP(M29,密度!$A$2:$A$50,密度!$Q$2:$Q$50)</f>
        <v>84860.820134399997</v>
      </c>
      <c r="N28" s="91" ph="1">
        <f>N27*18.322*LOOKUP(N29,密度!$A$2:$A$50,密度!$Q$2:$Q$50)</f>
        <v>97458.030617600001</v>
      </c>
      <c r="O28" s="91" ph="1">
        <f>O27*18.322*LOOKUP(O29,密度!$A$2:$A$50,密度!$C$2:$C$50)</f>
        <v>116731.98310719999</v>
      </c>
      <c r="P28" s="91" ph="1">
        <f>P27*11.702*LOOKUP(P29,密度!$A$2:$A$50,密度!$B$2:$B$50)</f>
        <v>5930.2986029999993</v>
      </c>
      <c r="Q28" s="92" ph="1">
        <f>Q27*18.322*LOOKUP(Q29,密度!$A$2:$A$50,密度!$B$2:$B$50)</f>
        <v>43167.628716799998</v>
      </c>
      <c r="R28" s="91" ph="1">
        <f>R27*35.891*LOOKUP(R29,密度!$A$2:$A$50,密度!$C$2:$C$50)</f>
        <v>164225.21404959998</v>
      </c>
      <c r="S28" s="91" ph="1">
        <f>S27*35.891*LOOKUP(S29,密度!$A$2:$A$50,密度!$B$2:$B$50)</f>
        <v>111035.90056159999</v>
      </c>
      <c r="T28" s="91" ph="1">
        <f>T27*35.891*LOOKUP(T29,密度!$A$2:$A$50,密度!$Q$2:$Q$50)</f>
        <v>5437.3142232</v>
      </c>
      <c r="U28" s="91" ph="1">
        <f>U27*35.891</f>
        <v>159822.62299999999</v>
      </c>
      <c r="V28" s="91" ph="1">
        <f>V27*47.051*LOOKUP(V29,密度!$A$2:$A$50,密度!$B$2:$B$50)</f>
        <v>114219.7654536</v>
      </c>
      <c r="W28" s="91" ph="1">
        <f>W27*47.051*LOOKUP(W29,密度!$A$2:$A$50,密度!$B$2:$B$50)</f>
        <v>38075.170126900004</v>
      </c>
      <c r="X28" s="91" ph="1">
        <f>X27*47.051*LOOKUP(X29,密度!$A$2:$A$61,密度!$I$2:$I$61)</f>
        <v>200826.91285650001</v>
      </c>
      <c r="Y28" s="91" ph="1">
        <f>Y27*47.051*LOOKUP(Y29,密度!$A$2:$A$50,密度!$L$2:$L$50)</f>
        <v>282852.96787499997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53" t="s" ph="1">
        <v>179</v>
      </c>
      <c r="D29" s="74">
        <v>25</v>
      </c>
      <c r="E29" s="74">
        <v>25</v>
      </c>
      <c r="F29" s="74">
        <v>16</v>
      </c>
      <c r="G29" s="74">
        <v>16</v>
      </c>
      <c r="H29" s="74">
        <v>15</v>
      </c>
      <c r="I29" s="74">
        <v>15</v>
      </c>
      <c r="J29" s="74">
        <v>16</v>
      </c>
      <c r="K29" s="74">
        <v>16</v>
      </c>
      <c r="L29" s="74">
        <v>15</v>
      </c>
      <c r="M29" s="74">
        <v>16</v>
      </c>
      <c r="N29" s="74">
        <v>16</v>
      </c>
      <c r="O29" s="74">
        <v>16</v>
      </c>
      <c r="P29" s="74">
        <v>18</v>
      </c>
      <c r="Q29" s="93">
        <v>17</v>
      </c>
      <c r="R29" s="74">
        <v>16</v>
      </c>
      <c r="S29" s="74">
        <v>17</v>
      </c>
      <c r="T29" s="74">
        <v>17</v>
      </c>
      <c r="U29" s="74">
        <v>16</v>
      </c>
      <c r="V29" s="74">
        <v>20</v>
      </c>
      <c r="W29" s="74">
        <v>19</v>
      </c>
      <c r="X29" s="74">
        <v>45</v>
      </c>
      <c r="Y29" s="74">
        <v>19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53" t="s" ph="1">
        <v>5</v>
      </c>
      <c r="F32" s="152" t="s" ph="1">
        <v>43</v>
      </c>
      <c r="G32" s="97" t="s" ph="1">
        <v>4</v>
      </c>
      <c r="H32" s="153" t="s" ph="1">
        <v>5</v>
      </c>
      <c r="I32" s="152" t="s" ph="1">
        <v>43</v>
      </c>
      <c r="J32" s="97" t="s" ph="1">
        <v>4</v>
      </c>
      <c r="K32" s="153" t="s" ph="1">
        <v>5</v>
      </c>
      <c r="L32" s="152" t="s" ph="1">
        <v>43</v>
      </c>
      <c r="M32" s="97" t="s" ph="1">
        <v>4</v>
      </c>
      <c r="N32" s="153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3" t="s" ph="1">
        <v>5</v>
      </c>
      <c r="U32" s="99" t="s" ph="1">
        <v>43</v>
      </c>
      <c r="V32" s="97" t="s" ph="1">
        <v>4</v>
      </c>
      <c r="W32" s="153" t="s" ph="1">
        <v>5</v>
      </c>
      <c r="X32" s="99" t="s" ph="1">
        <v>43</v>
      </c>
      <c r="Y32" s="100" t="s" ph="1">
        <v>4</v>
      </c>
      <c r="Z32" s="153" t="s" ph="1">
        <v>5</v>
      </c>
      <c r="AA32" s="152" t="s" ph="1">
        <v>43</v>
      </c>
      <c r="AB32" s="97" t="s" ph="1">
        <v>85</v>
      </c>
      <c r="AC32" s="153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160694.90825000001</v>
      </c>
      <c r="E33" s="213" ph="1">
        <f>M10+I10</f>
        <v>72439.975598400008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1522252632456786910111213141516171819202123456789101112131415161718192022232424356789101112131415161718192021222345678910111213141516171819202345678910111213149101516171819222123234567891012131415161711181920212224252345678910111213137[[#This Row],[F25]]</f>
        <v>3880</v>
      </c>
      <c r="G33" s="217" ph="1">
        <f>N19</f>
        <v>21368.890766500001</v>
      </c>
      <c r="H33" s="213" ph="1">
        <f>M19</f>
        <v>30164.086554879996</v>
      </c>
      <c r="I33" s="226" ph="1">
        <v>0</v>
      </c>
      <c r="J33" s="224" ph="1">
        <f>F10+O28</f>
        <v>207176.25147699998</v>
      </c>
      <c r="K33" s="213" ph="1">
        <f>O10+K10+E28+R28</f>
        <v>244660.91444331998</v>
      </c>
      <c r="L33" s="228" ph="1">
        <f>K19</f>
        <v>40997.901215319995</v>
      </c>
      <c r="M33" s="224" ph="1">
        <f>G10+H10+W28+S28+V28+E10+R19+P28+Q28</f>
        <v>667476.06132856011</v>
      </c>
      <c r="N33" s="213" ph="1">
        <f>L10+P10++G28+H28+AD19+AE19</f>
        <v>171519.4872416</v>
      </c>
      <c r="O33" s="226" ph="1">
        <f>G19</f>
        <v>11112.319579200001</v>
      </c>
      <c r="P33" s="224" ph="1">
        <f>L19</f>
        <v>6706.7736966000002</v>
      </c>
      <c r="Q33" s="213" ph="1">
        <f>J10+N10</f>
        <v>154404.12047160001</v>
      </c>
      <c r="R33" s="226" ph="1">
        <f>BE23</f>
        <v>890</v>
      </c>
      <c r="S33" s="224" ph="1">
        <f>X28</f>
        <v>200826.91285650001</v>
      </c>
      <c r="T33" s="213" ph="1">
        <f>X19</f>
        <v>10015.722551999999</v>
      </c>
      <c r="U33" s="234" ph="1">
        <f>BE21</f>
        <v>730</v>
      </c>
      <c r="V33" s="245" ph="1">
        <f ca="1">P19+Q19+S19+M28+N28+J28+D10+AC10+D19+E19+H19+J19+O19+V19+W19+K28+L28</f>
        <v>1297995.7097577101</v>
      </c>
      <c r="W33" s="245" ph="1">
        <f>D28+F28+T28+I28</f>
        <v>15423.183162951998</v>
      </c>
      <c r="X33" s="226" ph="1">
        <f>BE29+BE31</f>
        <v>10200</v>
      </c>
      <c r="Y33" s="247" ph="1">
        <f>+Q10+R10+S10+T10+U10+V10+W10+X10+Y10</f>
        <v>241665.38245080001</v>
      </c>
      <c r="Z33" s="232" ph="1">
        <f>T19+U19+Y28+Z10</f>
        <v>500512.45933345996</v>
      </c>
      <c r="AA33" s="234" ph="1">
        <f>BE19</f>
        <v>1440</v>
      </c>
      <c r="AB33" s="236" ph="1">
        <f>I19</f>
        <v>34161.6583856</v>
      </c>
      <c r="AC33" s="238" ph="1">
        <f>AD10+AB19</f>
        <v>107208.222685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1" t="s" ph="1">
        <v>185</v>
      </c>
      <c r="AA36" s="151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1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1" t="s" ph="1">
        <v>342</v>
      </c>
      <c r="AI37" s="151" t="s" ph="1">
        <v>209</v>
      </c>
      <c r="AJ37" s="151" t="s" ph="1">
        <v>210</v>
      </c>
      <c r="AK37" s="151" t="s" ph="1">
        <v>211</v>
      </c>
      <c r="AM37" s="151" t="s" ph="1">
        <v>210</v>
      </c>
      <c r="AN37" s="151" t="s" ph="1">
        <v>211</v>
      </c>
      <c r="AO37" s="151" t="s" ph="1">
        <v>212</v>
      </c>
      <c r="AP37" s="151" t="s" ph="1">
        <v>210</v>
      </c>
      <c r="AQ37" s="151" t="s" ph="1">
        <v>211</v>
      </c>
      <c r="AR37" s="151" t="s" ph="1">
        <v>212</v>
      </c>
      <c r="AS37" s="151" t="s" ph="1">
        <v>210</v>
      </c>
      <c r="AT37" s="151" t="s" ph="1">
        <v>211</v>
      </c>
      <c r="AU37" s="151" t="s" ph="1">
        <v>212</v>
      </c>
      <c r="AV37" s="151" t="s" ph="1">
        <v>210</v>
      </c>
      <c r="AW37" s="151" t="s" ph="1">
        <v>211</v>
      </c>
      <c r="AX37" s="151" t="s" ph="1">
        <v>212</v>
      </c>
      <c r="AY37" s="151" t="s" ph="1">
        <v>211</v>
      </c>
      <c r="AZ37" s="151" t="s" ph="1">
        <v>213</v>
      </c>
      <c r="BD37" s="151" t="s" ph="1">
        <v>305</v>
      </c>
      <c r="BE37" s="151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37" priority="101">
      <formula>ABS(D$7-D$10)&gt;=1000</formula>
    </cfRule>
  </conditionalFormatting>
  <conditionalFormatting sqref="E4 E6:E11">
    <cfRule type="expression" dxfId="2336" priority="100">
      <formula>ABS(E$7-E$10)&gt;=1000</formula>
    </cfRule>
  </conditionalFormatting>
  <conditionalFormatting sqref="F4:F11">
    <cfRule type="expression" dxfId="2335" priority="99">
      <formula>ABS(F$7-F$10)&gt;=1000</formula>
    </cfRule>
  </conditionalFormatting>
  <conditionalFormatting sqref="G4:G11">
    <cfRule type="expression" dxfId="2334" priority="98">
      <formula>ABS(G$7-G$10)&gt;=1000</formula>
    </cfRule>
  </conditionalFormatting>
  <conditionalFormatting sqref="H4:H11">
    <cfRule type="expression" dxfId="2333" priority="97">
      <formula>ABS(H$7-H$10)&gt;=1000</formula>
    </cfRule>
  </conditionalFormatting>
  <conditionalFormatting sqref="I4:I11">
    <cfRule type="expression" dxfId="2332" priority="96">
      <formula>ABS(I$7-I$10)&gt;=1000</formula>
    </cfRule>
  </conditionalFormatting>
  <conditionalFormatting sqref="J4:J11">
    <cfRule type="expression" dxfId="2331" priority="95">
      <formula>ABS(J$7-J$10)&gt;=1000</formula>
    </cfRule>
  </conditionalFormatting>
  <conditionalFormatting sqref="K4:K11">
    <cfRule type="expression" dxfId="2330" priority="94">
      <formula>ABS(K$7-K$10)&gt;=1000</formula>
    </cfRule>
  </conditionalFormatting>
  <conditionalFormatting sqref="L4:L11">
    <cfRule type="expression" dxfId="2329" priority="93">
      <formula>ABS(L$7-L$10)&gt;=1000</formula>
    </cfRule>
  </conditionalFormatting>
  <conditionalFormatting sqref="M4 M6:M11">
    <cfRule type="expression" dxfId="2328" priority="92">
      <formula>ABS(M$7-M$10)&gt;=1000</formula>
    </cfRule>
  </conditionalFormatting>
  <conditionalFormatting sqref="N4 N6:N11">
    <cfRule type="expression" dxfId="2327" priority="91">
      <formula>ABS(N$7-N$10)&gt;=1000</formula>
    </cfRule>
  </conditionalFormatting>
  <conditionalFormatting sqref="O4 O6:O11">
    <cfRule type="expression" dxfId="2326" priority="90">
      <formula>ABS(O$7-O$10)&gt;=1000</formula>
    </cfRule>
  </conditionalFormatting>
  <conditionalFormatting sqref="P4 P6:P11">
    <cfRule type="expression" dxfId="2325" priority="89">
      <formula>ABS(P$7-P$10)&gt;=1000</formula>
    </cfRule>
  </conditionalFormatting>
  <conditionalFormatting sqref="Q4:Q11">
    <cfRule type="expression" dxfId="2324" priority="88">
      <formula>ABS(Q$7-Q$10)&gt;=1000</formula>
    </cfRule>
  </conditionalFormatting>
  <conditionalFormatting sqref="R4:R11">
    <cfRule type="expression" dxfId="2323" priority="87">
      <formula>ABS(R$7-R$10)&gt;=1000</formula>
    </cfRule>
  </conditionalFormatting>
  <conditionalFormatting sqref="S4:S11">
    <cfRule type="expression" dxfId="2322" priority="86">
      <formula>ABS(S$7-S$10)&gt;=1000</formula>
    </cfRule>
  </conditionalFormatting>
  <conditionalFormatting sqref="T4:T9 T11">
    <cfRule type="expression" dxfId="2321" priority="85">
      <formula>ABS(T$7-T$10)&gt;=1000</formula>
    </cfRule>
  </conditionalFormatting>
  <conditionalFormatting sqref="U4:U9 U11">
    <cfRule type="expression" dxfId="2320" priority="84">
      <formula>ABS(U$7-U$10)&gt;=1000</formula>
    </cfRule>
  </conditionalFormatting>
  <conditionalFormatting sqref="V4:V9 V11">
    <cfRule type="expression" dxfId="2319" priority="83">
      <formula>ABS(V$7-V$10)&gt;=1000</formula>
    </cfRule>
  </conditionalFormatting>
  <conditionalFormatting sqref="W4:W9 W11">
    <cfRule type="expression" dxfId="2318" priority="82">
      <formula>ABS(W$7-W$10)&gt;=1000</formula>
    </cfRule>
  </conditionalFormatting>
  <conditionalFormatting sqref="X4:X9 X11">
    <cfRule type="expression" dxfId="2317" priority="81">
      <formula>ABS(X$7-X$10)&gt;=1000</formula>
    </cfRule>
  </conditionalFormatting>
  <conditionalFormatting sqref="Y4:Y9 Y11">
    <cfRule type="expression" dxfId="2316" priority="80">
      <formula>ABS(Y$7-Y$10)&gt;=1000</formula>
    </cfRule>
  </conditionalFormatting>
  <conditionalFormatting sqref="Z4:Z11">
    <cfRule type="expression" dxfId="2315" priority="79">
      <formula>ABS(Z$7-Z$10)&gt;=1000</formula>
    </cfRule>
  </conditionalFormatting>
  <conditionalFormatting sqref="AA4:AA11">
    <cfRule type="expression" dxfId="2314" priority="78">
      <formula>ABS(AA$7-AA$10)&gt;=1000</formula>
    </cfRule>
  </conditionalFormatting>
  <conditionalFormatting sqref="AB4:AB11">
    <cfRule type="expression" dxfId="2313" priority="77">
      <formula>ABS(AB$7-AB$10)&gt;=1000</formula>
    </cfRule>
  </conditionalFormatting>
  <conditionalFormatting sqref="AC4 AC6:AC11">
    <cfRule type="expression" dxfId="2312" priority="76">
      <formula>ABS(AC$7-AC$10)&gt;=1000</formula>
    </cfRule>
  </conditionalFormatting>
  <conditionalFormatting sqref="AD4:AD11">
    <cfRule type="expression" dxfId="2311" priority="75">
      <formula>ABS(AD$7-AD$10)&gt;=1000</formula>
    </cfRule>
  </conditionalFormatting>
  <conditionalFormatting sqref="AE4 AE6:AE11">
    <cfRule type="expression" dxfId="2310" priority="74">
      <formula>ABS(AE$7-AE$10)&gt;=1000</formula>
    </cfRule>
  </conditionalFormatting>
  <conditionalFormatting sqref="D13:D20">
    <cfRule type="expression" dxfId="2309" priority="73">
      <formula>ABS(D$16-D$19)&gt;=1000</formula>
    </cfRule>
  </conditionalFormatting>
  <conditionalFormatting sqref="E13:E20">
    <cfRule type="expression" dxfId="2308" priority="72">
      <formula>ABS(E$16-E$19)&gt;=1000</formula>
    </cfRule>
  </conditionalFormatting>
  <conditionalFormatting sqref="F13 F15:F20">
    <cfRule type="expression" dxfId="2307" priority="71">
      <formula>ABS(F$16-F$19)&gt;=1000</formula>
    </cfRule>
  </conditionalFormatting>
  <conditionalFormatting sqref="G13:G20">
    <cfRule type="expression" dxfId="2306" priority="70">
      <formula>ABS(G$16-G$19)&gt;=1000</formula>
    </cfRule>
  </conditionalFormatting>
  <conditionalFormatting sqref="H13 H15:H20">
    <cfRule type="expression" dxfId="2305" priority="69">
      <formula>ABS(H$16-H$19)&gt;=1000</formula>
    </cfRule>
  </conditionalFormatting>
  <conditionalFormatting sqref="I13:I20">
    <cfRule type="expression" dxfId="2304" priority="68">
      <formula>ABS(I$16-I$19)&gt;=1000</formula>
    </cfRule>
  </conditionalFormatting>
  <conditionalFormatting sqref="J13:J20">
    <cfRule type="expression" dxfId="2303" priority="67">
      <formula>ABS(J$16-J$19)&gt;=1000</formula>
    </cfRule>
  </conditionalFormatting>
  <conditionalFormatting sqref="L13:L20">
    <cfRule type="expression" dxfId="2302" priority="66">
      <formula>ABS(L$16-L$19)&gt;=1000</formula>
    </cfRule>
  </conditionalFormatting>
  <conditionalFormatting sqref="M13 M15 M17:M18 M20">
    <cfRule type="expression" dxfId="2301" priority="65">
      <formula>ABS(M$16-M$19)&gt;=1000</formula>
    </cfRule>
  </conditionalFormatting>
  <conditionalFormatting sqref="N13:N20">
    <cfRule type="expression" dxfId="2300" priority="64">
      <formula>ABS(N$16-N$19)&gt;=1000</formula>
    </cfRule>
  </conditionalFormatting>
  <conditionalFormatting sqref="O13:O20">
    <cfRule type="expression" dxfId="2299" priority="63">
      <formula>ABS(O$16-O$19)&gt;=1000</formula>
    </cfRule>
  </conditionalFormatting>
  <conditionalFormatting sqref="P13:P20">
    <cfRule type="expression" dxfId="2298" priority="62">
      <formula>ABS(P$16-P$19)&gt;=1000</formula>
    </cfRule>
  </conditionalFormatting>
  <conditionalFormatting sqref="Q13 Q15:Q20">
    <cfRule type="expression" dxfId="2297" priority="61">
      <formula>ABS(Q$16-Q$19)&gt;=1000</formula>
    </cfRule>
  </conditionalFormatting>
  <conditionalFormatting sqref="R13:R20">
    <cfRule type="expression" dxfId="2296" priority="60">
      <formula>ABS(R$16-R$19)&gt;=1000</formula>
    </cfRule>
  </conditionalFormatting>
  <conditionalFormatting sqref="S13:S20">
    <cfRule type="expression" dxfId="2295" priority="59">
      <formula>ABS(S$16-S$19)&gt;=1000</formula>
    </cfRule>
  </conditionalFormatting>
  <conditionalFormatting sqref="T13:T20">
    <cfRule type="expression" dxfId="2294" priority="58">
      <formula>ABS(T$16-T$19)&gt;=1000</formula>
    </cfRule>
  </conditionalFormatting>
  <conditionalFormatting sqref="U13:U20">
    <cfRule type="expression" dxfId="2293" priority="57">
      <formula>ABS(U$16-U$19)&gt;=1000</formula>
    </cfRule>
  </conditionalFormatting>
  <conditionalFormatting sqref="V13:V20">
    <cfRule type="expression" dxfId="2292" priority="56">
      <formula>ABS(V$16-V$19)&gt;=1000</formula>
    </cfRule>
  </conditionalFormatting>
  <conditionalFormatting sqref="W13 W20 W15:W18">
    <cfRule type="expression" dxfId="2291" priority="55">
      <formula>ABS(W$16-W$19)&gt;=1000</formula>
    </cfRule>
  </conditionalFormatting>
  <conditionalFormatting sqref="X13 X15:X20 Y19">
    <cfRule type="expression" dxfId="2290" priority="54">
      <formula>ABS(X$16-X$19)&gt;=1000</formula>
    </cfRule>
  </conditionalFormatting>
  <conditionalFormatting sqref="Y13 Y15:Y18 Y20">
    <cfRule type="expression" dxfId="2289" priority="53">
      <formula>ABS(Y$16-Y$19)&gt;=1000</formula>
    </cfRule>
  </conditionalFormatting>
  <conditionalFormatting sqref="Z13:Z20">
    <cfRule type="expression" dxfId="2288" priority="52">
      <formula>ABS(Z$16-Z$19)&gt;=1000</formula>
    </cfRule>
  </conditionalFormatting>
  <conditionalFormatting sqref="AA13:AA20">
    <cfRule type="expression" dxfId="2287" priority="51">
      <formula>ABS(AA$16-AA$19)&gt;=1000</formula>
    </cfRule>
  </conditionalFormatting>
  <conditionalFormatting sqref="AB13 AB15:AB20">
    <cfRule type="expression" dxfId="2286" priority="50">
      <formula>ABS(AB$16-AB$19)&gt;=1000</formula>
    </cfRule>
  </conditionalFormatting>
  <conditionalFormatting sqref="AC13 AC15:AC20">
    <cfRule type="expression" dxfId="2285" priority="49">
      <formula>ABS(AC$16-AC$19)&gt;=1000</formula>
    </cfRule>
  </conditionalFormatting>
  <conditionalFormatting sqref="AD13:AD20">
    <cfRule type="expression" dxfId="2284" priority="48">
      <formula>ABS(AD$16-AD$19)&gt;=1000</formula>
    </cfRule>
  </conditionalFormatting>
  <conditionalFormatting sqref="AE13:AE20">
    <cfRule type="expression" dxfId="2283" priority="47">
      <formula>ABS(AE$16-AE$19)&gt;=1000</formula>
    </cfRule>
  </conditionalFormatting>
  <conditionalFormatting sqref="D22:D29">
    <cfRule type="expression" dxfId="2282" priority="46">
      <formula>ABS(D$25-D$28)&gt;=1000</formula>
    </cfRule>
  </conditionalFormatting>
  <conditionalFormatting sqref="E22:E29">
    <cfRule type="expression" dxfId="2281" priority="45">
      <formula>ABS(E$25-E$28)&gt;=1000</formula>
    </cfRule>
  </conditionalFormatting>
  <conditionalFormatting sqref="F22:F29">
    <cfRule type="expression" dxfId="2280" priority="44">
      <formula>ABS(F$25-F$28)&gt;=1000</formula>
    </cfRule>
  </conditionalFormatting>
  <conditionalFormatting sqref="G22:G29">
    <cfRule type="expression" dxfId="2279" priority="43">
      <formula>ABS(G$25-G$28)&gt;=1000</formula>
    </cfRule>
  </conditionalFormatting>
  <conditionalFormatting sqref="H22:H29">
    <cfRule type="expression" dxfId="2278" priority="42">
      <formula>ABS(H$25-H$28)&gt;=1000</formula>
    </cfRule>
  </conditionalFormatting>
  <conditionalFormatting sqref="I22 I24:I29">
    <cfRule type="expression" dxfId="2277" priority="41">
      <formula>ABS(I$25-I$28)&gt;=1000</formula>
    </cfRule>
  </conditionalFormatting>
  <conditionalFormatting sqref="J22:J29 K22">
    <cfRule type="expression" dxfId="2276" priority="40">
      <formula>ABS(J$25-J$28)&gt;=1000</formula>
    </cfRule>
  </conditionalFormatting>
  <conditionalFormatting sqref="K23:K29 L25 L28">
    <cfRule type="expression" dxfId="2275" priority="39">
      <formula>ABS(K$25-K$28)&gt;=1000</formula>
    </cfRule>
  </conditionalFormatting>
  <conditionalFormatting sqref="L22 L26:L27 L29 L24">
    <cfRule type="expression" dxfId="2274" priority="38">
      <formula>ABS(L$25-L$28)&gt;=1000</formula>
    </cfRule>
  </conditionalFormatting>
  <conditionalFormatting sqref="M22:M29">
    <cfRule type="expression" dxfId="2273" priority="37">
      <formula>ABS(M$25-M$28)&gt;=1000</formula>
    </cfRule>
  </conditionalFormatting>
  <conditionalFormatting sqref="N22:N29">
    <cfRule type="expression" dxfId="2272" priority="36">
      <formula>ABS(N$25-N$28)&gt;=1000</formula>
    </cfRule>
  </conditionalFormatting>
  <conditionalFormatting sqref="O22:O29">
    <cfRule type="expression" dxfId="2271" priority="35">
      <formula>ABS(O$25-O$28)&gt;=1000</formula>
    </cfRule>
  </conditionalFormatting>
  <conditionalFormatting sqref="P22:P29">
    <cfRule type="expression" dxfId="2270" priority="34">
      <formula>ABS(P$25-P$28)&gt;=1000</formula>
    </cfRule>
  </conditionalFormatting>
  <conditionalFormatting sqref="Q22:Q29">
    <cfRule type="expression" dxfId="2269" priority="33">
      <formula>ABS(Q$25-Q$28)&gt;=1000</formula>
    </cfRule>
  </conditionalFormatting>
  <conditionalFormatting sqref="R22:R29">
    <cfRule type="expression" dxfId="2268" priority="32">
      <formula>ABS(R$25-R$28)&gt;=1000</formula>
    </cfRule>
  </conditionalFormatting>
  <conditionalFormatting sqref="S22:S29">
    <cfRule type="expression" dxfId="2267" priority="31">
      <formula>ABS(S$25-S$28)&gt;=1000</formula>
    </cfRule>
  </conditionalFormatting>
  <conditionalFormatting sqref="T22:T29">
    <cfRule type="expression" dxfId="2266" priority="30">
      <formula>ABS(T$25-T$28)&gt;=1000</formula>
    </cfRule>
  </conditionalFormatting>
  <conditionalFormatting sqref="U22:U29">
    <cfRule type="expression" dxfId="2265" priority="29">
      <formula>ABS(U$25-U$28)&gt;=1000</formula>
    </cfRule>
  </conditionalFormatting>
  <conditionalFormatting sqref="V22:V29">
    <cfRule type="expression" dxfId="2264" priority="28">
      <formula>ABS(V$25-V$28)&gt;=1000</formula>
    </cfRule>
  </conditionalFormatting>
  <conditionalFormatting sqref="W22:W29">
    <cfRule type="expression" dxfId="2263" priority="27">
      <formula>ABS(W$25-W$28)&gt;=1000</formula>
    </cfRule>
  </conditionalFormatting>
  <conditionalFormatting sqref="X22:X29">
    <cfRule type="expression" dxfId="2262" priority="26">
      <formula>ABS(X$25-X$28)&gt;=1000</formula>
    </cfRule>
  </conditionalFormatting>
  <conditionalFormatting sqref="Y22:Y29">
    <cfRule type="expression" dxfId="2261" priority="25">
      <formula>ABS(Y$25-Y$28)&gt;=1000</formula>
    </cfRule>
  </conditionalFormatting>
  <conditionalFormatting sqref="I23">
    <cfRule type="expression" dxfId="2260" priority="24">
      <formula>ABS(I$25-I$28)&gt;=1000</formula>
    </cfRule>
  </conditionalFormatting>
  <conditionalFormatting sqref="Q14">
    <cfRule type="expression" dxfId="2259" priority="23">
      <formula>ABS(Q$16-Q$19)&gt;=1000</formula>
    </cfRule>
  </conditionalFormatting>
  <conditionalFormatting sqref="W14">
    <cfRule type="expression" dxfId="2258" priority="22">
      <formula>ABS(W$16-W$19)&gt;=1000</formula>
    </cfRule>
  </conditionalFormatting>
  <conditionalFormatting sqref="X14">
    <cfRule type="expression" dxfId="2257" priority="20">
      <formula>ABS(X$16-X$19)&gt;=1000</formula>
    </cfRule>
  </conditionalFormatting>
  <conditionalFormatting sqref="T10:Y10">
    <cfRule type="expression" dxfId="2256" priority="19">
      <formula>ABS(T$7-T$10)&gt;=1000</formula>
    </cfRule>
  </conditionalFormatting>
  <conditionalFormatting sqref="W19">
    <cfRule type="expression" dxfId="2255" priority="18">
      <formula>ABS(W$16-W$19)&gt;=1000</formula>
    </cfRule>
  </conditionalFormatting>
  <conditionalFormatting sqref="AC5">
    <cfRule type="expression" dxfId="2254" priority="17">
      <formula>ABS(AC$7-AC$10)&gt;=1000</formula>
    </cfRule>
  </conditionalFormatting>
  <conditionalFormatting sqref="M14">
    <cfRule type="expression" dxfId="2253" priority="16">
      <formula>ABS(M$16-M$19)&gt;=1000</formula>
    </cfRule>
  </conditionalFormatting>
  <conditionalFormatting sqref="M16">
    <cfRule type="expression" dxfId="2252" priority="15">
      <formula>ABS(M$16-M$19)&gt;=1000</formula>
    </cfRule>
  </conditionalFormatting>
  <conditionalFormatting sqref="M19">
    <cfRule type="expression" dxfId="2251" priority="14">
      <formula>ABS(M$16-M$19)&gt;=1000</formula>
    </cfRule>
  </conditionalFormatting>
  <conditionalFormatting sqref="K13:K20">
    <cfRule type="expression" dxfId="2250" priority="13">
      <formula>ABS(K$16-K$19)&gt;=1000</formula>
    </cfRule>
  </conditionalFormatting>
  <conditionalFormatting sqref="E5">
    <cfRule type="expression" dxfId="2249" priority="12">
      <formula>ABS(E$7-E$10)&gt;=1000</formula>
    </cfRule>
  </conditionalFormatting>
  <conditionalFormatting sqref="AB14:AC14">
    <cfRule type="expression" dxfId="2248" priority="11">
      <formula>ABS(AB$16-AB$19)&gt;=1000</formula>
    </cfRule>
  </conditionalFormatting>
  <conditionalFormatting sqref="M5">
    <cfRule type="expression" dxfId="2247" priority="10">
      <formula>ABS(M$7-M$10)&gt;=1000</formula>
    </cfRule>
  </conditionalFormatting>
  <conditionalFormatting sqref="N5">
    <cfRule type="expression" dxfId="2246" priority="9">
      <formula>ABS(N$7-N$10)&gt;=1000</formula>
    </cfRule>
  </conditionalFormatting>
  <conditionalFormatting sqref="O5">
    <cfRule type="expression" dxfId="2245" priority="8">
      <formula>ABS(O$7-O$10)&gt;=1000</formula>
    </cfRule>
  </conditionalFormatting>
  <conditionalFormatting sqref="P5">
    <cfRule type="expression" dxfId="2244" priority="7">
      <formula>ABS(P$7-P$10)&gt;=1000</formula>
    </cfRule>
  </conditionalFormatting>
  <conditionalFormatting sqref="L23">
    <cfRule type="expression" dxfId="2243" priority="6">
      <formula>ABS(L$25-L$28)&gt;=1000</formula>
    </cfRule>
  </conditionalFormatting>
  <conditionalFormatting sqref="AE5">
    <cfRule type="expression" dxfId="2242" priority="4">
      <formula>ABS(AE$25-AE$28)&gt;=1000</formula>
    </cfRule>
  </conditionalFormatting>
  <conditionalFormatting sqref="H14">
    <cfRule type="expression" dxfId="2241" priority="3">
      <formula>ABS(H$7-H$10)&gt;=1000</formula>
    </cfRule>
  </conditionalFormatting>
  <conditionalFormatting sqref="Y14">
    <cfRule type="expression" dxfId="2240" priority="2">
      <formula>ABS(Y$16-Y$19)&gt;=1000</formula>
    </cfRule>
  </conditionalFormatting>
  <conditionalFormatting sqref="F14">
    <cfRule type="expression" dxfId="2239" priority="1">
      <formula>ABS(F$16-F$19)&gt;=1000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588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2">
    <pageSetUpPr fitToPage="1"/>
  </sheetPr>
  <dimension ref="A1:CU223"/>
  <sheetViews>
    <sheetView view="pageBreakPreview" zoomScale="70" zoomScaleNormal="100" zoomScaleSheetLayoutView="70" workbookViewId="0">
      <selection activeCell="L19" sqref="L1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46030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0" t="s" ph="1">
        <v>72</v>
      </c>
      <c r="AE5" s="163" t="s" ph="1">
        <v>606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54" t="s" ph="1">
        <v>177</v>
      </c>
      <c r="D6" s="71">
        <v>7087</v>
      </c>
      <c r="E6" s="71">
        <v>0</v>
      </c>
      <c r="F6" s="71">
        <v>2441</v>
      </c>
      <c r="G6" s="71">
        <v>6152</v>
      </c>
      <c r="H6" s="71">
        <v>2196</v>
      </c>
      <c r="I6" s="71">
        <v>0</v>
      </c>
      <c r="J6" s="71">
        <v>6.61</v>
      </c>
      <c r="K6" s="71">
        <v>7.41</v>
      </c>
      <c r="L6" s="71">
        <v>32.11</v>
      </c>
      <c r="M6" s="71">
        <v>2108</v>
      </c>
      <c r="N6" s="71">
        <v>5585</v>
      </c>
      <c r="O6" s="71">
        <v>3291</v>
      </c>
      <c r="P6" s="71">
        <v>2312</v>
      </c>
      <c r="Q6" s="71">
        <v>6997</v>
      </c>
      <c r="R6" s="71">
        <v>6999</v>
      </c>
      <c r="S6" s="71">
        <v>5923</v>
      </c>
      <c r="T6" s="71">
        <v>5399</v>
      </c>
      <c r="U6" s="71">
        <v>0</v>
      </c>
      <c r="V6" s="71">
        <v>0</v>
      </c>
      <c r="W6" s="71">
        <v>0</v>
      </c>
      <c r="X6" s="71">
        <v>0</v>
      </c>
      <c r="Y6" s="71">
        <v>3367</v>
      </c>
      <c r="Z6" s="71">
        <v>5106</v>
      </c>
      <c r="AA6" s="71">
        <v>2880</v>
      </c>
      <c r="AB6" s="71">
        <v>2903</v>
      </c>
      <c r="AC6" s="71">
        <v>8543</v>
      </c>
      <c r="AD6" s="71">
        <v>4780</v>
      </c>
      <c r="AE6" s="71">
        <v>2625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223698.78149282999</v>
      </c>
      <c r="E7" s="73" ph="1">
        <f>E6*51.53*LOOKUP(E8,密度!$A$2:$A$50,密度!$B$2:$B$50)</f>
        <v>0</v>
      </c>
      <c r="F7" s="73" ph="1">
        <f>F6*33.183*LOOKUP(F8,密度!$A$2:$A$50,密度!$C$2:$C$50)</f>
        <v>90444.268369799989</v>
      </c>
      <c r="G7" s="73" ph="1">
        <f xml:space="preserve"> (G6+2)*51.53*LOOKUP(G8,密度!$A$2:$A$50,密度!$B$2:$B$50)</f>
        <v>250172.51261800001</v>
      </c>
      <c r="H7" s="73" ph="1">
        <f>(H6)*51.53*LOOKUP(H8,密度!$A$2:$A$50,密度!$B$2:$B$50)</f>
        <v>89656.572924000007</v>
      </c>
      <c r="I7" s="73" ph="1">
        <f>I6*290.8*1.0267</f>
        <v>0</v>
      </c>
      <c r="J7" s="73" ph="1">
        <f>J6*290.8*0.7892</f>
        <v>1516.9907696</v>
      </c>
      <c r="K7" s="73" ph="1">
        <f>K6*290.8*1.1126</f>
        <v>2397.4616328000002</v>
      </c>
      <c r="L7" s="73" ph="1">
        <f>L6*290.8*0.777</f>
        <v>7255.3058760000004</v>
      </c>
      <c r="M7" s="73" ph="1">
        <f>M6*33.183*LOOKUP(M8,密度!$A$2:$A$50,密度!$D$2:$D$50)</f>
        <v>72502.930385999993</v>
      </c>
      <c r="N7" s="73" ph="1">
        <f>N6*33.183*LOOKUP(N8,密度!$A$2:$A$50,密度!$E$2:$E$50)</f>
        <v>146871.69108749999</v>
      </c>
      <c r="O7" s="73" ph="1">
        <f>O6*20.428*LOOKUP(O8,密度!$A$2:$A$50,密度!$C$2:$C$50)</f>
        <v>74885.8796172</v>
      </c>
      <c r="P7" s="73" ph="1">
        <f>P6*51.53*LOOKUP(P8,密度!$A$2:$A$50,密度!$B$2:$B$50)</f>
        <v>93987.463304000004</v>
      </c>
      <c r="Q7" s="73" ph="1">
        <f>Q6*1.5*1.5*3.1416*LOOKUP(W8,密度!$A$2:$A$50,密度!$L$2:$L$50)</f>
        <v>46837.667507400001</v>
      </c>
      <c r="R7" s="73" ph="1">
        <f>R6*1.5*1.5*3.1416*LOOKUP(R8,密度!$A$2:$A$50,密度!$L$2:$L$50)</f>
        <v>46603.689778799999</v>
      </c>
      <c r="S7" s="73" ph="1">
        <f>S6*1.5*1.5*3.1416*LOOKUP(S8,密度!$A$2:$A$50,密度!$L$2:$L$50)</f>
        <v>39857.686545599994</v>
      </c>
      <c r="T7" s="73" ph="1">
        <f>T6*1.5*1.5*3.1416*LOOKUP(T8,密度!$A$2:$A$50,密度!$L$2:$L$50)</f>
        <v>36331.529572799998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22538.5774614</v>
      </c>
      <c r="Z7" s="73" ph="1">
        <f>Z6*33.183*LOOKUP(Z8,密度!$A$2:$A$50,密度!$L$2:$L$50)</f>
        <v>160791.34570199999</v>
      </c>
      <c r="AA7" s="73" ph="1">
        <f>AA6*33.183*LOOKUP(AA8,密度!$A$2:$A$50,密度!$D$2:$D$50)</f>
        <v>99141.247296000001</v>
      </c>
      <c r="AB7" s="73" ph="1">
        <f>AB6*20.428*LOOKUP(AB8,密度!$A$2:$A$50,密度!$D$2:$D$50)</f>
        <v>61834.700066800004</v>
      </c>
      <c r="AC7" s="73" ph="1">
        <f>AC6*51.53*LOOKUP(AC8,密度!$A$2:$A$50,密度!$Q$2:$Q$50)</f>
        <v>420208.35288660007</v>
      </c>
      <c r="AD7" s="73" ph="1">
        <f>AD6*20.428*LOOKUP(AD8,密度!$A$2:$A$50,密度!$V$2:$V$50)</f>
        <v>94130.589760000003</v>
      </c>
      <c r="AE7" s="73" ph="1">
        <f>AE6*20.428</f>
        <v>53623.5</v>
      </c>
    </row>
    <row r="8" spans="1:99" ph="1">
      <c r="B8" s="191" ph="1"/>
      <c r="C8" s="68" t="s" ph="1">
        <v>179</v>
      </c>
      <c r="D8" s="74">
        <v>19</v>
      </c>
      <c r="E8" s="74">
        <v>12</v>
      </c>
      <c r="F8" s="74">
        <v>14</v>
      </c>
      <c r="G8" s="74">
        <v>14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17</v>
      </c>
      <c r="O8" s="74">
        <v>18</v>
      </c>
      <c r="P8" s="74">
        <v>14</v>
      </c>
      <c r="Q8" s="74">
        <v>16</v>
      </c>
      <c r="R8" s="74">
        <v>20</v>
      </c>
      <c r="S8" s="74">
        <v>10</v>
      </c>
      <c r="T8" s="74">
        <v>10</v>
      </c>
      <c r="U8" s="74">
        <v>14</v>
      </c>
      <c r="V8" s="74">
        <v>20</v>
      </c>
      <c r="W8" s="74">
        <v>15</v>
      </c>
      <c r="X8" s="74">
        <v>5</v>
      </c>
      <c r="Y8" s="74">
        <v>15</v>
      </c>
      <c r="Z8" s="74">
        <v>13</v>
      </c>
      <c r="AA8" s="74">
        <v>13</v>
      </c>
      <c r="AB8" s="74">
        <v>7</v>
      </c>
      <c r="AC8" s="74">
        <v>11</v>
      </c>
      <c r="AD8" s="74">
        <v>12</v>
      </c>
      <c r="AE8" s="74">
        <v>14</v>
      </c>
    </row>
    <row r="9" spans="1:99" ph="1">
      <c r="B9" s="191" ph="1">
        <v>0.66666666666666663</v>
      </c>
      <c r="C9" s="154" t="s" ph="1">
        <v>180</v>
      </c>
      <c r="D9" s="71">
        <v>7087</v>
      </c>
      <c r="E9" s="71">
        <v>0</v>
      </c>
      <c r="F9" s="71">
        <v>2439</v>
      </c>
      <c r="G9" s="71">
        <v>7014</v>
      </c>
      <c r="H9" s="71">
        <v>1923</v>
      </c>
      <c r="I9" s="71">
        <v>0</v>
      </c>
      <c r="J9" s="71">
        <v>6.71</v>
      </c>
      <c r="K9" s="71">
        <v>7.41</v>
      </c>
      <c r="L9" s="71">
        <v>18.309999999999999</v>
      </c>
      <c r="M9" s="71">
        <v>2108</v>
      </c>
      <c r="N9" s="71">
        <v>5589</v>
      </c>
      <c r="O9" s="71">
        <v>3291</v>
      </c>
      <c r="P9" s="71">
        <v>2132</v>
      </c>
      <c r="Q9" s="71">
        <v>6488</v>
      </c>
      <c r="R9" s="71">
        <v>7003</v>
      </c>
      <c r="S9" s="71">
        <v>5927</v>
      </c>
      <c r="T9" s="71">
        <v>7111</v>
      </c>
      <c r="U9" s="71">
        <v>5058</v>
      </c>
      <c r="V9" s="71">
        <v>1403</v>
      </c>
      <c r="W9" s="71">
        <v>0</v>
      </c>
      <c r="X9" s="71">
        <v>0</v>
      </c>
      <c r="Y9" s="71">
        <v>0</v>
      </c>
      <c r="Z9" s="71">
        <v>2827</v>
      </c>
      <c r="AA9" s="71">
        <v>2879</v>
      </c>
      <c r="AB9" s="71">
        <v>2902</v>
      </c>
      <c r="AC9" s="71">
        <v>8543</v>
      </c>
      <c r="AD9" s="71">
        <v>4780</v>
      </c>
      <c r="AE9" s="71">
        <v>2724</v>
      </c>
    </row>
    <row r="10" spans="1:99" s="72" customFormat="1" ht="22.5" ph="1">
      <c r="B10" s="191" ph="1"/>
      <c r="C10" s="154" t="s" ph="1">
        <v>178</v>
      </c>
      <c r="D10" s="73" ph="1">
        <f>D9*33.183*LOOKUP(D11,密度!$A$2:$A$50,密度!$Q$2:$Q$50)</f>
        <v>224477.18731134001</v>
      </c>
      <c r="E10" s="73" ph="1">
        <f>E9*51.53*LOOKUP(E11,密度!$A$2:$A$50,密度!$B$2:$B$50)</f>
        <v>0</v>
      </c>
      <c r="F10" s="73" ph="1">
        <f>F9*33.183*LOOKUP(F11,密度!$A$2:$A$50,密度!$C$2:$C$50)</f>
        <v>90370.164094200009</v>
      </c>
      <c r="G10" s="73" ph="1">
        <f xml:space="preserve"> (G9+2)*51.53*LOOKUP(G11,密度!$A$2:$A$50,密度!$B$2:$B$50)</f>
        <v>285214.55127200001</v>
      </c>
      <c r="H10" s="73" ph="1">
        <f>(H9)*51.53*LOOKUP(H11,密度!$A$2:$A$50,密度!$B$2:$B$50)</f>
        <v>78253.102442999996</v>
      </c>
      <c r="I10" s="73" ph="1">
        <f>I9*290.8*1.0267</f>
        <v>0</v>
      </c>
      <c r="J10" s="73" ph="1">
        <f>J9*290.8*0.7892</f>
        <v>1539.9407056</v>
      </c>
      <c r="K10" s="73" ph="1">
        <f>K9*290.8*1.1126</f>
        <v>2397.4616328000002</v>
      </c>
      <c r="L10" s="73" ph="1">
        <f>L9*290.8*0.777</f>
        <v>4137.173796</v>
      </c>
      <c r="M10" s="73" ph="1">
        <f>M9*33.183*LOOKUP(M11,密度!$A$2:$A$50,密度!$D$2:$D$50)</f>
        <v>72384.015787199998</v>
      </c>
      <c r="N10" s="73" ph="1">
        <f>N9*33.183*LOOKUP(N11,密度!$A$2:$A$50,密度!$E$2:$E$50)</f>
        <v>147180.8869632</v>
      </c>
      <c r="O10" s="73" ph="1">
        <f>O9*20.428*LOOKUP(O11,密度!$A$2:$A$50,密度!$C$2:$C$50)</f>
        <v>74838.819633600011</v>
      </c>
      <c r="P10" s="73" ph="1">
        <f>P9*51.53*LOOKUP(P11,密度!$A$2:$A$50,密度!$B$2:$B$50)</f>
        <v>86395.445344000007</v>
      </c>
      <c r="Q10" s="73" ph="1">
        <f>Q9*1.5*1.5*3.1416*LOOKUP(W11,密度!$A$2:$A$50,密度!$L$2:$L$50)</f>
        <v>43155.273268800003</v>
      </c>
      <c r="R10" s="73" ph="1">
        <f>R9*1.5*1.5*3.1416*LOOKUP(R11,密度!$A$2:$A$50,密度!$L$2:$L$50)</f>
        <v>46630.3242636</v>
      </c>
      <c r="S10" s="73" ph="1">
        <f>S9*1.5*1.5*3.1416*LOOKUP(S11,密度!$A$2:$A$50,密度!$L$2:$L$50)</f>
        <v>39758.916997799999</v>
      </c>
      <c r="T10" s="73" ph="1">
        <f>T9*1.5*1.5*3.1416*LOOKUP(T11,密度!$A$2:$A$50,密度!$L$2:$L$50)</f>
        <v>47751.573869999993</v>
      </c>
      <c r="U10" s="73" ph="1">
        <f>U9*1.5*1.5*3.1416*LOOKUP(U11,密度!$A$2:$A$50,密度!$L$2:$L$50)</f>
        <v>33858.070923599997</v>
      </c>
      <c r="V10" s="73" ph="1">
        <f>V9*1.5*1.5*3.1416*LOOKUP(V11,密度!$A$2:$A$50,密度!$L$2:$L$50)</f>
        <v>9342.0455435999993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88930.30726799999</v>
      </c>
      <c r="AA10" s="73" ph="1">
        <f>AA9*33.183*LOOKUP(AA11,密度!$A$2:$A$50,密度!$D$2:$D$50)</f>
        <v>98934.862309200005</v>
      </c>
      <c r="AB10" s="73" ph="1">
        <f>AB9*20.428*LOOKUP(AB11,密度!$A$2:$A$50,密度!$D$2:$D$50)</f>
        <v>61813.399791200005</v>
      </c>
      <c r="AC10" s="73" ph="1">
        <f>AC9*51.53*LOOKUP(AC11,密度!$A$2:$A$50,密度!$Q$2:$Q$50)</f>
        <v>420208.35288660007</v>
      </c>
      <c r="AD10" s="73" ph="1">
        <f>AD9*20.428*LOOKUP(AD11,密度!$A$2:$A$50,密度!$V$2:$V$50)</f>
        <v>94130.589760000003</v>
      </c>
      <c r="AE10" s="73" ph="1">
        <f>AE9*20.428</f>
        <v>55645.872000000003</v>
      </c>
    </row>
    <row r="11" spans="1:99" ph="1">
      <c r="A11" s="64" t="s" ph="1">
        <v>162</v>
      </c>
      <c r="B11" s="191" ph="1"/>
      <c r="C11" s="154" t="s" ph="1">
        <v>179</v>
      </c>
      <c r="D11" s="74">
        <v>14</v>
      </c>
      <c r="E11" s="74">
        <v>14</v>
      </c>
      <c r="F11" s="74">
        <v>14</v>
      </c>
      <c r="G11" s="74">
        <v>14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16</v>
      </c>
      <c r="O11" s="74">
        <v>19</v>
      </c>
      <c r="P11" s="74">
        <v>17</v>
      </c>
      <c r="Q11" s="74">
        <v>18</v>
      </c>
      <c r="R11" s="74">
        <v>20</v>
      </c>
      <c r="S11" s="74">
        <v>13</v>
      </c>
      <c r="T11" s="74">
        <v>12</v>
      </c>
      <c r="U11" s="74">
        <v>15</v>
      </c>
      <c r="V11" s="74">
        <v>20</v>
      </c>
      <c r="W11" s="74">
        <v>21</v>
      </c>
      <c r="X11" s="74">
        <v>12</v>
      </c>
      <c r="Y11" s="74">
        <v>15</v>
      </c>
      <c r="Z11" s="74">
        <v>14</v>
      </c>
      <c r="AA11" s="74">
        <v>15</v>
      </c>
      <c r="AB11" s="74">
        <v>7</v>
      </c>
      <c r="AC11" s="74">
        <v>14</v>
      </c>
      <c r="AD11" s="74">
        <v>14</v>
      </c>
      <c r="AE11" s="74">
        <v>17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54" t="s" ph="1">
        <v>177</v>
      </c>
      <c r="D15" s="78">
        <v>2431</v>
      </c>
      <c r="E15" s="78">
        <v>5586</v>
      </c>
      <c r="F15" s="78">
        <v>2235</v>
      </c>
      <c r="G15" s="78">
        <v>1681</v>
      </c>
      <c r="H15" s="78">
        <v>0</v>
      </c>
      <c r="I15" s="78">
        <v>2456</v>
      </c>
      <c r="J15" s="78">
        <v>331</v>
      </c>
      <c r="K15" s="78">
        <v>4048</v>
      </c>
      <c r="L15" s="78">
        <v>927</v>
      </c>
      <c r="M15" s="78">
        <v>3767</v>
      </c>
      <c r="N15" s="78">
        <v>2672</v>
      </c>
      <c r="O15" s="78">
        <v>3565</v>
      </c>
      <c r="P15" s="78">
        <v>5165</v>
      </c>
      <c r="Q15" s="78">
        <v>7173</v>
      </c>
      <c r="R15" s="78">
        <v>4876</v>
      </c>
      <c r="S15" s="78">
        <v>6377</v>
      </c>
      <c r="T15" s="78">
        <v>4018</v>
      </c>
      <c r="U15" s="78">
        <v>3001</v>
      </c>
      <c r="V15" s="78">
        <v>1723</v>
      </c>
      <c r="W15" s="71">
        <v>-817</v>
      </c>
      <c r="X15" s="78">
        <v>452</v>
      </c>
      <c r="Y15" s="106">
        <v>-9900</v>
      </c>
      <c r="Z15" s="78">
        <v>0</v>
      </c>
      <c r="AA15" s="78">
        <v>11</v>
      </c>
      <c r="AB15" s="78" ph="1">
        <v>1880</v>
      </c>
      <c r="AC15" s="78" ph="1">
        <v>0</v>
      </c>
      <c r="AD15" s="78">
        <v>34.71</v>
      </c>
      <c r="AE15" s="78">
        <v>5.72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54" t="s" ph="1">
        <v>178</v>
      </c>
      <c r="D16" s="73" ph="1">
        <f>D15*7.0686*LOOKUP(D17,密度!$A$2:$A$50,密度!$L$2:$L$50)</f>
        <v>16324.578269999998</v>
      </c>
      <c r="E16" s="73" ph="1">
        <f>E15*7.0686*LOOKUP(E17,密度!$A$2:$A$50,密度!$L$2:$L$50)</f>
        <v>37510.939619999997</v>
      </c>
      <c r="F16" s="73" ph="1">
        <f>F15*9.0746*LOOKUP(F17,密度!$A$2:$A$50,密度!$L$2:$L$50)</f>
        <v>19247.362719000001</v>
      </c>
      <c r="G16" s="73" ph="1">
        <f>G15*9.0746*LOOKUP(G17,密度!$A$2:$A$50,密度!$B$2:$B$50)</f>
        <v>12020.469248800002</v>
      </c>
      <c r="H16" s="73" ph="1">
        <f>H15*9.0746*LOOKUP(H17,密度!$A$2:$A$50,密度!$L$2:$L$50)</f>
        <v>0</v>
      </c>
      <c r="I16" s="73" ph="1">
        <f>I15*9.0746*LOOKUP(I17,密度!$A$2:$A$50,密度!$U$2:$U$50)</f>
        <v>22911.259692800002</v>
      </c>
      <c r="J16" s="73" ph="1">
        <f>J15*9.0746*LOOKUP(J17,密度!$A$2:$A$50,密度!$L$2:$L$50)</f>
        <v>2850.5042773999999</v>
      </c>
      <c r="K16" s="73" ph="1">
        <f>K15*9.0746*LOOKUP(K17,密度!$A$2:$A$50,密度!$C$2:$C$50)</f>
        <v>41046.550145919995</v>
      </c>
      <c r="L16" s="73" ph="1">
        <f>L15*9.0746*LOOKUP(L17,密度!$A$2:$A$50,密度!$E$2:$E$50)</f>
        <v>6743.1828067200004</v>
      </c>
      <c r="M16" s="73" ph="1">
        <f>M15*9.0746*LOOKUP(M17,密度!$A$2:$A$50,密度!$M$2:$M$50)</f>
        <v>30092.191221459998</v>
      </c>
      <c r="N16" s="73" ph="1">
        <f>N15*9.0746*LOOKUP(N17,密度!$A$2:$A$50,密度!$M$2:$M$50)</f>
        <v>21344.925655359999</v>
      </c>
      <c r="O16" s="73" ph="1">
        <f>O15*9.0746*LOOKUP(O17,密度!$A$2:$A$50,密度!$G$2:$G$50)</f>
        <v>31348.069581</v>
      </c>
      <c r="P16" s="73" ph="1">
        <f ca="1">P15*9.0746*LOOKUP(P17,密度!$A$2:$A$51,密度!$Q$2:$Q$50)</f>
        <v>44739.584752860006</v>
      </c>
      <c r="Q16" s="73" ph="1">
        <f>Q15*9.0746*LOOKUP(Q17,密度!$A$2:$A$50,密度!$Q$2:$Q$50)</f>
        <v>62133.018670332007</v>
      </c>
      <c r="R16" s="73" ph="1">
        <f>MAX(R15*9.0746*LOOKUP(R17,密度!$A$2:$A$50,密度!$B$2:$B$50),0)</f>
        <v>34867.226684800007</v>
      </c>
      <c r="S16" s="73" ph="1">
        <f>S15*9.0746*LOOKUP(S17,密度!$A$2:$A$50,密度!$Q$2:$Q$50)</f>
        <v>55238.011997868009</v>
      </c>
      <c r="T16" s="73" ph="1">
        <f>T15*9.0746*LOOKUP(T17,密度!$A$2:$A$50,密度!$O$2:$O$50)</f>
        <v>34055.267775200002</v>
      </c>
      <c r="U16" s="73" ph="1">
        <f>U15*9.0746*LOOKUP(U17,密度!$A$2:$A$50,密度!$H$2:$H$50)</f>
        <v>25318.403515619997</v>
      </c>
      <c r="V16" s="73" ph="1">
        <f>MAX(5600*LOOKUP(V17,密度!$A$2:$A$50,密度!$Q$2:$Q$50)+V15*9.0476*LOOKUP(V17,密度!$A$2:$A$50,密度!$Q$2:$Q$50),0)</f>
        <v>20225.762187191998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10078.064759520001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79.087861379999993</v>
      </c>
      <c r="AB16" s="73" ph="1">
        <f>AB15*9.0746*LOOKUP(AB17,密度!$A$2:$A$50,密度!$L$2:$L$50)</f>
        <v>16156.054855999999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8491.3118308800003</v>
      </c>
      <c r="AE16" s="73" ph="1">
        <f>AE15*268.68*LOOKUP(AE17,密度!$A$2:$A$50,密度!B2:B50)+IF(AE15&lt;=0,0,1566*LOOKUP(AE17,密度!$A$2:$A$50,密度!B2:B50))</f>
        <v>2418.9815481599999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12</v>
      </c>
      <c r="E17" s="74">
        <v>12</v>
      </c>
      <c r="F17" s="74">
        <v>13</v>
      </c>
      <c r="G17" s="74">
        <v>15</v>
      </c>
      <c r="H17" s="74">
        <v>10</v>
      </c>
      <c r="I17" s="74">
        <v>11</v>
      </c>
      <c r="J17" s="74">
        <v>13</v>
      </c>
      <c r="K17" s="74">
        <v>13</v>
      </c>
      <c r="L17" s="74">
        <v>10</v>
      </c>
      <c r="M17" s="74">
        <v>15</v>
      </c>
      <c r="N17" s="74">
        <v>13</v>
      </c>
      <c r="O17" s="74">
        <v>17</v>
      </c>
      <c r="P17" s="74">
        <v>14</v>
      </c>
      <c r="Q17" s="74">
        <v>12</v>
      </c>
      <c r="R17" s="74">
        <v>15</v>
      </c>
      <c r="S17" s="74">
        <v>12</v>
      </c>
      <c r="T17" s="74">
        <v>15</v>
      </c>
      <c r="U17" s="74">
        <v>10</v>
      </c>
      <c r="V17" s="74">
        <v>12</v>
      </c>
      <c r="W17" s="74">
        <v>10</v>
      </c>
      <c r="X17" s="74">
        <v>27</v>
      </c>
      <c r="Y17" s="108">
        <v>27</v>
      </c>
      <c r="Z17" s="74">
        <v>14</v>
      </c>
      <c r="AA17" s="74">
        <v>10</v>
      </c>
      <c r="AB17" s="74">
        <v>15</v>
      </c>
      <c r="AC17" s="74">
        <v>11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5257</v>
      </c>
      <c r="E18" s="71">
        <v>5913</v>
      </c>
      <c r="F18" s="71">
        <v>2235</v>
      </c>
      <c r="G18" s="71">
        <v>1742</v>
      </c>
      <c r="H18" s="71">
        <v>0</v>
      </c>
      <c r="I18" s="71">
        <v>4716</v>
      </c>
      <c r="J18" s="71">
        <v>401</v>
      </c>
      <c r="K18" s="71">
        <v>4049</v>
      </c>
      <c r="L18" s="71">
        <v>929</v>
      </c>
      <c r="M18" s="71">
        <v>4323</v>
      </c>
      <c r="N18" s="71">
        <v>3200</v>
      </c>
      <c r="O18" s="71">
        <v>3567</v>
      </c>
      <c r="P18" s="71">
        <v>5175</v>
      </c>
      <c r="Q18" s="71">
        <v>7180</v>
      </c>
      <c r="R18" s="71">
        <v>6064</v>
      </c>
      <c r="S18" s="71">
        <v>6381</v>
      </c>
      <c r="T18" s="71">
        <v>3471</v>
      </c>
      <c r="U18" s="71">
        <v>3001</v>
      </c>
      <c r="V18" s="71">
        <v>1722</v>
      </c>
      <c r="W18" s="71">
        <v>-817</v>
      </c>
      <c r="X18" s="71">
        <v>449</v>
      </c>
      <c r="Y18" s="109">
        <v>-9901</v>
      </c>
      <c r="Z18" s="71">
        <v>0</v>
      </c>
      <c r="AA18" s="71">
        <v>11</v>
      </c>
      <c r="AB18" s="71">
        <v>2341</v>
      </c>
      <c r="AC18" s="71">
        <v>0</v>
      </c>
      <c r="AD18" s="71">
        <v>83.71</v>
      </c>
      <c r="AE18" s="71">
        <v>5.71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54" t="s" ph="1">
        <v>178</v>
      </c>
      <c r="D19" s="73" ph="1">
        <f>D18*7.0686*LOOKUP(D20,密度!$A$2:$A$50,密度!$L$2:$L$50)</f>
        <v>35190.169799399999</v>
      </c>
      <c r="E19" s="73" ph="1">
        <f>E18*7.0686*LOOKUP(E20,密度!$A$2:$A$50,密度!$L$2:$L$50)</f>
        <v>39581.410314599998</v>
      </c>
      <c r="F19" s="73" ph="1">
        <f>F18*9.0746*LOOKUP(F20,密度!$A$2:$A$50,密度!$L$2:$L$50)</f>
        <v>19166.235795000001</v>
      </c>
      <c r="G19" s="73" ph="1">
        <f>G18*9.0746*LOOKUP(G20,密度!$A$2:$A$50,密度!$B$2:$B$50)</f>
        <v>12444.02075904</v>
      </c>
      <c r="H19" s="73" ph="1">
        <f>H18*9.0746*LOOKUP(H20,密度!$A$2:$A$50,密度!$L$2:$L$50)</f>
        <v>0</v>
      </c>
      <c r="I19" s="73" ph="1">
        <f>I18*9.0746*LOOKUP(I20,密度!$A$2:$A$50,密度!$U$2:$U$50)</f>
        <v>43994.096380800001</v>
      </c>
      <c r="J19" s="73" ph="1">
        <f>J18*9.0746*LOOKUP(J20,密度!$A$2:$A$50,密度!$L$2:$L$50)</f>
        <v>3442.4132116000001</v>
      </c>
      <c r="K19" s="73" ph="1">
        <f>K18*9.0746*LOOKUP(K20,密度!$A$2:$A$50,密度!$C$2:$C$50)</f>
        <v>40997.901215319995</v>
      </c>
      <c r="L19" s="73" ph="1">
        <f>L18*9.0746*LOOKUP(L20,密度!$A$2:$A$50,密度!$E$2:$E$50)</f>
        <v>6699.5621119799998</v>
      </c>
      <c r="M19" s="73" ph="1">
        <f>M18*9.0746*LOOKUP(M20,密度!$A$2:$A$50,密度!$M$2:$M$50)</f>
        <v>34533.72515274</v>
      </c>
      <c r="N19" s="73" ph="1">
        <f>N18*9.0746*LOOKUP(N20,密度!$A$2:$A$50,密度!$M$2:$M$50)</f>
        <v>25562.785216</v>
      </c>
      <c r="O19" s="73" ph="1">
        <f>O18*9.0746*LOOKUP(O20,密度!$A$2:$A$50,密度!$G$2:$G$50)</f>
        <v>31333.287057599999</v>
      </c>
      <c r="P19" s="73" ph="1">
        <f ca="1">P18*9.0746*LOOKUP(P20,密度!$A$2:$A$51,密度!$Q$2:$Q$50)</f>
        <v>44707.393970550002</v>
      </c>
      <c r="Q19" s="73" ph="1">
        <f>Q18*9.0746*LOOKUP(Q20,密度!$A$2:$A$50,密度!$Q$2:$Q$50)</f>
        <v>62193.653151120008</v>
      </c>
      <c r="R19" s="73" ph="1">
        <f>MAX(R18*9.0746*LOOKUP(R20,密度!$A$2:$A$50,密度!$B$2:$B$50),0)</f>
        <v>43147.748367040003</v>
      </c>
      <c r="S19" s="73" ph="1">
        <f>S18*9.0746*LOOKUP(S20,密度!$A$2:$A$50,密度!$Q$2:$Q$50)</f>
        <v>55272.660272604007</v>
      </c>
      <c r="T19" s="73" ph="1">
        <f>T18*9.0746*LOOKUP(T20,密度!$A$2:$A$50,密度!$O$2:$O$50)</f>
        <v>29293.081038000004</v>
      </c>
      <c r="U19" s="73" ph="1">
        <f>U18*9.0746*LOOKUP(U20,密度!$A$2:$A$50,密度!$H$2:$H$50)</f>
        <v>25182.239142619997</v>
      </c>
      <c r="V19" s="73" ph="1">
        <f>MAX(5600*LOOKUP(V20,密度!$A$2:$A$50,密度!$Q$2:$Q$50)+V18*9.0476*LOOKUP(V20,密度!$A$2:$A$50,密度!$Q$2:$Q$50),0)</f>
        <v>20217.125891087999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10049.83353324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78.748471340000009</v>
      </c>
      <c r="AB19" s="73" ph="1">
        <f>AB18*9.0746*LOOKUP(AB20,密度!$A$2:$A$50,密度!$L$2:$L$50)</f>
        <v>20053.994838400002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18692.446575599999</v>
      </c>
      <c r="AE19" s="73" ph="1">
        <f>AE18*268.68*LOOKUP(AE20,密度!$A$2:$A$50,密度!B5:B53)+IF(AE18&lt;=0,0,1566*LOOKUP(AE20,密度!$A$2:$A$50,密度!B5:B53))</f>
        <v>2408.8264956000003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15</v>
      </c>
      <c r="E20" s="81">
        <v>15</v>
      </c>
      <c r="F20" s="81">
        <v>17</v>
      </c>
      <c r="G20" s="81">
        <v>16</v>
      </c>
      <c r="H20" s="81">
        <v>11</v>
      </c>
      <c r="I20" s="81">
        <v>15</v>
      </c>
      <c r="J20" s="81">
        <v>16</v>
      </c>
      <c r="K20" s="81">
        <v>15</v>
      </c>
      <c r="L20" s="81">
        <v>15</v>
      </c>
      <c r="M20" s="81">
        <v>18</v>
      </c>
      <c r="N20" s="81">
        <v>15</v>
      </c>
      <c r="O20" s="81">
        <v>18</v>
      </c>
      <c r="P20" s="81">
        <v>18</v>
      </c>
      <c r="Q20" s="81">
        <v>15</v>
      </c>
      <c r="R20" s="81">
        <v>20</v>
      </c>
      <c r="S20" s="81">
        <v>14</v>
      </c>
      <c r="T20" s="81">
        <v>20</v>
      </c>
      <c r="U20" s="81">
        <v>15</v>
      </c>
      <c r="V20" s="81">
        <v>15</v>
      </c>
      <c r="W20" s="81">
        <v>17</v>
      </c>
      <c r="X20" s="81">
        <v>27</v>
      </c>
      <c r="Y20" s="110">
        <v>27</v>
      </c>
      <c r="Z20" s="81">
        <v>20</v>
      </c>
      <c r="AA20" s="81">
        <v>14</v>
      </c>
      <c r="AB20" s="81">
        <v>18</v>
      </c>
      <c r="AC20" s="81">
        <v>13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642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54" t="s" ph="1">
        <v>177</v>
      </c>
      <c r="D24" s="71">
        <v>3.72</v>
      </c>
      <c r="E24" s="71">
        <v>4.91</v>
      </c>
      <c r="F24" s="71">
        <v>575</v>
      </c>
      <c r="G24" s="71">
        <v>2856</v>
      </c>
      <c r="H24" s="71">
        <v>2861</v>
      </c>
      <c r="I24" s="71">
        <v>69</v>
      </c>
      <c r="J24" s="71">
        <v>3517</v>
      </c>
      <c r="K24" s="71">
        <v>2433</v>
      </c>
      <c r="L24" s="71">
        <v>5527</v>
      </c>
      <c r="M24" s="71">
        <v>4856</v>
      </c>
      <c r="N24" s="71">
        <v>5578</v>
      </c>
      <c r="O24" s="71">
        <v>5713</v>
      </c>
      <c r="P24" s="71">
        <v>649</v>
      </c>
      <c r="Q24" s="90">
        <v>3577</v>
      </c>
      <c r="R24" s="71">
        <v>4104</v>
      </c>
      <c r="S24" s="71">
        <v>3149</v>
      </c>
      <c r="T24" s="71">
        <v>160</v>
      </c>
      <c r="U24" s="71">
        <v>4629</v>
      </c>
      <c r="V24" s="71">
        <v>3095</v>
      </c>
      <c r="W24" s="71">
        <v>1035</v>
      </c>
      <c r="X24" s="71">
        <v>4199</v>
      </c>
      <c r="Y24" s="71">
        <v>6836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2428.851623904</v>
      </c>
      <c r="E25" s="91" ph="1">
        <f>E24*268.68*LOOKUP(E26,密度!$A$2:$A$50,密度!$C$2:$C$50)+IF(E24&lt;=0,0,1566*LOOKUP(E26,密度!$A$2:$A$50,密度!$C$2:$C$50))</f>
        <v>3199.4191273200004</v>
      </c>
      <c r="F25" s="91" ph="1">
        <f>F24*11.702*LOOKUP(F26,密度!$A$2:$A$50,密度!$Q$2:$Q$50)</f>
        <v>6422.7655709999999</v>
      </c>
      <c r="G25" s="91" ph="1">
        <f>G24*18.322*LOOKUP(G26,密度!$A$2:$A$50,密度!$B$2:$B$50)</f>
        <v>41234.174015999997</v>
      </c>
      <c r="H25" s="91" ph="1">
        <f>H24*18.322*LOOKUP(H26,密度!$A$2:$A$50,密度!$B$2:$B$50)</f>
        <v>41353.540013800004</v>
      </c>
      <c r="I25" s="91" ph="1">
        <f>I24*18.322*LOOKUP(I26,密度!$A$2:$A$50,密度!$Q$2:$Q$50)</f>
        <v>1206.7466497199998</v>
      </c>
      <c r="J25" s="91" ph="1">
        <f>J24*18.322*LOOKUP(J26,密度!$A$2:$A$50,密度!$Q$2:$Q$50)</f>
        <v>61509.100971959997</v>
      </c>
      <c r="K25" s="91" ph="1">
        <f>K24*18.322*LOOKUP(K26,密度!$A$2:$A$50,密度!$Q$2:$Q$50)</f>
        <v>42550.936214040004</v>
      </c>
      <c r="L25" s="91" ph="1">
        <f>L24*18.322*LOOKUP(L26,密度!$A$2:$A$50,密度!$Q$2:$Q$50)</f>
        <v>96662.155550759999</v>
      </c>
      <c r="M25" s="91" ph="1">
        <f>M24*18.322*LOOKUP(M26,密度!$A$2:$A$50,密度!$Q$2:$Q$50)</f>
        <v>84926.981609280003</v>
      </c>
      <c r="N25" s="91" ph="1">
        <f>N24*18.322*LOOKUP(N26,密度!$A$2:$A$50,密度!$Q$2:$Q$50)</f>
        <v>97554.098726640004</v>
      </c>
      <c r="O25" s="91" ph="1">
        <f>O24*18.322*LOOKUP(O26,密度!$A$2:$A$50,密度!$C$2:$C$50)</f>
        <v>116962.26499639999</v>
      </c>
      <c r="P25" s="91" ph="1">
        <f>P24*11.702*LOOKUP(P26,密度!$A$2:$A$50,密度!$B$2:$B$50)</f>
        <v>5984.543224</v>
      </c>
      <c r="Q25" s="92" ph="1">
        <f>Q24*18.322*LOOKUP(Q26,密度!$A$2:$A$50,密度!$B$2:$B$50)</f>
        <v>51643.781671999997</v>
      </c>
      <c r="R25" s="91" ph="1">
        <f>R24*35.891*LOOKUP(R26,密度!$A$2:$A$50,密度!$C$2:$C$50)</f>
        <v>164265.23969279998</v>
      </c>
      <c r="S25" s="91" ph="1">
        <f>S24*35.891*LOOKUP(S26,密度!$A$2:$A$50,密度!$B$2:$B$50)</f>
        <v>89060.358091999995</v>
      </c>
      <c r="T25" s="91" ph="1">
        <f>T24*35.891*LOOKUP(T26,密度!$A$2:$A$50,密度!$Q$2:$Q$50)</f>
        <v>5481.5032223999997</v>
      </c>
      <c r="U25" s="91" ph="1">
        <f>U24*35.891</f>
        <v>166139.43899999998</v>
      </c>
      <c r="V25" s="91" ph="1">
        <f>V24*47.051*LOOKUP(V26,密度!$A$2:$A$50,密度!$B$2:$B$50)</f>
        <v>114634.30358400001</v>
      </c>
      <c r="W25" s="91" ph="1">
        <f>W24*47.051*LOOKUP(W26,密度!$A$2:$A$50,密度!$B$2:$B$50)</f>
        <v>38373.854580000007</v>
      </c>
      <c r="X25" s="91" ph="1">
        <f>X24*47.051*LOOKUP(X26,密度!$A$2:$A$61,密度!$I$2:$I$61)</f>
        <v>201064.08753730002</v>
      </c>
      <c r="Y25" s="91" ph="1">
        <f>Y24*47.051*LOOKUP(Y26,密度!$A$2:$A$50,密度!$L$2:$L$50)</f>
        <v>303307.119748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15</v>
      </c>
      <c r="H26" s="74">
        <v>14</v>
      </c>
      <c r="I26" s="74">
        <v>13</v>
      </c>
      <c r="J26" s="74">
        <v>13</v>
      </c>
      <c r="K26" s="74">
        <v>15</v>
      </c>
      <c r="L26" s="74">
        <v>15</v>
      </c>
      <c r="M26" s="74">
        <v>15</v>
      </c>
      <c r="N26" s="74">
        <v>13</v>
      </c>
      <c r="O26" s="74">
        <v>13</v>
      </c>
      <c r="P26" s="74">
        <v>15</v>
      </c>
      <c r="Q26" s="93">
        <v>15</v>
      </c>
      <c r="R26" s="74">
        <v>16</v>
      </c>
      <c r="S26" s="74">
        <v>15</v>
      </c>
      <c r="T26" s="74">
        <v>13</v>
      </c>
      <c r="U26" s="74">
        <v>15</v>
      </c>
      <c r="V26" s="74">
        <v>16</v>
      </c>
      <c r="W26" s="74">
        <v>15</v>
      </c>
      <c r="X26" s="74">
        <v>47</v>
      </c>
      <c r="Y26" s="74">
        <v>19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54" t="s" ph="1">
        <v>180</v>
      </c>
      <c r="D27" s="71">
        <v>3.72</v>
      </c>
      <c r="E27" s="71">
        <v>4.91</v>
      </c>
      <c r="F27" s="71">
        <v>574</v>
      </c>
      <c r="G27" s="71">
        <v>2385</v>
      </c>
      <c r="H27" s="71">
        <v>2431</v>
      </c>
      <c r="I27" s="71">
        <v>66</v>
      </c>
      <c r="J27" s="71">
        <v>3516</v>
      </c>
      <c r="K27" s="71">
        <v>2444</v>
      </c>
      <c r="L27" s="71">
        <v>5526</v>
      </c>
      <c r="M27" s="71">
        <v>4857</v>
      </c>
      <c r="N27" s="71">
        <v>5577</v>
      </c>
      <c r="O27" s="71">
        <v>5711</v>
      </c>
      <c r="P27" s="71">
        <v>646</v>
      </c>
      <c r="Q27" s="90">
        <v>3885</v>
      </c>
      <c r="R27" s="71">
        <v>4091</v>
      </c>
      <c r="S27" s="71">
        <v>2774</v>
      </c>
      <c r="T27" s="71">
        <v>159</v>
      </c>
      <c r="U27" s="71">
        <v>4372</v>
      </c>
      <c r="V27" s="71">
        <v>3093</v>
      </c>
      <c r="W27" s="71">
        <v>1977</v>
      </c>
      <c r="X27" s="71">
        <v>4811</v>
      </c>
      <c r="Y27" s="71">
        <v>7473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54" t="s" ph="1">
        <v>178</v>
      </c>
      <c r="D28" s="91" ph="1">
        <f>D27*268.68*LOOKUP(D29,密度!$A$2:$A$50,密度!$Q$2:$Q$50)+IF(D27&lt;=0,0,1566*LOOKUP(D29,密度!$A$2:$A$50,密度!$Q$2:$Q$50))</f>
        <v>2428.851623904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6411.5955439200006</v>
      </c>
      <c r="G28" s="91" ph="1">
        <f>G27*18.322*LOOKUP(G29,密度!$A$2:$A$50,密度!$B$2:$B$50)</f>
        <v>34399.041984000003</v>
      </c>
      <c r="H28" s="91" ph="1">
        <f>H27*18.322*LOOKUP(H29,密度!$A$2:$A$50,密度!$B$2:$B$50)</f>
        <v>35062.503590400003</v>
      </c>
      <c r="I28" s="91" ph="1">
        <f>I27*18.322*LOOKUP(I29,密度!$A$2:$A$50,密度!$Q$2:$Q$50)</f>
        <v>1152.1753056</v>
      </c>
      <c r="J28" s="91" ph="1">
        <f>J27*18.322*LOOKUP(J29,密度!$A$2:$A$50,密度!$Q$2:$Q$50)</f>
        <v>61431.056947199992</v>
      </c>
      <c r="K28" s="91" ph="1">
        <f>K27*18.322*LOOKUP(K29,密度!$A$2:$A$50,密度!$Q$2:$Q$50)</f>
        <v>42743.316114720001</v>
      </c>
      <c r="L28" s="91" ph="1">
        <f>L27*18.322*LOOKUP(L29,密度!$A$2:$A$50,密度!$Q$2:$Q$50)</f>
        <v>96644.666468879994</v>
      </c>
      <c r="M28" s="91" ph="1">
        <f>M27*18.322*LOOKUP(M29,密度!$A$2:$A$50,密度!$Q$2:$Q$50)</f>
        <v>84860.820134399997</v>
      </c>
      <c r="N28" s="91" ph="1">
        <f>N27*18.322*LOOKUP(N29,密度!$A$2:$A$50,密度!$Q$2:$Q$50)</f>
        <v>97440.558758400002</v>
      </c>
      <c r="O28" s="91" ph="1">
        <f>O27*18.322*LOOKUP(O29,密度!$A$2:$A$50,密度!$C$2:$C$50)</f>
        <v>116617.87185900001</v>
      </c>
      <c r="P28" s="91" ph="1">
        <f>P27*11.702*LOOKUP(P29,密度!$A$2:$A$50,密度!$B$2:$B$50)</f>
        <v>5944.7845088000004</v>
      </c>
      <c r="Q28" s="92" ph="1">
        <f>Q27*18.322*LOOKUP(Q29,密度!$A$2:$A$50,密度!$B$2:$B$50)</f>
        <v>56033.659584000001</v>
      </c>
      <c r="R28" s="91" ph="1">
        <f>R27*35.891*LOOKUP(R29,密度!$A$2:$A$50,密度!$C$2:$C$50)</f>
        <v>163744.90633120001</v>
      </c>
      <c r="S28" s="91" ph="1">
        <f>S27*35.891*LOOKUP(S29,密度!$A$2:$A$50,密度!$B$2:$B$50)</f>
        <v>78454.567591999992</v>
      </c>
      <c r="T28" s="91" ph="1">
        <f>T27*35.891*LOOKUP(T29,密度!$A$2:$A$50,密度!$Q$2:$Q$50)</f>
        <v>5441.8795584</v>
      </c>
      <c r="U28" s="91" ph="1">
        <f>U27*35.891</f>
        <v>156915.45199999999</v>
      </c>
      <c r="V28" s="91" ph="1">
        <f>V27*47.051*LOOKUP(V29,密度!$A$2:$A$50,密度!$B$2:$B$50)</f>
        <v>114443.80349520002</v>
      </c>
      <c r="W28" s="91" ph="1">
        <f>W27*47.051*LOOKUP(W29,密度!$A$2:$A$50,密度!$B$2:$B$50)</f>
        <v>73150.791952800006</v>
      </c>
      <c r="X28" s="91" ph="1">
        <f>X27*47.051*LOOKUP(X29,密度!$A$2:$A$61,密度!$I$2:$I$61)</f>
        <v>230368.97478970001</v>
      </c>
      <c r="Y28" s="91" ph="1">
        <f>Y27*47.051*LOOKUP(Y29,密度!$A$2:$A$50,密度!$L$2:$L$50)</f>
        <v>332625.06835800002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54" t="s" ph="1">
        <v>179</v>
      </c>
      <c r="D29" s="74">
        <v>25</v>
      </c>
      <c r="E29" s="74">
        <v>25</v>
      </c>
      <c r="F29" s="74">
        <v>15</v>
      </c>
      <c r="G29" s="74">
        <v>16</v>
      </c>
      <c r="H29" s="74">
        <v>16</v>
      </c>
      <c r="I29" s="74">
        <v>17</v>
      </c>
      <c r="J29" s="74">
        <v>16</v>
      </c>
      <c r="K29" s="74">
        <v>15</v>
      </c>
      <c r="L29" s="74">
        <v>15</v>
      </c>
      <c r="M29" s="74">
        <v>16</v>
      </c>
      <c r="N29" s="74">
        <v>16</v>
      </c>
      <c r="O29" s="74">
        <v>17</v>
      </c>
      <c r="P29" s="74">
        <v>17</v>
      </c>
      <c r="Q29" s="93">
        <v>16</v>
      </c>
      <c r="R29" s="74">
        <v>16</v>
      </c>
      <c r="S29" s="74">
        <v>15</v>
      </c>
      <c r="T29" s="74">
        <v>16</v>
      </c>
      <c r="U29" s="74">
        <v>16</v>
      </c>
      <c r="V29" s="74">
        <v>17</v>
      </c>
      <c r="W29" s="74">
        <v>17</v>
      </c>
      <c r="X29" s="74">
        <v>47</v>
      </c>
      <c r="Y29" s="74">
        <v>16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160748.2621004</v>
      </c>
      <c r="E33" s="213" ph="1">
        <f>M10+I10</f>
        <v>72384.015787199998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1522252632456786910111213141516171819202123456789101112131415161718192022232424356789101112131415161718192021222345678910111213141516171819202345678910111213149101516171819222123234567891012131415161711181920212224252345678910111213138[[#This Row],[F25]]</f>
        <v>3880</v>
      </c>
      <c r="G33" s="217" ph="1">
        <f>N19</f>
        <v>25562.785216</v>
      </c>
      <c r="H33" s="213" ph="1">
        <f>M19</f>
        <v>34533.72515274</v>
      </c>
      <c r="I33" s="226" ph="1">
        <v>0</v>
      </c>
      <c r="J33" s="224" ph="1">
        <f>F10+O28</f>
        <v>206988.03595320001</v>
      </c>
      <c r="K33" s="213" ph="1">
        <f>O10+K10+E28+R28</f>
        <v>244180.60672492001</v>
      </c>
      <c r="L33" s="228" ph="1">
        <f>K19</f>
        <v>40997.901215319995</v>
      </c>
      <c r="M33" s="224" ph="1">
        <f>G10+H10+W28+S28+V28+E10+R19+P28+Q28</f>
        <v>734643.00921484001</v>
      </c>
      <c r="N33" s="213" ph="1">
        <f>L10+P10++G28+H28+AD19+AE19</f>
        <v>181095.43778560002</v>
      </c>
      <c r="O33" s="226" ph="1">
        <f>G19</f>
        <v>12444.02075904</v>
      </c>
      <c r="P33" s="224" ph="1">
        <f>L19</f>
        <v>6699.5621119799998</v>
      </c>
      <c r="Q33" s="213" ph="1">
        <f>J10+N10</f>
        <v>148720.82766879999</v>
      </c>
      <c r="R33" s="226" ph="1">
        <f>BE23</f>
        <v>890</v>
      </c>
      <c r="S33" s="224" ph="1">
        <f>X28</f>
        <v>230368.97478970001</v>
      </c>
      <c r="T33" s="213" ph="1">
        <f>X19</f>
        <v>10049.83353324</v>
      </c>
      <c r="U33" s="234" ph="1">
        <f>BE21</f>
        <v>730</v>
      </c>
      <c r="V33" s="245" ph="1">
        <f ca="1">P19+Q19+S19+M28+N28+J28+D10+AC10+D19+E19+H19+J19+O19+V19+W19+K28+L28</f>
        <v>1319744.0722901018</v>
      </c>
      <c r="W33" s="245" ph="1">
        <f>D28+F28+T28+I28</f>
        <v>15434.502031824</v>
      </c>
      <c r="X33" s="226" ph="1">
        <f>BE29+BE31</f>
        <v>10200</v>
      </c>
      <c r="Y33" s="247" ph="1">
        <f>+Q10+R10+S10+T10+U10+V10+W10+X10+Y10</f>
        <v>220496.2048674</v>
      </c>
      <c r="Z33" s="232" ph="1">
        <f>T19+U19+Y28+Z10</f>
        <v>476030.69580662</v>
      </c>
      <c r="AA33" s="234" ph="1">
        <f>BE19</f>
        <v>1440</v>
      </c>
      <c r="AB33" s="236" ph="1">
        <f>I19</f>
        <v>43994.096380800001</v>
      </c>
      <c r="AC33" s="238" ph="1">
        <f>AD10+AB19</f>
        <v>114184.5845984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6" t="s" ph="1">
        <v>185</v>
      </c>
      <c r="AA36" s="15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208" priority="100">
      <formula>ABS(D$7-D$10)&gt;=1000</formula>
    </cfRule>
  </conditionalFormatting>
  <conditionalFormatting sqref="E4 E6:E11">
    <cfRule type="expression" dxfId="2207" priority="99">
      <formula>ABS(E$7-E$10)&gt;=1000</formula>
    </cfRule>
  </conditionalFormatting>
  <conditionalFormatting sqref="F4:F11">
    <cfRule type="expression" dxfId="2206" priority="98">
      <formula>ABS(F$7-F$10)&gt;=1000</formula>
    </cfRule>
  </conditionalFormatting>
  <conditionalFormatting sqref="G4:G11">
    <cfRule type="expression" dxfId="2205" priority="97">
      <formula>ABS(G$7-G$10)&gt;=1000</formula>
    </cfRule>
  </conditionalFormatting>
  <conditionalFormatting sqref="H4:H11">
    <cfRule type="expression" dxfId="2204" priority="96">
      <formula>ABS(H$7-H$10)&gt;=1000</formula>
    </cfRule>
  </conditionalFormatting>
  <conditionalFormatting sqref="I4:I11">
    <cfRule type="expression" dxfId="2203" priority="95">
      <formula>ABS(I$7-I$10)&gt;=1000</formula>
    </cfRule>
  </conditionalFormatting>
  <conditionalFormatting sqref="J4:J11">
    <cfRule type="expression" dxfId="2202" priority="94">
      <formula>ABS(J$7-J$10)&gt;=1000</formula>
    </cfRule>
  </conditionalFormatting>
  <conditionalFormatting sqref="K4:K11">
    <cfRule type="expression" dxfId="2201" priority="93">
      <formula>ABS(K$7-K$10)&gt;=1000</formula>
    </cfRule>
  </conditionalFormatting>
  <conditionalFormatting sqref="L4:L11">
    <cfRule type="expression" dxfId="2200" priority="92">
      <formula>ABS(L$7-L$10)&gt;=1000</formula>
    </cfRule>
  </conditionalFormatting>
  <conditionalFormatting sqref="M4 M6:M11">
    <cfRule type="expression" dxfId="2199" priority="91">
      <formula>ABS(M$7-M$10)&gt;=1000</formula>
    </cfRule>
  </conditionalFormatting>
  <conditionalFormatting sqref="N4 N6:N11">
    <cfRule type="expression" dxfId="2198" priority="90">
      <formula>ABS(N$7-N$10)&gt;=1000</formula>
    </cfRule>
  </conditionalFormatting>
  <conditionalFormatting sqref="O4 O6:O11">
    <cfRule type="expression" dxfId="2197" priority="89">
      <formula>ABS(O$7-O$10)&gt;=1000</formula>
    </cfRule>
  </conditionalFormatting>
  <conditionalFormatting sqref="P4 P6:P11">
    <cfRule type="expression" dxfId="2196" priority="88">
      <formula>ABS(P$7-P$10)&gt;=1000</formula>
    </cfRule>
  </conditionalFormatting>
  <conditionalFormatting sqref="Q4:Q11">
    <cfRule type="expression" dxfId="2195" priority="87">
      <formula>ABS(Q$7-Q$10)&gt;=1000</formula>
    </cfRule>
  </conditionalFormatting>
  <conditionalFormatting sqref="R4:R11">
    <cfRule type="expression" dxfId="2194" priority="86">
      <formula>ABS(R$7-R$10)&gt;=1000</formula>
    </cfRule>
  </conditionalFormatting>
  <conditionalFormatting sqref="S4:S11">
    <cfRule type="expression" dxfId="2193" priority="85">
      <formula>ABS(S$7-S$10)&gt;=1000</formula>
    </cfRule>
  </conditionalFormatting>
  <conditionalFormatting sqref="T4:T9 T11">
    <cfRule type="expression" dxfId="2192" priority="84">
      <formula>ABS(T$7-T$10)&gt;=1000</formula>
    </cfRule>
  </conditionalFormatting>
  <conditionalFormatting sqref="U4:U9 U11">
    <cfRule type="expression" dxfId="2191" priority="83">
      <formula>ABS(U$7-U$10)&gt;=1000</formula>
    </cfRule>
  </conditionalFormatting>
  <conditionalFormatting sqref="V4:V9 V11">
    <cfRule type="expression" dxfId="2190" priority="82">
      <formula>ABS(V$7-V$10)&gt;=1000</formula>
    </cfRule>
  </conditionalFormatting>
  <conditionalFormatting sqref="W4:W9 W11">
    <cfRule type="expression" dxfId="2189" priority="81">
      <formula>ABS(W$7-W$10)&gt;=1000</formula>
    </cfRule>
  </conditionalFormatting>
  <conditionalFormatting sqref="X4:X9 X11">
    <cfRule type="expression" dxfId="2188" priority="80">
      <formula>ABS(X$7-X$10)&gt;=1000</formula>
    </cfRule>
  </conditionalFormatting>
  <conditionalFormatting sqref="Y4:Y9 Y11">
    <cfRule type="expression" dxfId="2187" priority="79">
      <formula>ABS(Y$7-Y$10)&gt;=1000</formula>
    </cfRule>
  </conditionalFormatting>
  <conditionalFormatting sqref="Z4:Z11">
    <cfRule type="expression" dxfId="2186" priority="78">
      <formula>ABS(Z$7-Z$10)&gt;=1000</formula>
    </cfRule>
  </conditionalFormatting>
  <conditionalFormatting sqref="AA4:AA11">
    <cfRule type="expression" dxfId="2185" priority="77">
      <formula>ABS(AA$7-AA$10)&gt;=1000</formula>
    </cfRule>
  </conditionalFormatting>
  <conditionalFormatting sqref="AB4:AB11">
    <cfRule type="expression" dxfId="2184" priority="76">
      <formula>ABS(AB$7-AB$10)&gt;=1000</formula>
    </cfRule>
  </conditionalFormatting>
  <conditionalFormatting sqref="AC4 AC6:AC11">
    <cfRule type="expression" dxfId="2183" priority="75">
      <formula>ABS(AC$7-AC$10)&gt;=1000</formula>
    </cfRule>
  </conditionalFormatting>
  <conditionalFormatting sqref="AD4:AD11">
    <cfRule type="expression" dxfId="2182" priority="74">
      <formula>ABS(AD$7-AD$10)&gt;=1000</formula>
    </cfRule>
  </conditionalFormatting>
  <conditionalFormatting sqref="AE4 AE6:AE11">
    <cfRule type="expression" dxfId="2181" priority="73">
      <formula>ABS(AE$7-AE$10)&gt;=1000</formula>
    </cfRule>
  </conditionalFormatting>
  <conditionalFormatting sqref="D13:D20">
    <cfRule type="expression" dxfId="2180" priority="72">
      <formula>ABS(D$16-D$19)&gt;=1000</formula>
    </cfRule>
  </conditionalFormatting>
  <conditionalFormatting sqref="E13:E20">
    <cfRule type="expression" dxfId="2179" priority="71">
      <formula>ABS(E$16-E$19)&gt;=1000</formula>
    </cfRule>
  </conditionalFormatting>
  <conditionalFormatting sqref="F13 F15:F20">
    <cfRule type="expression" dxfId="2178" priority="70">
      <formula>ABS(F$16-F$19)&gt;=1000</formula>
    </cfRule>
  </conditionalFormatting>
  <conditionalFormatting sqref="G13:G20">
    <cfRule type="expression" dxfId="2177" priority="69">
      <formula>ABS(G$16-G$19)&gt;=1000</formula>
    </cfRule>
  </conditionalFormatting>
  <conditionalFormatting sqref="H13 H15:H20">
    <cfRule type="expression" dxfId="2176" priority="68">
      <formula>ABS(H$16-H$19)&gt;=1000</formula>
    </cfRule>
  </conditionalFormatting>
  <conditionalFormatting sqref="I13:I20">
    <cfRule type="expression" dxfId="2175" priority="67">
      <formula>ABS(I$16-I$19)&gt;=1000</formula>
    </cfRule>
  </conditionalFormatting>
  <conditionalFormatting sqref="J13:J20">
    <cfRule type="expression" dxfId="2174" priority="66">
      <formula>ABS(J$16-J$19)&gt;=1000</formula>
    </cfRule>
  </conditionalFormatting>
  <conditionalFormatting sqref="L13:L20">
    <cfRule type="expression" dxfId="2173" priority="65">
      <formula>ABS(L$16-L$19)&gt;=1000</formula>
    </cfRule>
  </conditionalFormatting>
  <conditionalFormatting sqref="M13 M15 M17:M18 M20">
    <cfRule type="expression" dxfId="2172" priority="64">
      <formula>ABS(M$16-M$19)&gt;=1000</formula>
    </cfRule>
  </conditionalFormatting>
  <conditionalFormatting sqref="N13:N20">
    <cfRule type="expression" dxfId="2171" priority="63">
      <formula>ABS(N$16-N$19)&gt;=1000</formula>
    </cfRule>
  </conditionalFormatting>
  <conditionalFormatting sqref="O13:O20">
    <cfRule type="expression" dxfId="2170" priority="62">
      <formula>ABS(O$16-O$19)&gt;=1000</formula>
    </cfRule>
  </conditionalFormatting>
  <conditionalFormatting sqref="P13:P20">
    <cfRule type="expression" dxfId="2169" priority="61">
      <formula>ABS(P$16-P$19)&gt;=1000</formula>
    </cfRule>
  </conditionalFormatting>
  <conditionalFormatting sqref="Q13 Q15:Q20">
    <cfRule type="expression" dxfId="2168" priority="60">
      <formula>ABS(Q$16-Q$19)&gt;=1000</formula>
    </cfRule>
  </conditionalFormatting>
  <conditionalFormatting sqref="R13:R20">
    <cfRule type="expression" dxfId="2167" priority="59">
      <formula>ABS(R$16-R$19)&gt;=1000</formula>
    </cfRule>
  </conditionalFormatting>
  <conditionalFormatting sqref="S13:S20">
    <cfRule type="expression" dxfId="2166" priority="58">
      <formula>ABS(S$16-S$19)&gt;=1000</formula>
    </cfRule>
  </conditionalFormatting>
  <conditionalFormatting sqref="T13:T20">
    <cfRule type="expression" dxfId="2165" priority="57">
      <formula>ABS(T$16-T$19)&gt;=1000</formula>
    </cfRule>
  </conditionalFormatting>
  <conditionalFormatting sqref="U13:U20">
    <cfRule type="expression" dxfId="2164" priority="56">
      <formula>ABS(U$16-U$19)&gt;=1000</formula>
    </cfRule>
  </conditionalFormatting>
  <conditionalFormatting sqref="V13:V20">
    <cfRule type="expression" dxfId="2163" priority="55">
      <formula>ABS(V$16-V$19)&gt;=1000</formula>
    </cfRule>
  </conditionalFormatting>
  <conditionalFormatting sqref="W13 W20 W15:W18">
    <cfRule type="expression" dxfId="2162" priority="54">
      <formula>ABS(W$16-W$19)&gt;=1000</formula>
    </cfRule>
  </conditionalFormatting>
  <conditionalFormatting sqref="X13 X15:X20 Y19">
    <cfRule type="expression" dxfId="2161" priority="53">
      <formula>ABS(X$16-X$19)&gt;=1000</formula>
    </cfRule>
  </conditionalFormatting>
  <conditionalFormatting sqref="Y13 Y15:Y18 Y20">
    <cfRule type="expression" dxfId="2160" priority="52">
      <formula>ABS(Y$16-Y$19)&gt;=1000</formula>
    </cfRule>
  </conditionalFormatting>
  <conditionalFormatting sqref="Z13:Z20">
    <cfRule type="expression" dxfId="2159" priority="51">
      <formula>ABS(Z$16-Z$19)&gt;=1000</formula>
    </cfRule>
  </conditionalFormatting>
  <conditionalFormatting sqref="AA13:AA20">
    <cfRule type="expression" dxfId="2158" priority="50">
      <formula>ABS(AA$16-AA$19)&gt;=1000</formula>
    </cfRule>
  </conditionalFormatting>
  <conditionalFormatting sqref="AB13 AB15:AB20">
    <cfRule type="expression" dxfId="2157" priority="49">
      <formula>ABS(AB$16-AB$19)&gt;=1000</formula>
    </cfRule>
  </conditionalFormatting>
  <conditionalFormatting sqref="AC13 AC15:AC20">
    <cfRule type="expression" dxfId="2156" priority="48">
      <formula>ABS(AC$16-AC$19)&gt;=1000</formula>
    </cfRule>
  </conditionalFormatting>
  <conditionalFormatting sqref="AD13:AD20">
    <cfRule type="expression" dxfId="2155" priority="47">
      <formula>ABS(AD$16-AD$19)&gt;=1000</formula>
    </cfRule>
  </conditionalFormatting>
  <conditionalFormatting sqref="AE13:AE20">
    <cfRule type="expression" dxfId="2154" priority="46">
      <formula>ABS(AE$16-AE$19)&gt;=1000</formula>
    </cfRule>
  </conditionalFormatting>
  <conditionalFormatting sqref="D22:D29">
    <cfRule type="expression" dxfId="2153" priority="45">
      <formula>ABS(D$25-D$28)&gt;=1000</formula>
    </cfRule>
  </conditionalFormatting>
  <conditionalFormatting sqref="E22:E29">
    <cfRule type="expression" dxfId="2152" priority="44">
      <formula>ABS(E$25-E$28)&gt;=1000</formula>
    </cfRule>
  </conditionalFormatting>
  <conditionalFormatting sqref="F22:F29">
    <cfRule type="expression" dxfId="2151" priority="43">
      <formula>ABS(F$25-F$28)&gt;=1000</formula>
    </cfRule>
  </conditionalFormatting>
  <conditionalFormatting sqref="G22:G29">
    <cfRule type="expression" dxfId="2150" priority="42">
      <formula>ABS(G$25-G$28)&gt;=1000</formula>
    </cfRule>
  </conditionalFormatting>
  <conditionalFormatting sqref="H22:H29">
    <cfRule type="expression" dxfId="2149" priority="41">
      <formula>ABS(H$25-H$28)&gt;=1000</formula>
    </cfRule>
  </conditionalFormatting>
  <conditionalFormatting sqref="I22 I24:I29">
    <cfRule type="expression" dxfId="2148" priority="40">
      <formula>ABS(I$25-I$28)&gt;=1000</formula>
    </cfRule>
  </conditionalFormatting>
  <conditionalFormatting sqref="J22:J29 K22">
    <cfRule type="expression" dxfId="2147" priority="39">
      <formula>ABS(J$25-J$28)&gt;=1000</formula>
    </cfRule>
  </conditionalFormatting>
  <conditionalFormatting sqref="K23:K29 L25 L28">
    <cfRule type="expression" dxfId="2146" priority="38">
      <formula>ABS(K$25-K$28)&gt;=1000</formula>
    </cfRule>
  </conditionalFormatting>
  <conditionalFormatting sqref="L22 L26:L27 L29 L24">
    <cfRule type="expression" dxfId="2145" priority="37">
      <formula>ABS(L$25-L$28)&gt;=1000</formula>
    </cfRule>
  </conditionalFormatting>
  <conditionalFormatting sqref="M22:M29">
    <cfRule type="expression" dxfId="2144" priority="36">
      <formula>ABS(M$25-M$28)&gt;=1000</formula>
    </cfRule>
  </conditionalFormatting>
  <conditionalFormatting sqref="N22:N29">
    <cfRule type="expression" dxfId="2143" priority="35">
      <formula>ABS(N$25-N$28)&gt;=1000</formula>
    </cfRule>
  </conditionalFormatting>
  <conditionalFormatting sqref="O22:O29">
    <cfRule type="expression" dxfId="2142" priority="34">
      <formula>ABS(O$25-O$28)&gt;=1000</formula>
    </cfRule>
  </conditionalFormatting>
  <conditionalFormatting sqref="P22:P29">
    <cfRule type="expression" dxfId="2141" priority="33">
      <formula>ABS(P$25-P$28)&gt;=1000</formula>
    </cfRule>
  </conditionalFormatting>
  <conditionalFormatting sqref="Q22:Q29">
    <cfRule type="expression" dxfId="2140" priority="32">
      <formula>ABS(Q$25-Q$28)&gt;=1000</formula>
    </cfRule>
  </conditionalFormatting>
  <conditionalFormatting sqref="R22:R29">
    <cfRule type="expression" dxfId="2139" priority="31">
      <formula>ABS(R$25-R$28)&gt;=1000</formula>
    </cfRule>
  </conditionalFormatting>
  <conditionalFormatting sqref="S22:S29">
    <cfRule type="expression" dxfId="2138" priority="30">
      <formula>ABS(S$25-S$28)&gt;=1000</formula>
    </cfRule>
  </conditionalFormatting>
  <conditionalFormatting sqref="T22:T29">
    <cfRule type="expression" dxfId="2137" priority="29">
      <formula>ABS(T$25-T$28)&gt;=1000</formula>
    </cfRule>
  </conditionalFormatting>
  <conditionalFormatting sqref="U22:U29">
    <cfRule type="expression" dxfId="2136" priority="28">
      <formula>ABS(U$25-U$28)&gt;=1000</formula>
    </cfRule>
  </conditionalFormatting>
  <conditionalFormatting sqref="V22:V29">
    <cfRule type="expression" dxfId="2135" priority="27">
      <formula>ABS(V$25-V$28)&gt;=1000</formula>
    </cfRule>
  </conditionalFormatting>
  <conditionalFormatting sqref="W22:W29">
    <cfRule type="expression" dxfId="2134" priority="26">
      <formula>ABS(W$25-W$28)&gt;=1000</formula>
    </cfRule>
  </conditionalFormatting>
  <conditionalFormatting sqref="X22:X29">
    <cfRule type="expression" dxfId="2133" priority="25">
      <formula>ABS(X$25-X$28)&gt;=1000</formula>
    </cfRule>
  </conditionalFormatting>
  <conditionalFormatting sqref="Y22:Y29">
    <cfRule type="expression" dxfId="2132" priority="24">
      <formula>ABS(Y$25-Y$28)&gt;=1000</formula>
    </cfRule>
  </conditionalFormatting>
  <conditionalFormatting sqref="I23">
    <cfRule type="expression" dxfId="2131" priority="23">
      <formula>ABS(I$25-I$28)&gt;=1000</formula>
    </cfRule>
  </conditionalFormatting>
  <conditionalFormatting sqref="Q14">
    <cfRule type="expression" dxfId="2130" priority="22">
      <formula>ABS(Q$16-Q$19)&gt;=1000</formula>
    </cfRule>
  </conditionalFormatting>
  <conditionalFormatting sqref="W14">
    <cfRule type="expression" dxfId="2129" priority="21">
      <formula>ABS(W$16-W$19)&gt;=1000</formula>
    </cfRule>
  </conditionalFormatting>
  <conditionalFormatting sqref="X14">
    <cfRule type="expression" dxfId="2128" priority="20">
      <formula>ABS(X$16-X$19)&gt;=1000</formula>
    </cfRule>
  </conditionalFormatting>
  <conditionalFormatting sqref="T10:Y10">
    <cfRule type="expression" dxfId="2127" priority="19">
      <formula>ABS(T$7-T$10)&gt;=1000</formula>
    </cfRule>
  </conditionalFormatting>
  <conditionalFormatting sqref="W19">
    <cfRule type="expression" dxfId="2126" priority="18">
      <formula>ABS(W$16-W$19)&gt;=1000</formula>
    </cfRule>
  </conditionalFormatting>
  <conditionalFormatting sqref="AC5">
    <cfRule type="expression" dxfId="2125" priority="17">
      <formula>ABS(AC$7-AC$10)&gt;=1000</formula>
    </cfRule>
  </conditionalFormatting>
  <conditionalFormatting sqref="M14">
    <cfRule type="expression" dxfId="2124" priority="16">
      <formula>ABS(M$16-M$19)&gt;=1000</formula>
    </cfRule>
  </conditionalFormatting>
  <conditionalFormatting sqref="M16">
    <cfRule type="expression" dxfId="2123" priority="15">
      <formula>ABS(M$16-M$19)&gt;=1000</formula>
    </cfRule>
  </conditionalFormatting>
  <conditionalFormatting sqref="M19">
    <cfRule type="expression" dxfId="2122" priority="14">
      <formula>ABS(M$16-M$19)&gt;=1000</formula>
    </cfRule>
  </conditionalFormatting>
  <conditionalFormatting sqref="K13:K20">
    <cfRule type="expression" dxfId="2121" priority="13">
      <formula>ABS(K$16-K$19)&gt;=1000</formula>
    </cfRule>
  </conditionalFormatting>
  <conditionalFormatting sqref="E5">
    <cfRule type="expression" dxfId="2120" priority="12">
      <formula>ABS(E$7-E$10)&gt;=1000</formula>
    </cfRule>
  </conditionalFormatting>
  <conditionalFormatting sqref="AB14:AC14">
    <cfRule type="expression" dxfId="2119" priority="11">
      <formula>ABS(AB$16-AB$19)&gt;=1000</formula>
    </cfRule>
  </conditionalFormatting>
  <conditionalFormatting sqref="M5">
    <cfRule type="expression" dxfId="2118" priority="10">
      <formula>ABS(M$7-M$10)&gt;=1000</formula>
    </cfRule>
  </conditionalFormatting>
  <conditionalFormatting sqref="N5">
    <cfRule type="expression" dxfId="2117" priority="9">
      <formula>ABS(N$7-N$10)&gt;=1000</formula>
    </cfRule>
  </conditionalFormatting>
  <conditionalFormatting sqref="O5">
    <cfRule type="expression" dxfId="2116" priority="8">
      <formula>ABS(O$7-O$10)&gt;=1000</formula>
    </cfRule>
  </conditionalFormatting>
  <conditionalFormatting sqref="P5">
    <cfRule type="expression" dxfId="2115" priority="7">
      <formula>ABS(P$7-P$10)&gt;=1000</formula>
    </cfRule>
  </conditionalFormatting>
  <conditionalFormatting sqref="L23">
    <cfRule type="expression" dxfId="2114" priority="6">
      <formula>ABS(L$25-L$28)&gt;=1000</formula>
    </cfRule>
  </conditionalFormatting>
  <conditionalFormatting sqref="AE5">
    <cfRule type="expression" dxfId="2113" priority="5">
      <formula>ABS(AE$25-AE$28)&gt;=1000</formula>
    </cfRule>
  </conditionalFormatting>
  <conditionalFormatting sqref="Y14">
    <cfRule type="expression" dxfId="2112" priority="3">
      <formula>ABS(Y$16-Y$19)&gt;=1000</formula>
    </cfRule>
  </conditionalFormatting>
  <conditionalFormatting sqref="F14">
    <cfRule type="expression" dxfId="2111" priority="2">
      <formula>ABS(F$16-F$19)&gt;=1000</formula>
    </cfRule>
  </conditionalFormatting>
  <conditionalFormatting sqref="H14">
    <cfRule type="expression" dxfId="2110" priority="1">
      <formula>ABS(H$16-H$19)&gt;=1000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79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3">
    <pageSetUpPr fitToPage="1"/>
  </sheetPr>
  <dimension ref="A1:CU223"/>
  <sheetViews>
    <sheetView view="pageBreakPreview" zoomScale="70" zoomScaleNormal="100" zoomScaleSheetLayoutView="70" workbookViewId="0">
      <selection activeCell="Z17" sqref="Z17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46031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54" t="s" ph="1">
        <v>177</v>
      </c>
      <c r="D6" s="71">
        <v>7085</v>
      </c>
      <c r="E6" s="71">
        <v>0</v>
      </c>
      <c r="F6" s="71">
        <v>2440</v>
      </c>
      <c r="G6" s="71">
        <v>7014</v>
      </c>
      <c r="H6" s="71">
        <v>1347</v>
      </c>
      <c r="I6" s="71">
        <v>0</v>
      </c>
      <c r="J6" s="71">
        <v>6.61</v>
      </c>
      <c r="K6" s="71">
        <v>7.3</v>
      </c>
      <c r="L6" s="71">
        <v>34.950000000000003</v>
      </c>
      <c r="M6" s="71">
        <v>2108</v>
      </c>
      <c r="N6" s="71">
        <v>5581</v>
      </c>
      <c r="O6" s="71">
        <v>3291</v>
      </c>
      <c r="P6" s="71">
        <v>2093</v>
      </c>
      <c r="Q6" s="71">
        <v>0</v>
      </c>
      <c r="R6" s="71">
        <v>6989</v>
      </c>
      <c r="S6" s="71">
        <v>5952</v>
      </c>
      <c r="T6" s="71">
        <v>7102</v>
      </c>
      <c r="U6" s="71">
        <v>5052</v>
      </c>
      <c r="V6" s="71">
        <v>1400</v>
      </c>
      <c r="W6" s="71">
        <v>0</v>
      </c>
      <c r="X6" s="71">
        <v>0</v>
      </c>
      <c r="Y6" s="71">
        <v>0</v>
      </c>
      <c r="Z6" s="71">
        <v>2056</v>
      </c>
      <c r="AA6" s="71">
        <v>2879</v>
      </c>
      <c r="AB6" s="71">
        <v>2902</v>
      </c>
      <c r="AC6" s="71">
        <v>8540</v>
      </c>
      <c r="AD6" s="71">
        <v>4780</v>
      </c>
      <c r="AE6" s="71">
        <v>3065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224192.842848</v>
      </c>
      <c r="E7" s="73" ph="1">
        <f>E6*51.53*LOOKUP(E8,密度!$A$2:$A$50,密度!$B$2:$B$50)</f>
        <v>0</v>
      </c>
      <c r="F7" s="73" ph="1">
        <f>F6*33.183*LOOKUP(F8,密度!$A$2:$A$50,密度!$C$2:$C$50)</f>
        <v>90471.989448000008</v>
      </c>
      <c r="G7" s="73" ph="1">
        <f xml:space="preserve"> (G6+2)*51.53*LOOKUP(G8,密度!$A$2:$A$50,密度!$B$2:$B$50)</f>
        <v>285214.55127200001</v>
      </c>
      <c r="H7" s="73" ph="1">
        <f>(H6)*51.53*LOOKUP(H8,密度!$A$2:$A$50,密度!$B$2:$B$50)</f>
        <v>54813.795627</v>
      </c>
      <c r="I7" s="73" ph="1">
        <f>I6*290.8*1.0267</f>
        <v>0</v>
      </c>
      <c r="J7" s="73" ph="1">
        <f>J6*290.8*0.7892</f>
        <v>1516.9907696</v>
      </c>
      <c r="K7" s="73" ph="1">
        <f>K6*290.8*1.1126</f>
        <v>2361.8717840000004</v>
      </c>
      <c r="L7" s="73" ph="1">
        <f>L6*290.8*0.777</f>
        <v>7897.008420000001</v>
      </c>
      <c r="M7" s="73" ph="1">
        <f>M6*33.183*LOOKUP(M8,密度!$A$2:$A$50,密度!$D$2:$D$50)</f>
        <v>72565.885173600007</v>
      </c>
      <c r="N7" s="73" ph="1">
        <f>N6*33.183*LOOKUP(N8,密度!$A$2:$A$50,密度!$E$2:$E$50)</f>
        <v>146970.2147328</v>
      </c>
      <c r="O7" s="73" ph="1">
        <f>O6*20.428*LOOKUP(O8,密度!$A$2:$A$50,密度!$C$2:$C$50)</f>
        <v>74885.8796172</v>
      </c>
      <c r="P7" s="73" ph="1">
        <f>P6*51.53*LOOKUP(P8,密度!$A$2:$A$50,密度!$B$2:$B$50)</f>
        <v>85170.953412999996</v>
      </c>
      <c r="Q7" s="73" ph="1">
        <f>Q6*1.5*1.5*3.1416*LOOKUP(W8,密度!$A$2:$A$50,密度!$L$2:$L$50)</f>
        <v>0</v>
      </c>
      <c r="R7" s="73" ph="1">
        <f>R6*1.5*1.5*3.1416*LOOKUP(R8,密度!$A$2:$A$50,密度!$L$2:$L$50)</f>
        <v>46537.103566799997</v>
      </c>
      <c r="S7" s="73" ph="1">
        <f>S6*1.5*1.5*3.1416*LOOKUP(S8,密度!$A$2:$A$50,密度!$L$2:$L$50)</f>
        <v>40052.8364544</v>
      </c>
      <c r="T7" s="73" ph="1">
        <f>T6*1.5*1.5*3.1416*LOOKUP(T8,密度!$A$2:$A$50,密度!$L$2:$L$50)</f>
        <v>47841.740931599998</v>
      </c>
      <c r="U7" s="73" ph="1">
        <f>U6*1.5*1.5*3.1416*LOOKUP(U8,密度!$A$2:$A$50,密度!$L$2:$L$50)</f>
        <v>33853.617705599994</v>
      </c>
      <c r="V7" s="73" ph="1">
        <f>V6*1.5*1.5*3.1416*LOOKUP(V8,密度!$A$2:$A$50,密度!$L$2:$L$50)</f>
        <v>9322.0696799999987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64949.484096</v>
      </c>
      <c r="AA7" s="73" ph="1">
        <f>AA6*33.183*LOOKUP(AA8,密度!$A$2:$A$50,密度!$D$2:$D$50)</f>
        <v>99192.803723100005</v>
      </c>
      <c r="AB7" s="73" ph="1">
        <f>AB6*20.428*LOOKUP(AB8,密度!$A$2:$A$50,密度!$D$2:$D$50)</f>
        <v>61866.753641600008</v>
      </c>
      <c r="AC7" s="73" ph="1">
        <f>AC6*51.53*LOOKUP(AC8,密度!$A$2:$A$50,密度!$Q$2:$Q$50)</f>
        <v>420060.79054800002</v>
      </c>
      <c r="AD7" s="73" ph="1">
        <f>AD6*20.428*LOOKUP(AD8,密度!$A$2:$A$50,密度!$V$2:$V$50)</f>
        <v>94130.589760000003</v>
      </c>
      <c r="AE7" s="73" ph="1">
        <f>AE6*20.428</f>
        <v>62611.82</v>
      </c>
    </row>
    <row r="8" spans="1:99" ph="1">
      <c r="B8" s="191" ph="1"/>
      <c r="C8" s="68" t="s" ph="1">
        <v>179</v>
      </c>
      <c r="D8" s="74">
        <v>16</v>
      </c>
      <c r="E8" s="74">
        <v>12</v>
      </c>
      <c r="F8" s="74">
        <v>13</v>
      </c>
      <c r="G8" s="74">
        <v>14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16</v>
      </c>
      <c r="O8" s="74">
        <v>18</v>
      </c>
      <c r="P8" s="74">
        <v>13</v>
      </c>
      <c r="Q8" s="74">
        <v>15</v>
      </c>
      <c r="R8" s="74">
        <v>20</v>
      </c>
      <c r="S8" s="74">
        <v>10</v>
      </c>
      <c r="T8" s="74">
        <v>9</v>
      </c>
      <c r="U8" s="74">
        <v>14</v>
      </c>
      <c r="V8" s="74">
        <v>20</v>
      </c>
      <c r="W8" s="74">
        <v>14</v>
      </c>
      <c r="X8" s="74">
        <v>4</v>
      </c>
      <c r="Y8" s="74">
        <v>12</v>
      </c>
      <c r="Z8" s="74">
        <v>10</v>
      </c>
      <c r="AA8" s="74">
        <v>12</v>
      </c>
      <c r="AB8" s="74">
        <v>6</v>
      </c>
      <c r="AC8" s="74">
        <v>10</v>
      </c>
      <c r="AD8" s="74">
        <v>11</v>
      </c>
      <c r="AE8" s="74">
        <v>16</v>
      </c>
    </row>
    <row r="9" spans="1:99" ph="1">
      <c r="B9" s="191" ph="1">
        <v>0.66666666666666663</v>
      </c>
      <c r="C9" s="154" t="s" ph="1">
        <v>180</v>
      </c>
      <c r="D9" s="71">
        <v>7087</v>
      </c>
      <c r="E9" s="71">
        <v>0</v>
      </c>
      <c r="F9" s="71">
        <v>2439</v>
      </c>
      <c r="G9" s="71">
        <v>7601</v>
      </c>
      <c r="H9" s="71">
        <v>1073</v>
      </c>
      <c r="I9" s="71">
        <v>0</v>
      </c>
      <c r="J9" s="71">
        <v>6.73</v>
      </c>
      <c r="K9" s="71">
        <v>7.42</v>
      </c>
      <c r="L9" s="71">
        <v>51.98</v>
      </c>
      <c r="M9" s="71">
        <v>2094</v>
      </c>
      <c r="N9" s="71">
        <v>5585</v>
      </c>
      <c r="O9" s="71">
        <v>3289</v>
      </c>
      <c r="P9" s="71">
        <v>1954</v>
      </c>
      <c r="Q9" s="71">
        <v>0</v>
      </c>
      <c r="R9" s="71">
        <v>6993</v>
      </c>
      <c r="S9" s="71">
        <v>5924</v>
      </c>
      <c r="T9" s="71">
        <v>7106</v>
      </c>
      <c r="U9" s="71">
        <v>7025</v>
      </c>
      <c r="V9" s="71">
        <v>4202</v>
      </c>
      <c r="W9" s="71">
        <v>2551</v>
      </c>
      <c r="X9" s="71">
        <v>0</v>
      </c>
      <c r="Y9" s="71">
        <v>0</v>
      </c>
      <c r="Z9" s="71">
        <v>660</v>
      </c>
      <c r="AA9" s="71">
        <v>2876</v>
      </c>
      <c r="AB9" s="71">
        <v>2595</v>
      </c>
      <c r="AC9" s="71">
        <v>8542</v>
      </c>
      <c r="AD9" s="71">
        <v>4780</v>
      </c>
      <c r="AE9" s="71">
        <v>3034</v>
      </c>
    </row>
    <row r="10" spans="1:99" s="72" customFormat="1" ht="22.5" ph="1">
      <c r="B10" s="191" ph="1"/>
      <c r="C10" s="154" t="s" ph="1">
        <v>178</v>
      </c>
      <c r="D10" s="73" ph="1">
        <f>D9*33.183*LOOKUP(D11,密度!$A$2:$A$50,密度!$Q$2:$Q$50)</f>
        <v>224067.99512879999</v>
      </c>
      <c r="E10" s="73" ph="1">
        <f>E9*51.53*LOOKUP(E11,密度!$A$2:$A$50,密度!$B$2:$B$50)</f>
        <v>0</v>
      </c>
      <c r="F10" s="73" ph="1">
        <f>F9*33.183*LOOKUP(F11,密度!$A$2:$A$50,密度!$C$2:$C$50)</f>
        <v>90305.417424599989</v>
      </c>
      <c r="G10" s="73" ph="1">
        <f xml:space="preserve"> (G9+2)*51.53*LOOKUP(G11,密度!$A$2:$A$50,密度!$B$2:$B$50)</f>
        <v>308724.68092000001</v>
      </c>
      <c r="H10" s="73" ph="1">
        <f>(H9)*51.53*LOOKUP(H11,密度!$A$2:$A$50,密度!$B$2:$B$50)</f>
        <v>43663.847592999999</v>
      </c>
      <c r="I10" s="73" ph="1">
        <f>I9*290.8*1.0267</f>
        <v>0</v>
      </c>
      <c r="J10" s="73" ph="1">
        <f>J9*290.8*0.7892</f>
        <v>1544.5306928000002</v>
      </c>
      <c r="K10" s="73" ph="1">
        <f>K9*290.8*1.1126</f>
        <v>2400.6970735999998</v>
      </c>
      <c r="L10" s="73" ph="1">
        <f>L9*290.8*0.777</f>
        <v>11744.964168</v>
      </c>
      <c r="M10" s="73" ph="1">
        <f>M9*33.183*LOOKUP(M11,密度!$A$2:$A$50,密度!$D$2:$D$50)</f>
        <v>71903.287029600004</v>
      </c>
      <c r="N10" s="73" ph="1">
        <f>N9*33.183*LOOKUP(N11,密度!$A$2:$A$50,密度!$E$2:$E$50)</f>
        <v>146871.69108749999</v>
      </c>
      <c r="O10" s="73" ph="1">
        <f>O9*20.428*LOOKUP(O11,密度!$A$2:$A$50,密度!$C$2:$C$50)</f>
        <v>74793.338734399993</v>
      </c>
      <c r="P10" s="73" ph="1">
        <f>P9*51.53*LOOKUP(P11,密度!$A$2:$A$50,密度!$B$2:$B$50)</f>
        <v>79182.317167999994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46563.738051599998</v>
      </c>
      <c r="S10" s="73" ph="1">
        <f>S9*1.5*1.5*3.1416*LOOKUP(S11,密度!$A$2:$A$50,密度!$L$2:$L$50)</f>
        <v>39780.667079999992</v>
      </c>
      <c r="T10" s="73" ph="1">
        <f>T9*1.5*1.5*3.1416*LOOKUP(T11,密度!$A$2:$A$50,密度!$L$2:$L$50)</f>
        <v>47768.227491599995</v>
      </c>
      <c r="U10" s="73" ph="1">
        <f>U9*1.5*1.5*3.1416*LOOKUP(U11,密度!$A$2:$A$50,密度!$L$2:$L$50)</f>
        <v>47025.098505000002</v>
      </c>
      <c r="V10" s="73" ph="1">
        <f>V9*1.5*1.5*3.1416*LOOKUP(V11,密度!$A$2:$A$50,密度!$L$2:$L$50)</f>
        <v>27949.8240252</v>
      </c>
      <c r="W10" s="73" ph="1">
        <f>W9*1.5*1.5*3.1416*LOOKUP(W11,密度!$A$2:$A$50,密度!$L$2:$L$50)</f>
        <v>17094.3346728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20827.641779999998</v>
      </c>
      <c r="AA10" s="73" ph="1">
        <f>AA9*33.183*LOOKUP(AA11,密度!$A$2:$A$50,密度!$D$2:$D$50)</f>
        <v>98831.769364800013</v>
      </c>
      <c r="AB10" s="73" ph="1">
        <f>AB9*20.428*LOOKUP(AB11,密度!$A$2:$A$50,密度!$D$2:$D$50)</f>
        <v>55226.505588000007</v>
      </c>
      <c r="AC10" s="73" ph="1">
        <f>AC9*51.53*LOOKUP(AC11,密度!$A$2:$A$50,密度!$Q$2:$Q$50)</f>
        <v>420159.16544040001</v>
      </c>
      <c r="AD10" s="73" ph="1">
        <f>AD9*20.428*LOOKUP(AD11,密度!$A$2:$A$50,密度!$V$2:$V$50)</f>
        <v>94130.589760000003</v>
      </c>
      <c r="AE10" s="73" ph="1">
        <f>AE9*20.428</f>
        <v>61978.552000000003</v>
      </c>
    </row>
    <row r="11" spans="1:99" ph="1">
      <c r="A11" s="64" t="s" ph="1">
        <v>162</v>
      </c>
      <c r="B11" s="191" ph="1"/>
      <c r="C11" s="154" t="s" ph="1">
        <v>179</v>
      </c>
      <c r="D11" s="74">
        <v>17</v>
      </c>
      <c r="E11" s="74">
        <v>16</v>
      </c>
      <c r="F11" s="74">
        <v>15</v>
      </c>
      <c r="G11" s="74">
        <v>15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19</v>
      </c>
      <c r="P11" s="74">
        <v>17</v>
      </c>
      <c r="Q11" s="74">
        <v>21</v>
      </c>
      <c r="R11" s="74">
        <v>20</v>
      </c>
      <c r="S11" s="74">
        <v>12</v>
      </c>
      <c r="T11" s="74">
        <v>11</v>
      </c>
      <c r="U11" s="74">
        <v>15</v>
      </c>
      <c r="V11" s="74">
        <v>21</v>
      </c>
      <c r="W11" s="74">
        <v>14</v>
      </c>
      <c r="X11" s="74">
        <v>7</v>
      </c>
      <c r="Y11" s="74">
        <v>17</v>
      </c>
      <c r="Z11" s="74">
        <v>11</v>
      </c>
      <c r="AA11" s="74">
        <v>15</v>
      </c>
      <c r="AB11" s="74">
        <v>8</v>
      </c>
      <c r="AC11" s="74">
        <v>14</v>
      </c>
      <c r="AD11" s="74">
        <v>14</v>
      </c>
      <c r="AE11" s="74">
        <v>19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54" t="s" ph="1">
        <v>177</v>
      </c>
      <c r="D15" s="78">
        <v>5246</v>
      </c>
      <c r="E15" s="78">
        <v>5744</v>
      </c>
      <c r="F15" s="78">
        <v>2234</v>
      </c>
      <c r="G15" s="78">
        <v>1872</v>
      </c>
      <c r="H15" s="78">
        <v>0</v>
      </c>
      <c r="I15" s="78">
        <v>3489</v>
      </c>
      <c r="J15" s="78">
        <v>400</v>
      </c>
      <c r="K15" s="78">
        <v>4047</v>
      </c>
      <c r="L15" s="78">
        <v>927</v>
      </c>
      <c r="M15" s="78">
        <v>6661</v>
      </c>
      <c r="N15" s="78">
        <v>769</v>
      </c>
      <c r="O15" s="78">
        <v>3562</v>
      </c>
      <c r="P15" s="78">
        <v>5165</v>
      </c>
      <c r="Q15" s="78">
        <v>7171</v>
      </c>
      <c r="R15" s="78">
        <v>7325</v>
      </c>
      <c r="S15" s="78">
        <v>6374</v>
      </c>
      <c r="T15" s="78">
        <v>3466</v>
      </c>
      <c r="U15" s="78">
        <v>2999</v>
      </c>
      <c r="V15" s="78">
        <v>1721</v>
      </c>
      <c r="W15" s="71">
        <v>-817</v>
      </c>
      <c r="X15" s="78">
        <v>450</v>
      </c>
      <c r="Y15" s="106">
        <v>-9900</v>
      </c>
      <c r="Z15" s="78">
        <v>0</v>
      </c>
      <c r="AA15" s="78">
        <v>11</v>
      </c>
      <c r="AB15" s="78" ph="1">
        <v>2974</v>
      </c>
      <c r="AC15" s="78" ph="1">
        <v>0</v>
      </c>
      <c r="AD15" s="78">
        <v>5.68</v>
      </c>
      <c r="AE15" s="78">
        <v>29.1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54" t="s" ph="1">
        <v>178</v>
      </c>
      <c r="D16" s="73" ph="1">
        <f>D15*7.0686*LOOKUP(D17,密度!$A$2:$A$50,密度!$L$2:$L$50)</f>
        <v>35227.781819999997</v>
      </c>
      <c r="E16" s="73" ph="1">
        <f>E15*7.0686*LOOKUP(E17,密度!$A$2:$A$50,密度!$L$2:$L$50)</f>
        <v>38571.936479999997</v>
      </c>
      <c r="F16" s="73" ph="1">
        <f>F15*9.0746*LOOKUP(F17,密度!$A$2:$A$50,密度!$L$2:$L$50)</f>
        <v>19259.023579999997</v>
      </c>
      <c r="G16" s="73" ph="1">
        <f>G15*9.0746*LOOKUP(G17,密度!$A$2:$A$50,密度!$B$2:$B$50)</f>
        <v>13401.558031680001</v>
      </c>
      <c r="H16" s="73" ph="1">
        <f>H15*9.0746*LOOKUP(H17,密度!$A$2:$A$50,密度!$L$2:$L$50)</f>
        <v>0</v>
      </c>
      <c r="I16" s="73" ph="1">
        <f>I15*9.0746*LOOKUP(I17,密度!$A$2:$A$50,密度!$U$2:$U$50)</f>
        <v>32547.795223199999</v>
      </c>
      <c r="J16" s="73" ph="1">
        <f>J15*9.0746*LOOKUP(J17,密度!$A$2:$A$50,密度!$L$2:$L$50)</f>
        <v>3448.348</v>
      </c>
      <c r="K16" s="73" ph="1">
        <f>K15*9.0746*LOOKUP(K17,密度!$A$2:$A$50,密度!$C$2:$C$50)</f>
        <v>41036.410187879992</v>
      </c>
      <c r="L16" s="73" ph="1">
        <f>L15*9.0746*LOOKUP(L17,密度!$A$2:$A$50,密度!$E$2:$E$50)</f>
        <v>6743.1828067200004</v>
      </c>
      <c r="M16" s="73" ph="1">
        <f>M15*9.0746*LOOKUP(M17,密度!$A$2:$A$50,密度!$M$2:$M$50)</f>
        <v>53210.535101180001</v>
      </c>
      <c r="N16" s="73" ph="1">
        <f>N15*9.0746*LOOKUP(N17,密度!$A$2:$A$50,密度!$M$2:$M$50)</f>
        <v>6143.05682222</v>
      </c>
      <c r="O16" s="73" ph="1">
        <f>O15*9.0746*LOOKUP(O17,密度!$A$2:$A$50,密度!$G$2:$G$50)</f>
        <v>31354.013444</v>
      </c>
      <c r="P16" s="73" ph="1">
        <f ca="1">P15*9.0746*LOOKUP(P17,密度!$A$2:$A$51,密度!$Q$2:$Q$50)</f>
        <v>44739.584752860006</v>
      </c>
      <c r="Q16" s="73" ph="1">
        <f>Q15*9.0746*LOOKUP(Q17,密度!$A$2:$A$50,密度!$Q$2:$Q$50)</f>
        <v>62115.694532964008</v>
      </c>
      <c r="R16" s="73" ph="1">
        <f>MAX(R15*9.0746*LOOKUP(R17,密度!$A$2:$A$50,密度!$B$2:$B$50),0)</f>
        <v>52379.498660000005</v>
      </c>
      <c r="S16" s="73" ph="1">
        <f>S15*9.0746*LOOKUP(S17,密度!$A$2:$A$50,密度!$Q$2:$Q$50)</f>
        <v>55212.025791816006</v>
      </c>
      <c r="T16" s="73" ph="1">
        <f>T15*9.0746*LOOKUP(T17,密度!$A$2:$A$50,密度!$O$2:$O$50)</f>
        <v>29376.694402400004</v>
      </c>
      <c r="U16" s="73" ph="1">
        <f>U15*9.0746*LOOKUP(U17,密度!$A$2:$A$50,密度!$H$2:$H$50)</f>
        <v>25301.53020438</v>
      </c>
      <c r="V16" s="73" ph="1">
        <f>MAX(5600*LOOKUP(V17,密度!$A$2:$A$50,密度!$Q$2:$Q$50)+V15*9.0476*LOOKUP(V17,密度!$A$2:$A$50,密度!$Q$2:$Q$50),0)</f>
        <v>20208.489594983999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10059.243942000001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79.087861379999993</v>
      </c>
      <c r="AB16" s="73" ph="1">
        <f>AB15*9.0746*LOOKUP(AB17,密度!$A$2:$A$50,密度!$L$2:$L$50)</f>
        <v>25557.5037988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2410.6030310400001</v>
      </c>
      <c r="AE16" s="73" ph="1">
        <f>AE15*268.68*LOOKUP(AE17,密度!$A$2:$A$50,密度!B2:B50)+IF(AE15&lt;=0,0,1566*LOOKUP(AE17,密度!$A$2:$A$50,密度!B2:B50))</f>
        <v>7316.2248048000001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12</v>
      </c>
      <c r="E17" s="74">
        <v>12</v>
      </c>
      <c r="F17" s="74">
        <v>12</v>
      </c>
      <c r="G17" s="74">
        <v>14</v>
      </c>
      <c r="H17" s="74">
        <v>13</v>
      </c>
      <c r="I17" s="74">
        <v>12</v>
      </c>
      <c r="J17" s="74">
        <v>12</v>
      </c>
      <c r="K17" s="74">
        <v>13</v>
      </c>
      <c r="L17" s="74">
        <v>10</v>
      </c>
      <c r="M17" s="74">
        <v>14</v>
      </c>
      <c r="N17" s="74">
        <v>12</v>
      </c>
      <c r="O17" s="74">
        <v>16</v>
      </c>
      <c r="P17" s="74">
        <v>14</v>
      </c>
      <c r="Q17" s="74">
        <v>12</v>
      </c>
      <c r="R17" s="74">
        <v>15</v>
      </c>
      <c r="S17" s="74">
        <v>12</v>
      </c>
      <c r="T17" s="74">
        <v>14</v>
      </c>
      <c r="U17" s="74">
        <v>10</v>
      </c>
      <c r="V17" s="74">
        <v>13</v>
      </c>
      <c r="W17" s="74">
        <v>15</v>
      </c>
      <c r="X17" s="74">
        <v>27</v>
      </c>
      <c r="Y17" s="108">
        <v>27</v>
      </c>
      <c r="Z17" s="74">
        <v>13</v>
      </c>
      <c r="AA17" s="74">
        <v>10</v>
      </c>
      <c r="AB17" s="74">
        <v>15</v>
      </c>
      <c r="AC17" s="74">
        <v>10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5254</v>
      </c>
      <c r="E18" s="71">
        <v>5913</v>
      </c>
      <c r="F18" s="71">
        <v>2234</v>
      </c>
      <c r="G18" s="71">
        <v>1930</v>
      </c>
      <c r="H18" s="71">
        <v>0</v>
      </c>
      <c r="I18" s="71">
        <v>3452</v>
      </c>
      <c r="J18" s="71">
        <v>400</v>
      </c>
      <c r="K18" s="71">
        <v>4048</v>
      </c>
      <c r="L18" s="71">
        <v>929</v>
      </c>
      <c r="M18" s="71">
        <v>3706</v>
      </c>
      <c r="N18" s="71">
        <v>4155</v>
      </c>
      <c r="O18" s="71">
        <v>3563</v>
      </c>
      <c r="P18" s="71">
        <v>5172</v>
      </c>
      <c r="Q18" s="71">
        <v>7177</v>
      </c>
      <c r="R18" s="71">
        <v>7329</v>
      </c>
      <c r="S18" s="71">
        <v>6380</v>
      </c>
      <c r="T18" s="71">
        <v>2622</v>
      </c>
      <c r="U18" s="71">
        <v>4942</v>
      </c>
      <c r="V18" s="71">
        <v>1721</v>
      </c>
      <c r="W18" s="71">
        <v>-817</v>
      </c>
      <c r="X18" s="71">
        <v>449</v>
      </c>
      <c r="Y18" s="109">
        <v>-9902</v>
      </c>
      <c r="Z18" s="71">
        <v>0</v>
      </c>
      <c r="AA18" s="71">
        <v>11</v>
      </c>
      <c r="AB18" s="71">
        <v>5188</v>
      </c>
      <c r="AC18" s="71">
        <v>0</v>
      </c>
      <c r="AD18" s="71">
        <v>5.65</v>
      </c>
      <c r="AE18" s="71">
        <v>78.61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54" t="s" ph="1">
        <v>178</v>
      </c>
      <c r="D19" s="73" ph="1">
        <f>D18*7.0686*LOOKUP(D20,密度!$A$2:$A$50,密度!$L$2:$L$50)</f>
        <v>35132.949482399999</v>
      </c>
      <c r="E19" s="73" ph="1">
        <f>E18*7.0686*LOOKUP(E20,密度!$A$2:$A$50,密度!$L$2:$L$50)</f>
        <v>39581.410314599998</v>
      </c>
      <c r="F19" s="73" ph="1">
        <f>F18*9.0746*LOOKUP(F20,密度!$A$2:$A$50,密度!$L$2:$L$50)</f>
        <v>19137.387641599998</v>
      </c>
      <c r="G19" s="73" ph="1">
        <f>G18*9.0746*LOOKUP(G20,密度!$A$2:$A$50,密度!$B$2:$B$50)</f>
        <v>13801.014664</v>
      </c>
      <c r="H19" s="73" ph="1">
        <f>H18*9.0746*LOOKUP(H20,密度!$A$2:$A$50,密度!$L$2:$L$50)</f>
        <v>0</v>
      </c>
      <c r="I19" s="73" ph="1">
        <f>I18*9.0746*LOOKUP(I20,密度!$A$2:$A$50,密度!$U$2:$U$50)</f>
        <v>32202.633737600005</v>
      </c>
      <c r="J19" s="73" ph="1">
        <f>J18*9.0746*LOOKUP(J20,密度!$A$2:$A$50,密度!$L$2:$L$50)</f>
        <v>3437.4584799999998</v>
      </c>
      <c r="K19" s="73" ph="1">
        <f>K18*9.0746*LOOKUP(K20,密度!$A$2:$A$50,密度!$C$2:$C$50)</f>
        <v>40965.735388159999</v>
      </c>
      <c r="L19" s="73" ph="1">
        <f>L18*9.0746*LOOKUP(L20,密度!$A$2:$A$50,密度!$E$2:$E$50)</f>
        <v>6690.2887782400003</v>
      </c>
      <c r="M19" s="73" ph="1">
        <f>M18*9.0746*LOOKUP(M20,密度!$A$2:$A$50,密度!$M$2:$M$50)</f>
        <v>29604.900628280004</v>
      </c>
      <c r="N19" s="73" ph="1">
        <f>N18*9.0746*LOOKUP(N20,密度!$A$2:$A$50,密度!$M$2:$M$50)</f>
        <v>33191.678928900001</v>
      </c>
      <c r="O19" s="73" ph="1">
        <f>O18*9.0746*LOOKUP(O20,密度!$A$2:$A$50,密度!$G$2:$G$50)</f>
        <v>31298.150206400001</v>
      </c>
      <c r="P19" s="73" ph="1">
        <f ca="1">P18*9.0746*LOOKUP(P20,密度!$A$2:$A$51,密度!$Q$2:$Q$50)</f>
        <v>44681.476640712004</v>
      </c>
      <c r="Q19" s="73" ph="1">
        <f>Q18*9.0746*LOOKUP(Q20,密度!$A$2:$A$50,密度!$Q$2:$Q$50)</f>
        <v>62167.666945068006</v>
      </c>
      <c r="R19" s="73" ph="1">
        <f>MAX(R18*9.0746*LOOKUP(R20,密度!$A$2:$A$50,密度!$B$2:$B$50),0)</f>
        <v>52201.927794660005</v>
      </c>
      <c r="S19" s="73" ph="1">
        <f>S18*9.0746*LOOKUP(S20,密度!$A$2:$A$50,密度!$Q$2:$Q$50)</f>
        <v>55263.998203920004</v>
      </c>
      <c r="T19" s="73" ph="1">
        <f>T18*9.0746*LOOKUP(T20,密度!$A$2:$A$50,密度!$O$2:$O$50)</f>
        <v>22128.049116000002</v>
      </c>
      <c r="U19" s="73" ph="1">
        <f>U18*9.0746*LOOKUP(U20,密度!$A$2:$A$50,密度!$H$2:$H$50)</f>
        <v>41469.718708040004</v>
      </c>
      <c r="V19" s="73" ph="1">
        <f>MAX(5600*LOOKUP(V20,密度!$A$2:$A$50,密度!$Q$2:$Q$50)+V18*9.0476*LOOKUP(V20,密度!$A$2:$A$50,密度!$Q$2:$Q$50),0)</f>
        <v>20208.489594983999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10027.610076720001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78.658632800000007</v>
      </c>
      <c r="AB19" s="73" ph="1">
        <f>AB18*9.0746*LOOKUP(AB20,密度!$A$2:$A$50,密度!$L$2:$L$50)</f>
        <v>44113.0462376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2396.3006340000002</v>
      </c>
      <c r="AE19" s="73" ph="1">
        <f>AE18*268.68*LOOKUP(AE20,密度!$A$2:$A$50,密度!B5:B53)+IF(AE18&lt;=0,0,1566*LOOKUP(AE20,密度!$A$2:$A$50,密度!B5:B53))</f>
        <v>17627.748339599999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16</v>
      </c>
      <c r="E20" s="81">
        <v>15</v>
      </c>
      <c r="F20" s="81">
        <v>18</v>
      </c>
      <c r="G20" s="81">
        <v>15</v>
      </c>
      <c r="H20" s="81">
        <v>13</v>
      </c>
      <c r="I20" s="81">
        <v>16</v>
      </c>
      <c r="J20" s="81">
        <v>15</v>
      </c>
      <c r="K20" s="81">
        <v>16</v>
      </c>
      <c r="L20" s="81">
        <v>16</v>
      </c>
      <c r="M20" s="81">
        <v>17</v>
      </c>
      <c r="N20" s="81">
        <v>17</v>
      </c>
      <c r="O20" s="81">
        <v>18</v>
      </c>
      <c r="P20" s="81">
        <v>18</v>
      </c>
      <c r="Q20" s="81">
        <v>15</v>
      </c>
      <c r="R20" s="81">
        <v>19</v>
      </c>
      <c r="S20" s="81">
        <v>15</v>
      </c>
      <c r="T20" s="81">
        <v>20</v>
      </c>
      <c r="U20" s="81">
        <v>15</v>
      </c>
      <c r="V20" s="81">
        <v>15</v>
      </c>
      <c r="W20" s="81">
        <v>17</v>
      </c>
      <c r="X20" s="81">
        <v>29</v>
      </c>
      <c r="Y20" s="110">
        <v>29</v>
      </c>
      <c r="Z20" s="81">
        <v>21</v>
      </c>
      <c r="AA20" s="81">
        <v>15</v>
      </c>
      <c r="AB20" s="81">
        <v>25</v>
      </c>
      <c r="AC20" s="81">
        <v>15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642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54" t="s" ph="1">
        <v>177</v>
      </c>
      <c r="D24" s="71">
        <v>3.67</v>
      </c>
      <c r="E24" s="71">
        <v>4.93</v>
      </c>
      <c r="F24" s="71">
        <v>575</v>
      </c>
      <c r="G24" s="71">
        <v>3213</v>
      </c>
      <c r="H24" s="71">
        <v>3098</v>
      </c>
      <c r="I24" s="71">
        <v>69</v>
      </c>
      <c r="J24" s="71">
        <v>3515</v>
      </c>
      <c r="K24" s="71">
        <v>2445</v>
      </c>
      <c r="L24" s="71">
        <v>5526</v>
      </c>
      <c r="M24" s="71">
        <v>4855</v>
      </c>
      <c r="N24" s="71">
        <v>5576</v>
      </c>
      <c r="O24" s="71">
        <v>5711</v>
      </c>
      <c r="P24" s="71">
        <v>649</v>
      </c>
      <c r="Q24" s="90">
        <v>4000</v>
      </c>
      <c r="R24" s="71">
        <v>3585</v>
      </c>
      <c r="S24" s="71">
        <v>2024</v>
      </c>
      <c r="T24" s="71">
        <v>160</v>
      </c>
      <c r="U24" s="71">
        <v>4543</v>
      </c>
      <c r="V24" s="71">
        <v>3095</v>
      </c>
      <c r="W24" s="71">
        <v>1981</v>
      </c>
      <c r="X24" s="71">
        <v>4821</v>
      </c>
      <c r="Y24" s="71">
        <v>8465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2416.1331187440001</v>
      </c>
      <c r="E25" s="91" ph="1">
        <f>E24*268.68*LOOKUP(E26,密度!$A$2:$A$50,密度!$C$2:$C$50)+IF(E24&lt;=0,0,1566*LOOKUP(E26,密度!$A$2:$A$50,密度!$C$2:$C$50))</f>
        <v>3205.3779123599998</v>
      </c>
      <c r="F25" s="91" ph="1">
        <f>F24*11.702*LOOKUP(F26,密度!$A$2:$A$50,密度!$Q$2:$Q$50)</f>
        <v>6422.7655709999999</v>
      </c>
      <c r="G25" s="91" ph="1">
        <f>G24*18.322*LOOKUP(G26,密度!$A$2:$A$50,密度!$B$2:$B$50)</f>
        <v>46441.427495399999</v>
      </c>
      <c r="H25" s="91" ph="1">
        <f>H24*18.322*LOOKUP(H26,密度!$A$2:$A$50,密度!$B$2:$B$50)</f>
        <v>44779.191528399999</v>
      </c>
      <c r="I25" s="91" ph="1">
        <f>I24*18.322*LOOKUP(I26,密度!$A$2:$A$50,密度!$Q$2:$Q$50)</f>
        <v>1206.7466497199998</v>
      </c>
      <c r="J25" s="91" ph="1">
        <f>J24*18.322*LOOKUP(J26,密度!$A$2:$A$50,密度!$Q$2:$Q$50)</f>
        <v>61474.122808200002</v>
      </c>
      <c r="K25" s="91" ph="1">
        <f>K24*18.322*LOOKUP(K26,密度!$A$2:$A$50,密度!$Q$2:$Q$50)</f>
        <v>42760.805196600006</v>
      </c>
      <c r="L25" s="91" ph="1">
        <f>L24*18.322*LOOKUP(L26,密度!$A$2:$A$50,密度!$Q$2:$Q$50)</f>
        <v>96644.666468879994</v>
      </c>
      <c r="M25" s="91" ph="1">
        <f>M24*18.322*LOOKUP(M26,密度!$A$2:$A$50,密度!$Q$2:$Q$50)</f>
        <v>84909.492527399998</v>
      </c>
      <c r="N25" s="91" ph="1">
        <f>N24*18.322*LOOKUP(N26,密度!$A$2:$A$50,密度!$Q$2:$Q$50)</f>
        <v>97519.120562879994</v>
      </c>
      <c r="O25" s="91" ph="1">
        <f>O24*18.322*LOOKUP(O26,密度!$A$2:$A$50,密度!$C$2:$C$50)</f>
        <v>116753.89988359998</v>
      </c>
      <c r="P25" s="91" ph="1">
        <f>P24*11.702*LOOKUP(P26,密度!$A$2:$A$50,密度!$B$2:$B$50)</f>
        <v>5984.543224</v>
      </c>
      <c r="Q25" s="92" ph="1">
        <f>Q24*18.322*LOOKUP(Q26,密度!$A$2:$A$50,密度!$B$2:$B$50)</f>
        <v>57692.313600000001</v>
      </c>
      <c r="R25" s="91" ph="1">
        <f>R24*35.891*LOOKUP(R26,密度!$A$2:$A$50,密度!$C$2:$C$50)</f>
        <v>143672.067801</v>
      </c>
      <c r="S25" s="91" ph="1">
        <f>S24*35.891*LOOKUP(S26,密度!$A$2:$A$50,密度!$B$2:$B$50)</f>
        <v>57308.365637599993</v>
      </c>
      <c r="T25" s="91" ph="1">
        <f>T24*35.891*LOOKUP(T26,密度!$A$2:$A$50,密度!$Q$2:$Q$50)</f>
        <v>5481.5032223999997</v>
      </c>
      <c r="U25" s="91" ph="1">
        <f>U24*35.891</f>
        <v>163052.81299999999</v>
      </c>
      <c r="V25" s="91" ph="1">
        <f>V24*47.051*LOOKUP(V26,密度!$A$2:$A$50,密度!$B$2:$B$50)</f>
        <v>114750.80186000001</v>
      </c>
      <c r="W25" s="91" ph="1">
        <f>W24*47.051*LOOKUP(W26,密度!$A$2:$A$50,密度!$B$2:$B$50)</f>
        <v>73447.928427999999</v>
      </c>
      <c r="X25" s="91" ph="1">
        <f>X24*47.051*LOOKUP(X26,密度!$A$2:$A$61,密度!$I$2:$I$61)</f>
        <v>230847.81281670002</v>
      </c>
      <c r="Y25" s="91" ph="1">
        <f>Y24*47.051*LOOKUP(Y26,密度!$A$2:$A$50,密度!$L$2:$L$50)</f>
        <v>377177.51910500001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14</v>
      </c>
      <c r="H26" s="74">
        <v>14</v>
      </c>
      <c r="I26" s="74">
        <v>15</v>
      </c>
      <c r="J26" s="74">
        <v>14</v>
      </c>
      <c r="K26" s="74">
        <v>13</v>
      </c>
      <c r="L26" s="74">
        <v>13</v>
      </c>
      <c r="M26" s="74">
        <v>14</v>
      </c>
      <c r="N26" s="74">
        <v>15</v>
      </c>
      <c r="O26" s="74">
        <v>15</v>
      </c>
      <c r="P26" s="74">
        <v>15</v>
      </c>
      <c r="Q26" s="93">
        <v>16</v>
      </c>
      <c r="R26" s="74">
        <v>14</v>
      </c>
      <c r="S26" s="74">
        <v>14</v>
      </c>
      <c r="T26" s="74">
        <v>13</v>
      </c>
      <c r="U26" s="74">
        <v>15</v>
      </c>
      <c r="V26" s="74">
        <v>15</v>
      </c>
      <c r="W26" s="74">
        <v>15</v>
      </c>
      <c r="X26" s="74">
        <v>47</v>
      </c>
      <c r="Y26" s="74">
        <v>15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54" t="s" ph="1">
        <v>180</v>
      </c>
      <c r="D27" s="71">
        <v>3.67</v>
      </c>
      <c r="E27" s="71">
        <v>4.92</v>
      </c>
      <c r="F27" s="71">
        <v>574</v>
      </c>
      <c r="G27" s="71">
        <v>2763</v>
      </c>
      <c r="H27" s="71">
        <v>2272</v>
      </c>
      <c r="I27" s="71">
        <v>66</v>
      </c>
      <c r="J27" s="71">
        <v>4243</v>
      </c>
      <c r="K27" s="71">
        <v>4686</v>
      </c>
      <c r="L27" s="71">
        <v>5524</v>
      </c>
      <c r="M27" s="71">
        <v>4854</v>
      </c>
      <c r="N27" s="71">
        <v>5575</v>
      </c>
      <c r="O27" s="71">
        <v>5710</v>
      </c>
      <c r="P27" s="71">
        <v>645</v>
      </c>
      <c r="Q27" s="90">
        <v>1690</v>
      </c>
      <c r="R27" s="71">
        <v>3582</v>
      </c>
      <c r="S27" s="71">
        <v>2941</v>
      </c>
      <c r="T27" s="71">
        <v>159</v>
      </c>
      <c r="U27" s="71">
        <v>4610</v>
      </c>
      <c r="V27" s="71">
        <v>3090</v>
      </c>
      <c r="W27" s="71">
        <v>2922</v>
      </c>
      <c r="X27" s="71">
        <v>5435</v>
      </c>
      <c r="Y27" s="71">
        <v>8460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54" t="s" ph="1">
        <v>178</v>
      </c>
      <c r="D28" s="91" ph="1">
        <f>D27*268.68*LOOKUP(D29,密度!$A$2:$A$50,密度!$Q$2:$Q$50)+IF(D27&lt;=0,0,1566*LOOKUP(D29,密度!$A$2:$A$50,密度!$Q$2:$Q$50))</f>
        <v>2416.1331187440001</v>
      </c>
      <c r="E28" s="91" ph="1">
        <f>E27*268.68*LOOKUP(E29,密度!$A$2:$A$50,密度!$C$2:$C$50)+IF(E27&lt;=0,0,1566*LOOKUP(E29,密度!$A$2:$A$50,密度!$C$2:$C$50))</f>
        <v>3202.3985198400001</v>
      </c>
      <c r="F28" s="91" ph="1">
        <f>F27*11.702*LOOKUP(F29,密度!$A$2:$A$50,密度!$Q$2:$Q$50)</f>
        <v>6405.2816128000004</v>
      </c>
      <c r="G28" s="91" ph="1">
        <f>G27*18.322*LOOKUP(G29,密度!$A$2:$A$50,密度!$B$2:$B$50)</f>
        <v>39850.965619199997</v>
      </c>
      <c r="H28" s="91" ph="1">
        <f>H27*18.322*LOOKUP(H29,密度!$A$2:$A$50,密度!$B$2:$B$50)</f>
        <v>32735.932057599995</v>
      </c>
      <c r="I28" s="91" ph="1">
        <f>I27*18.322*LOOKUP(I29,密度!$A$2:$A$50,密度!$Q$2:$Q$50)</f>
        <v>1152.1753056</v>
      </c>
      <c r="J28" s="91" ph="1">
        <f>J27*18.322*LOOKUP(J29,密度!$A$2:$A$50,密度!$Q$2:$Q$50)</f>
        <v>74070.906388799995</v>
      </c>
      <c r="K28" s="91" ph="1">
        <f>K27*18.322*LOOKUP(K29,密度!$A$2:$A$50,密度!$Q$2:$Q$50)</f>
        <v>81736.61975292</v>
      </c>
      <c r="L28" s="91" ph="1">
        <f>L27*18.322*LOOKUP(L29,密度!$A$2:$A$50,密度!$Q$2:$Q$50)</f>
        <v>96353.625163279998</v>
      </c>
      <c r="M28" s="91" ph="1">
        <f>M27*18.322*LOOKUP(M29,密度!$A$2:$A$50,密度!$Q$2:$Q$50)</f>
        <v>84666.997925880001</v>
      </c>
      <c r="N28" s="91" ph="1">
        <f>N27*18.322*LOOKUP(N29,密度!$A$2:$A$50,密度!$Q$2:$Q$50)</f>
        <v>97323.898919999992</v>
      </c>
      <c r="O28" s="91" ph="1">
        <f>O27*18.322*LOOKUP(O29,密度!$A$2:$A$50,密度!$C$2:$C$50)</f>
        <v>116597.45199</v>
      </c>
      <c r="P28" s="91" ph="1">
        <f>P27*11.702*LOOKUP(P29,密度!$A$2:$A$50,密度!$B$2:$B$50)</f>
        <v>5935.5820560000002</v>
      </c>
      <c r="Q28" s="92" ph="1">
        <f>Q27*18.322*LOOKUP(Q29,密度!$A$2:$A$50,密度!$B$2:$B$50)</f>
        <v>24375.002496000001</v>
      </c>
      <c r="R28" s="91" ph="1">
        <f>R27*35.891*LOOKUP(R29,密度!$A$2:$A$50,密度!$C$2:$C$50)</f>
        <v>143204.72391179999</v>
      </c>
      <c r="S28" s="91" ph="1">
        <f>S27*35.891*LOOKUP(S29,密度!$A$2:$A$50,密度!$B$2:$B$50)</f>
        <v>83008.790938399994</v>
      </c>
      <c r="T28" s="91" ph="1">
        <f>T27*35.891*LOOKUP(T29,密度!$A$2:$A$50,密度!$Q$2:$Q$50)</f>
        <v>5437.3142232</v>
      </c>
      <c r="U28" s="91" ph="1">
        <f>U27*35.891</f>
        <v>165457.50999999998</v>
      </c>
      <c r="V28" s="91" ph="1">
        <f>V27*47.051*LOOKUP(V29,密度!$A$2:$A$50,密度!$B$2:$B$50)</f>
        <v>114114.71939100001</v>
      </c>
      <c r="W28" s="91" ph="1">
        <f>W27*47.051*LOOKUP(W29,密度!$A$2:$A$50,密度!$B$2:$B$50)</f>
        <v>108020.4103854</v>
      </c>
      <c r="X28" s="91" ph="1">
        <f>X27*47.051*LOOKUP(X29,密度!$A$2:$A$61,密度!$I$2:$I$61)</f>
        <v>259967.17327099998</v>
      </c>
      <c r="Y28" s="91" ph="1">
        <f>Y27*47.051*LOOKUP(Y29,密度!$A$2:$A$50,密度!$L$2:$L$50)</f>
        <v>375362.52678000001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54" t="s" ph="1">
        <v>179</v>
      </c>
      <c r="D29" s="74">
        <v>25</v>
      </c>
      <c r="E29" s="74">
        <v>25</v>
      </c>
      <c r="F29" s="74">
        <v>16</v>
      </c>
      <c r="G29" s="74">
        <v>16</v>
      </c>
      <c r="H29" s="74">
        <v>17</v>
      </c>
      <c r="I29" s="74">
        <v>17</v>
      </c>
      <c r="J29" s="74">
        <v>17</v>
      </c>
      <c r="K29" s="74">
        <v>18</v>
      </c>
      <c r="L29" s="74">
        <v>18</v>
      </c>
      <c r="M29" s="74">
        <v>18</v>
      </c>
      <c r="N29" s="74">
        <v>17</v>
      </c>
      <c r="O29" s="74">
        <v>17</v>
      </c>
      <c r="P29" s="74">
        <v>17</v>
      </c>
      <c r="Q29" s="93">
        <v>16</v>
      </c>
      <c r="R29" s="74">
        <v>18</v>
      </c>
      <c r="S29" s="74">
        <v>17</v>
      </c>
      <c r="T29" s="74">
        <v>17</v>
      </c>
      <c r="U29" s="74">
        <v>17</v>
      </c>
      <c r="V29" s="74">
        <v>19</v>
      </c>
      <c r="W29" s="74">
        <v>18</v>
      </c>
      <c r="X29" s="74">
        <v>48</v>
      </c>
      <c r="Y29" s="74">
        <v>19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154058.27495280001</v>
      </c>
      <c r="E33" s="213" ph="1">
        <f>M10+I10</f>
        <v>71903.287029600004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1522252632456786910111213141516171819202123456789101112131415161718192022232424356789101112131415161718192021222345678910111213141516171819202345678910111213149101516171819222123234567891012131415161711181920212224252345678910111213139[[#This Row],[F25]]</f>
        <v>3880</v>
      </c>
      <c r="G33" s="217" ph="1">
        <f>N19</f>
        <v>33191.678928900001</v>
      </c>
      <c r="H33" s="213" ph="1">
        <f>M19</f>
        <v>29604.900628280004</v>
      </c>
      <c r="I33" s="226" ph="1">
        <v>0</v>
      </c>
      <c r="J33" s="224" ph="1">
        <f>F10+O28</f>
        <v>206902.86941459999</v>
      </c>
      <c r="K33" s="213" ph="1">
        <f>O10+K10+E28+R28</f>
        <v>223601.15823963998</v>
      </c>
      <c r="L33" s="228" ph="1">
        <f>K19</f>
        <v>40965.735388159999</v>
      </c>
      <c r="M33" s="224" ph="1">
        <f>G10+H10+W28+S28+V28+E10+R19+P28+Q28</f>
        <v>740044.96157446003</v>
      </c>
      <c r="N33" s="213" ph="1">
        <f>L10+P10++G28+H28+AD19+AE19</f>
        <v>183538.22798639999</v>
      </c>
      <c r="O33" s="226" ph="1">
        <f>G19</f>
        <v>13801.014664</v>
      </c>
      <c r="P33" s="224" ph="1">
        <f>L19</f>
        <v>6690.2887782400003</v>
      </c>
      <c r="Q33" s="213" ph="1">
        <f>J10+N10</f>
        <v>148416.22178029999</v>
      </c>
      <c r="R33" s="226" ph="1">
        <f>BE23</f>
        <v>890</v>
      </c>
      <c r="S33" s="224" ph="1">
        <f>X28</f>
        <v>259967.17327099998</v>
      </c>
      <c r="T33" s="213" ph="1">
        <f>X19</f>
        <v>10027.610076720001</v>
      </c>
      <c r="U33" s="234" ph="1">
        <f>BE21</f>
        <v>730</v>
      </c>
      <c r="V33" s="245" ph="1">
        <f ca="1">P19+Q19+S19+M28+N28+J28+D10+AC10+D19+E19+H19+J19+O19+V19+W19+K28+L28</f>
        <v>1370150.8085881642</v>
      </c>
      <c r="W33" s="245" ph="1">
        <f>D28+F28+T28+I28</f>
        <v>15410.904260344001</v>
      </c>
      <c r="X33" s="226" ph="1">
        <f>BE29+BE31</f>
        <v>10200</v>
      </c>
      <c r="Y33" s="247" ph="1">
        <f>+Q10+R10+S10+T10+U10+V10+W10+X10+Y10</f>
        <v>226181.8898262</v>
      </c>
      <c r="Z33" s="232" ph="1">
        <f>T19+U19+Y28+Z10</f>
        <v>459787.93638404005</v>
      </c>
      <c r="AA33" s="234" ph="1">
        <f>BE19</f>
        <v>1440</v>
      </c>
      <c r="AB33" s="236" ph="1">
        <f>I19</f>
        <v>32202.633737600005</v>
      </c>
      <c r="AC33" s="238" ph="1">
        <f>AD10+AB19</f>
        <v>138243.63599760001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6" t="s" ph="1">
        <v>185</v>
      </c>
      <c r="AA36" s="15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079" priority="101">
      <formula>ABS(D$7-D$10)&gt;=1000</formula>
    </cfRule>
  </conditionalFormatting>
  <conditionalFormatting sqref="E4 E6:E11">
    <cfRule type="expression" dxfId="2078" priority="100">
      <formula>ABS(E$7-E$10)&gt;=1000</formula>
    </cfRule>
  </conditionalFormatting>
  <conditionalFormatting sqref="F4:F11">
    <cfRule type="expression" dxfId="2077" priority="99">
      <formula>ABS(F$7-F$10)&gt;=1000</formula>
    </cfRule>
  </conditionalFormatting>
  <conditionalFormatting sqref="G4:G11">
    <cfRule type="expression" dxfId="2076" priority="98">
      <formula>ABS(G$7-G$10)&gt;=1000</formula>
    </cfRule>
  </conditionalFormatting>
  <conditionalFormatting sqref="H4:H11">
    <cfRule type="expression" dxfId="2075" priority="97">
      <formula>ABS(H$7-H$10)&gt;=1000</formula>
    </cfRule>
  </conditionalFormatting>
  <conditionalFormatting sqref="I4:I11">
    <cfRule type="expression" dxfId="2074" priority="96">
      <formula>ABS(I$7-I$10)&gt;=1000</formula>
    </cfRule>
  </conditionalFormatting>
  <conditionalFormatting sqref="J4:J11">
    <cfRule type="expression" dxfId="2073" priority="95">
      <formula>ABS(J$7-J$10)&gt;=1000</formula>
    </cfRule>
  </conditionalFormatting>
  <conditionalFormatting sqref="K4:K11">
    <cfRule type="expression" dxfId="2072" priority="94">
      <formula>ABS(K$7-K$10)&gt;=1000</formula>
    </cfRule>
  </conditionalFormatting>
  <conditionalFormatting sqref="L4:L11">
    <cfRule type="expression" dxfId="2071" priority="93">
      <formula>ABS(L$7-L$10)&gt;=1000</formula>
    </cfRule>
  </conditionalFormatting>
  <conditionalFormatting sqref="M4 M6:M11">
    <cfRule type="expression" dxfId="2070" priority="92">
      <formula>ABS(M$7-M$10)&gt;=1000</formula>
    </cfRule>
  </conditionalFormatting>
  <conditionalFormatting sqref="N4 N6:N11">
    <cfRule type="expression" dxfId="2069" priority="91">
      <formula>ABS(N$7-N$10)&gt;=1000</formula>
    </cfRule>
  </conditionalFormatting>
  <conditionalFormatting sqref="O4 O6:O11">
    <cfRule type="expression" dxfId="2068" priority="90">
      <formula>ABS(O$7-O$10)&gt;=1000</formula>
    </cfRule>
  </conditionalFormatting>
  <conditionalFormatting sqref="P4 P6:P11">
    <cfRule type="expression" dxfId="2067" priority="89">
      <formula>ABS(P$7-P$10)&gt;=1000</formula>
    </cfRule>
  </conditionalFormatting>
  <conditionalFormatting sqref="Q4:Q11">
    <cfRule type="expression" dxfId="2066" priority="88">
      <formula>ABS(Q$7-Q$10)&gt;=1000</formula>
    </cfRule>
  </conditionalFormatting>
  <conditionalFormatting sqref="R4:R11">
    <cfRule type="expression" dxfId="2065" priority="87">
      <formula>ABS(R$7-R$10)&gt;=1000</formula>
    </cfRule>
  </conditionalFormatting>
  <conditionalFormatting sqref="S4:S11">
    <cfRule type="expression" dxfId="2064" priority="86">
      <formula>ABS(S$7-S$10)&gt;=1000</formula>
    </cfRule>
  </conditionalFormatting>
  <conditionalFormatting sqref="T4:T9 T11">
    <cfRule type="expression" dxfId="2063" priority="85">
      <formula>ABS(T$7-T$10)&gt;=1000</formula>
    </cfRule>
  </conditionalFormatting>
  <conditionalFormatting sqref="U4:U9 U11">
    <cfRule type="expression" dxfId="2062" priority="84">
      <formula>ABS(U$7-U$10)&gt;=1000</formula>
    </cfRule>
  </conditionalFormatting>
  <conditionalFormatting sqref="V4:V9 V11">
    <cfRule type="expression" dxfId="2061" priority="83">
      <formula>ABS(V$7-V$10)&gt;=1000</formula>
    </cfRule>
  </conditionalFormatting>
  <conditionalFormatting sqref="W4:W9 W11">
    <cfRule type="expression" dxfId="2060" priority="82">
      <formula>ABS(W$7-W$10)&gt;=1000</formula>
    </cfRule>
  </conditionalFormatting>
  <conditionalFormatting sqref="X4:X9 X11">
    <cfRule type="expression" dxfId="2059" priority="81">
      <formula>ABS(X$7-X$10)&gt;=1000</formula>
    </cfRule>
  </conditionalFormatting>
  <conditionalFormatting sqref="Y4:Y9 Y11">
    <cfRule type="expression" dxfId="2058" priority="80">
      <formula>ABS(Y$7-Y$10)&gt;=1000</formula>
    </cfRule>
  </conditionalFormatting>
  <conditionalFormatting sqref="Z4:Z11">
    <cfRule type="expression" dxfId="2057" priority="79">
      <formula>ABS(Z$7-Z$10)&gt;=1000</formula>
    </cfRule>
  </conditionalFormatting>
  <conditionalFormatting sqref="AA4:AA11">
    <cfRule type="expression" dxfId="2056" priority="78">
      <formula>ABS(AA$7-AA$10)&gt;=1000</formula>
    </cfRule>
  </conditionalFormatting>
  <conditionalFormatting sqref="AB4:AB11">
    <cfRule type="expression" dxfId="2055" priority="77">
      <formula>ABS(AB$7-AB$10)&gt;=1000</formula>
    </cfRule>
  </conditionalFormatting>
  <conditionalFormatting sqref="AC4 AC6:AC11">
    <cfRule type="expression" dxfId="2054" priority="76">
      <formula>ABS(AC$7-AC$10)&gt;=1000</formula>
    </cfRule>
  </conditionalFormatting>
  <conditionalFormatting sqref="AD4 AD6:AD11">
    <cfRule type="expression" dxfId="2053" priority="75">
      <formula>ABS(AD$7-AD$10)&gt;=1000</formula>
    </cfRule>
  </conditionalFormatting>
  <conditionalFormatting sqref="AE4 AE6:AE11">
    <cfRule type="expression" dxfId="2052" priority="74">
      <formula>ABS(AE$7-AE$10)&gt;=1000</formula>
    </cfRule>
  </conditionalFormatting>
  <conditionalFormatting sqref="D13:D20">
    <cfRule type="expression" dxfId="2051" priority="73">
      <formula>ABS(D$16-D$19)&gt;=1000</formula>
    </cfRule>
  </conditionalFormatting>
  <conditionalFormatting sqref="E13:E20">
    <cfRule type="expression" dxfId="2050" priority="72">
      <formula>ABS(E$16-E$19)&gt;=1000</formula>
    </cfRule>
  </conditionalFormatting>
  <conditionalFormatting sqref="F13 F15:F20">
    <cfRule type="expression" dxfId="2049" priority="71">
      <formula>ABS(F$16-F$19)&gt;=1000</formula>
    </cfRule>
  </conditionalFormatting>
  <conditionalFormatting sqref="G13:G20">
    <cfRule type="expression" dxfId="2048" priority="70">
      <formula>ABS(G$16-G$19)&gt;=1000</formula>
    </cfRule>
  </conditionalFormatting>
  <conditionalFormatting sqref="H13 H15:H20">
    <cfRule type="expression" dxfId="2047" priority="69">
      <formula>ABS(H$16-H$19)&gt;=1000</formula>
    </cfRule>
  </conditionalFormatting>
  <conditionalFormatting sqref="I13:I20">
    <cfRule type="expression" dxfId="2046" priority="68">
      <formula>ABS(I$16-I$19)&gt;=1000</formula>
    </cfRule>
  </conditionalFormatting>
  <conditionalFormatting sqref="J13:J20">
    <cfRule type="expression" dxfId="2045" priority="67">
      <formula>ABS(J$16-J$19)&gt;=1000</formula>
    </cfRule>
  </conditionalFormatting>
  <conditionalFormatting sqref="L13:L20">
    <cfRule type="expression" dxfId="2044" priority="66">
      <formula>ABS(L$16-L$19)&gt;=1000</formula>
    </cfRule>
  </conditionalFormatting>
  <conditionalFormatting sqref="M13 M15 M17:M18 M20">
    <cfRule type="expression" dxfId="2043" priority="65">
      <formula>ABS(M$16-M$19)&gt;=1000</formula>
    </cfRule>
  </conditionalFormatting>
  <conditionalFormatting sqref="N13:N20">
    <cfRule type="expression" dxfId="2042" priority="64">
      <formula>ABS(N$16-N$19)&gt;=1000</formula>
    </cfRule>
  </conditionalFormatting>
  <conditionalFormatting sqref="O13:O20">
    <cfRule type="expression" dxfId="2041" priority="63">
      <formula>ABS(O$16-O$19)&gt;=1000</formula>
    </cfRule>
  </conditionalFormatting>
  <conditionalFormatting sqref="P13:P20">
    <cfRule type="expression" dxfId="2040" priority="62">
      <formula>ABS(P$16-P$19)&gt;=1000</formula>
    </cfRule>
  </conditionalFormatting>
  <conditionalFormatting sqref="Q13 Q15:Q20">
    <cfRule type="expression" dxfId="2039" priority="61">
      <formula>ABS(Q$16-Q$19)&gt;=1000</formula>
    </cfRule>
  </conditionalFormatting>
  <conditionalFormatting sqref="R13:R20">
    <cfRule type="expression" dxfId="2038" priority="60">
      <formula>ABS(R$16-R$19)&gt;=1000</formula>
    </cfRule>
  </conditionalFormatting>
  <conditionalFormatting sqref="S13:S20">
    <cfRule type="expression" dxfId="2037" priority="59">
      <formula>ABS(S$16-S$19)&gt;=1000</formula>
    </cfRule>
  </conditionalFormatting>
  <conditionalFormatting sqref="T13:T20">
    <cfRule type="expression" dxfId="2036" priority="58">
      <formula>ABS(T$16-T$19)&gt;=1000</formula>
    </cfRule>
  </conditionalFormatting>
  <conditionalFormatting sqref="U13:U20">
    <cfRule type="expression" dxfId="2035" priority="57">
      <formula>ABS(U$16-U$19)&gt;=1000</formula>
    </cfRule>
  </conditionalFormatting>
  <conditionalFormatting sqref="V13:V20">
    <cfRule type="expression" dxfId="2034" priority="56">
      <formula>ABS(V$16-V$19)&gt;=1000</formula>
    </cfRule>
  </conditionalFormatting>
  <conditionalFormatting sqref="W13 W20 W15:W18">
    <cfRule type="expression" dxfId="2033" priority="55">
      <formula>ABS(W$16-W$19)&gt;=1000</formula>
    </cfRule>
  </conditionalFormatting>
  <conditionalFormatting sqref="X13 X15:X20 Y19">
    <cfRule type="expression" dxfId="2032" priority="54">
      <formula>ABS(X$16-X$19)&gt;=1000</formula>
    </cfRule>
  </conditionalFormatting>
  <conditionalFormatting sqref="Y13 Y15:Y18 Y20">
    <cfRule type="expression" dxfId="2031" priority="53">
      <formula>ABS(Y$16-Y$19)&gt;=1000</formula>
    </cfRule>
  </conditionalFormatting>
  <conditionalFormatting sqref="Z13:Z20">
    <cfRule type="expression" dxfId="2030" priority="52">
      <formula>ABS(Z$16-Z$19)&gt;=1000</formula>
    </cfRule>
  </conditionalFormatting>
  <conditionalFormatting sqref="AA13:AA20">
    <cfRule type="expression" dxfId="2029" priority="51">
      <formula>ABS(AA$16-AA$19)&gt;=1000</formula>
    </cfRule>
  </conditionalFormatting>
  <conditionalFormatting sqref="AB13 AB15:AB20">
    <cfRule type="expression" dxfId="2028" priority="50">
      <formula>ABS(AB$16-AB$19)&gt;=1000</formula>
    </cfRule>
  </conditionalFormatting>
  <conditionalFormatting sqref="AC13 AC15:AC20">
    <cfRule type="expression" dxfId="2027" priority="49">
      <formula>ABS(AC$16-AC$19)&gt;=1000</formula>
    </cfRule>
  </conditionalFormatting>
  <conditionalFormatting sqref="AD13:AD20">
    <cfRule type="expression" dxfId="2026" priority="48">
      <formula>ABS(AD$16-AD$19)&gt;=1000</formula>
    </cfRule>
  </conditionalFormatting>
  <conditionalFormatting sqref="AE13:AE20">
    <cfRule type="expression" dxfId="2025" priority="47">
      <formula>ABS(AE$16-AE$19)&gt;=1000</formula>
    </cfRule>
  </conditionalFormatting>
  <conditionalFormatting sqref="D22:D29">
    <cfRule type="expression" dxfId="2024" priority="46">
      <formula>ABS(D$25-D$28)&gt;=1000</formula>
    </cfRule>
  </conditionalFormatting>
  <conditionalFormatting sqref="E22:E29">
    <cfRule type="expression" dxfId="2023" priority="45">
      <formula>ABS(E$25-E$28)&gt;=1000</formula>
    </cfRule>
  </conditionalFormatting>
  <conditionalFormatting sqref="F22:F29">
    <cfRule type="expression" dxfId="2022" priority="44">
      <formula>ABS(F$25-F$28)&gt;=1000</formula>
    </cfRule>
  </conditionalFormatting>
  <conditionalFormatting sqref="G22:G29">
    <cfRule type="expression" dxfId="2021" priority="43">
      <formula>ABS(G$25-G$28)&gt;=1000</formula>
    </cfRule>
  </conditionalFormatting>
  <conditionalFormatting sqref="H22:H29">
    <cfRule type="expression" dxfId="2020" priority="42">
      <formula>ABS(H$25-H$28)&gt;=1000</formula>
    </cfRule>
  </conditionalFormatting>
  <conditionalFormatting sqref="I22 I24:I29">
    <cfRule type="expression" dxfId="2019" priority="41">
      <formula>ABS(I$25-I$28)&gt;=1000</formula>
    </cfRule>
  </conditionalFormatting>
  <conditionalFormatting sqref="J22:J29 K22">
    <cfRule type="expression" dxfId="2018" priority="40">
      <formula>ABS(J$25-J$28)&gt;=1000</formula>
    </cfRule>
  </conditionalFormatting>
  <conditionalFormatting sqref="K23:K29 L25 L28">
    <cfRule type="expression" dxfId="2017" priority="39">
      <formula>ABS(K$25-K$28)&gt;=1000</formula>
    </cfRule>
  </conditionalFormatting>
  <conditionalFormatting sqref="L22 L26:L27 L29 L24">
    <cfRule type="expression" dxfId="2016" priority="38">
      <formula>ABS(L$25-L$28)&gt;=1000</formula>
    </cfRule>
  </conditionalFormatting>
  <conditionalFormatting sqref="M22:M29">
    <cfRule type="expression" dxfId="2015" priority="37">
      <formula>ABS(M$25-M$28)&gt;=1000</formula>
    </cfRule>
  </conditionalFormatting>
  <conditionalFormatting sqref="N22:N29">
    <cfRule type="expression" dxfId="2014" priority="36">
      <formula>ABS(N$25-N$28)&gt;=1000</formula>
    </cfRule>
  </conditionalFormatting>
  <conditionalFormatting sqref="O22:O29">
    <cfRule type="expression" dxfId="2013" priority="35">
      <formula>ABS(O$25-O$28)&gt;=1000</formula>
    </cfRule>
  </conditionalFormatting>
  <conditionalFormatting sqref="P22:P29">
    <cfRule type="expression" dxfId="2012" priority="34">
      <formula>ABS(P$25-P$28)&gt;=1000</formula>
    </cfRule>
  </conditionalFormatting>
  <conditionalFormatting sqref="Q22:Q29">
    <cfRule type="expression" dxfId="2011" priority="33">
      <formula>ABS(Q$25-Q$28)&gt;=1000</formula>
    </cfRule>
  </conditionalFormatting>
  <conditionalFormatting sqref="R22:R29">
    <cfRule type="expression" dxfId="2010" priority="32">
      <formula>ABS(R$25-R$28)&gt;=1000</formula>
    </cfRule>
  </conditionalFormatting>
  <conditionalFormatting sqref="S22:S29">
    <cfRule type="expression" dxfId="2009" priority="31">
      <formula>ABS(S$25-S$28)&gt;=1000</formula>
    </cfRule>
  </conditionalFormatting>
  <conditionalFormatting sqref="T22:T29">
    <cfRule type="expression" dxfId="2008" priority="30">
      <formula>ABS(T$25-T$28)&gt;=1000</formula>
    </cfRule>
  </conditionalFormatting>
  <conditionalFormatting sqref="U22:U29">
    <cfRule type="expression" dxfId="2007" priority="29">
      <formula>ABS(U$25-U$28)&gt;=1000</formula>
    </cfRule>
  </conditionalFormatting>
  <conditionalFormatting sqref="V22:V29">
    <cfRule type="expression" dxfId="2006" priority="28">
      <formula>ABS(V$25-V$28)&gt;=1000</formula>
    </cfRule>
  </conditionalFormatting>
  <conditionalFormatting sqref="W22:W29">
    <cfRule type="expression" dxfId="2005" priority="27">
      <formula>ABS(W$25-W$28)&gt;=1000</formula>
    </cfRule>
  </conditionalFormatting>
  <conditionalFormatting sqref="X22:X29">
    <cfRule type="expression" dxfId="2004" priority="26">
      <formula>ABS(X$25-X$28)&gt;=1000</formula>
    </cfRule>
  </conditionalFormatting>
  <conditionalFormatting sqref="Y22:Y29">
    <cfRule type="expression" dxfId="2003" priority="25">
      <formula>ABS(Y$25-Y$28)&gt;=1000</formula>
    </cfRule>
  </conditionalFormatting>
  <conditionalFormatting sqref="I23">
    <cfRule type="expression" dxfId="2002" priority="24">
      <formula>ABS(I$25-I$28)&gt;=1000</formula>
    </cfRule>
  </conditionalFormatting>
  <conditionalFormatting sqref="Q14">
    <cfRule type="expression" dxfId="2001" priority="23">
      <formula>ABS(Q$16-Q$19)&gt;=1000</formula>
    </cfRule>
  </conditionalFormatting>
  <conditionalFormatting sqref="W14">
    <cfRule type="expression" dxfId="2000" priority="22">
      <formula>ABS(W$16-W$19)&gt;=1000</formula>
    </cfRule>
  </conditionalFormatting>
  <conditionalFormatting sqref="X14">
    <cfRule type="expression" dxfId="1999" priority="21">
      <formula>ABS(X$16-X$19)&gt;=1000</formula>
    </cfRule>
  </conditionalFormatting>
  <conditionalFormatting sqref="T10:Y10">
    <cfRule type="expression" dxfId="1998" priority="20">
      <formula>ABS(T$7-T$10)&gt;=1000</formula>
    </cfRule>
  </conditionalFormatting>
  <conditionalFormatting sqref="W19">
    <cfRule type="expression" dxfId="1997" priority="19">
      <formula>ABS(W$16-W$19)&gt;=1000</formula>
    </cfRule>
  </conditionalFormatting>
  <conditionalFormatting sqref="AC5">
    <cfRule type="expression" dxfId="1996" priority="18">
      <formula>ABS(AC$7-AC$10)&gt;=1000</formula>
    </cfRule>
  </conditionalFormatting>
  <conditionalFormatting sqref="M14">
    <cfRule type="expression" dxfId="1995" priority="17">
      <formula>ABS(M$16-M$19)&gt;=1000</formula>
    </cfRule>
  </conditionalFormatting>
  <conditionalFormatting sqref="M16">
    <cfRule type="expression" dxfId="1994" priority="16">
      <formula>ABS(M$16-M$19)&gt;=1000</formula>
    </cfRule>
  </conditionalFormatting>
  <conditionalFormatting sqref="M19">
    <cfRule type="expression" dxfId="1993" priority="15">
      <formula>ABS(M$16-M$19)&gt;=1000</formula>
    </cfRule>
  </conditionalFormatting>
  <conditionalFormatting sqref="K13:K20">
    <cfRule type="expression" dxfId="1992" priority="14">
      <formula>ABS(K$16-K$19)&gt;=1000</formula>
    </cfRule>
  </conditionalFormatting>
  <conditionalFormatting sqref="E5">
    <cfRule type="expression" dxfId="1991" priority="13">
      <formula>ABS(E$7-E$10)&gt;=1000</formula>
    </cfRule>
  </conditionalFormatting>
  <conditionalFormatting sqref="AB14:AC14">
    <cfRule type="expression" dxfId="1990" priority="12">
      <formula>ABS(AB$16-AB$19)&gt;=1000</formula>
    </cfRule>
  </conditionalFormatting>
  <conditionalFormatting sqref="M5">
    <cfRule type="expression" dxfId="1989" priority="11">
      <formula>ABS(M$7-M$10)&gt;=1000</formula>
    </cfRule>
  </conditionalFormatting>
  <conditionalFormatting sqref="N5">
    <cfRule type="expression" dxfId="1988" priority="10">
      <formula>ABS(N$7-N$10)&gt;=1000</formula>
    </cfRule>
  </conditionalFormatting>
  <conditionalFormatting sqref="O5">
    <cfRule type="expression" dxfId="1987" priority="9">
      <formula>ABS(O$7-O$10)&gt;=1000</formula>
    </cfRule>
  </conditionalFormatting>
  <conditionalFormatting sqref="P5">
    <cfRule type="expression" dxfId="1986" priority="8">
      <formula>ABS(P$7-P$10)&gt;=1000</formula>
    </cfRule>
  </conditionalFormatting>
  <conditionalFormatting sqref="L23">
    <cfRule type="expression" dxfId="1985" priority="7">
      <formula>ABS(L$25-L$28)&gt;=1000</formula>
    </cfRule>
  </conditionalFormatting>
  <conditionalFormatting sqref="Y14">
    <cfRule type="expression" dxfId="1984" priority="5">
      <formula>ABS(Y$16-Y$19)&gt;=1000</formula>
    </cfRule>
  </conditionalFormatting>
  <conditionalFormatting sqref="F14">
    <cfRule type="expression" dxfId="1983" priority="4">
      <formula>ABS(F$16-F$19)&gt;=1000</formula>
    </cfRule>
  </conditionalFormatting>
  <conditionalFormatting sqref="H14">
    <cfRule type="expression" dxfId="1982" priority="3">
      <formula>ABS(H$16-H$19)&gt;=1000</formula>
    </cfRule>
  </conditionalFormatting>
  <conditionalFormatting sqref="AD5">
    <cfRule type="expression" dxfId="1981" priority="2">
      <formula>ABS(AD$7-AD$10)&gt;=1000</formula>
    </cfRule>
  </conditionalFormatting>
  <conditionalFormatting sqref="AE5">
    <cfRule type="expression" dxfId="19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896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4">
    <pageSetUpPr fitToPage="1"/>
  </sheetPr>
  <dimension ref="A1:CU223"/>
  <sheetViews>
    <sheetView view="pageBreakPreview" topLeftCell="A10" zoomScale="70" zoomScaleNormal="100" zoomScaleSheetLayoutView="70" workbookViewId="0">
      <selection activeCell="AD9" sqref="AD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46034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54" t="s" ph="1">
        <v>177</v>
      </c>
      <c r="D6" s="71">
        <v>7087</v>
      </c>
      <c r="E6" s="71">
        <v>0</v>
      </c>
      <c r="F6" s="71">
        <v>2440</v>
      </c>
      <c r="G6" s="71">
        <v>8755</v>
      </c>
      <c r="H6" s="71">
        <v>146</v>
      </c>
      <c r="I6" s="71">
        <v>0</v>
      </c>
      <c r="J6" s="71">
        <v>6.62</v>
      </c>
      <c r="K6" s="71">
        <v>7.43</v>
      </c>
      <c r="L6" s="71">
        <v>46.09</v>
      </c>
      <c r="M6" s="71">
        <v>1952</v>
      </c>
      <c r="N6" s="71">
        <v>5589</v>
      </c>
      <c r="O6" s="71">
        <v>3290</v>
      </c>
      <c r="P6" s="71">
        <v>2728</v>
      </c>
      <c r="Q6" s="71">
        <v>0</v>
      </c>
      <c r="R6" s="71">
        <v>4015</v>
      </c>
      <c r="S6" s="71">
        <v>5930</v>
      </c>
      <c r="T6" s="71">
        <v>7111</v>
      </c>
      <c r="U6" s="71">
        <v>7029</v>
      </c>
      <c r="V6" s="71">
        <v>4205</v>
      </c>
      <c r="W6" s="71">
        <v>7011</v>
      </c>
      <c r="X6" s="71">
        <v>6998</v>
      </c>
      <c r="Y6" s="71">
        <v>3480</v>
      </c>
      <c r="Z6" s="71">
        <v>692</v>
      </c>
      <c r="AA6" s="71">
        <v>2882</v>
      </c>
      <c r="AB6" s="71">
        <v>2600</v>
      </c>
      <c r="AC6" s="71">
        <v>8543</v>
      </c>
      <c r="AD6" s="71">
        <v>4780</v>
      </c>
      <c r="AE6" s="71">
        <v>3564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224256.12946560001</v>
      </c>
      <c r="E7" s="73" ph="1">
        <f>E6*51.53*LOOKUP(E8,密度!$A$2:$A$50,密度!$B$2:$B$50)</f>
        <v>0</v>
      </c>
      <c r="F7" s="73" ph="1">
        <f>F6*33.183*LOOKUP(F8,密度!$A$2:$A$50,密度!$C$2:$C$50)</f>
        <v>90407.216232000006</v>
      </c>
      <c r="G7" s="73" ph="1">
        <f xml:space="preserve"> (G6+2)*51.53*LOOKUP(G8,密度!$A$2:$A$50,密度!$B$2:$B$50)</f>
        <v>355583.58948000002</v>
      </c>
      <c r="H7" s="73" ph="1">
        <f>(H6)*51.53*LOOKUP(H8,密度!$A$2:$A$50,密度!$B$2:$B$50)</f>
        <v>5954.0029320000003</v>
      </c>
      <c r="I7" s="73" ph="1">
        <f>I6*290.8*1.0267</f>
        <v>0</v>
      </c>
      <c r="J7" s="73" ph="1">
        <f>J6*290.8*0.7892</f>
        <v>1519.2857632</v>
      </c>
      <c r="K7" s="73" ph="1">
        <f>K6*290.8*1.1126</f>
        <v>2403.9325143999999</v>
      </c>
      <c r="L7" s="73" ph="1">
        <f>L6*290.8*0.777</f>
        <v>10414.109244000001</v>
      </c>
      <c r="M7" s="73" ph="1">
        <f>M6*33.183*LOOKUP(M8,密度!$A$2:$A$50,密度!$D$2:$D$50)</f>
        <v>67079.14248960001</v>
      </c>
      <c r="N7" s="73" ph="1">
        <f>N6*33.183*LOOKUP(N8,密度!$A$2:$A$50,密度!$E$2:$E$50)</f>
        <v>146976.88119750001</v>
      </c>
      <c r="O7" s="73" ph="1">
        <f>O6*20.428*LOOKUP(O8,密度!$A$2:$A$50,密度!$C$2:$C$50)</f>
        <v>75313.419272000014</v>
      </c>
      <c r="P7" s="73" ph="1">
        <f>P6*51.53*LOOKUP(P8,密度!$A$2:$A$50,密度!$B$2:$B$50)</f>
        <v>110659.72684800001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26705.983688999997</v>
      </c>
      <c r="S7" s="73" ph="1">
        <f>S6*1.5*1.5*3.1416*LOOKUP(S8,密度!$A$2:$A$50,密度!$L$2:$L$50)</f>
        <v>39820.958100000003</v>
      </c>
      <c r="T7" s="73" ph="1">
        <f>T6*1.5*1.5*3.1416*LOOKUP(T8,密度!$A$2:$A$50,密度!$L$2:$L$50)</f>
        <v>47801.838684599999</v>
      </c>
      <c r="U7" s="73" ph="1">
        <f>U6*1.5*1.5*3.1416*LOOKUP(U8,密度!$A$2:$A$50,密度!$L$2:$L$50)</f>
        <v>47051.874361799993</v>
      </c>
      <c r="V7" s="73" ph="1">
        <f>V6*1.5*1.5*3.1416*LOOKUP(V8,密度!$A$2:$A$50,密度!$L$2:$L$50)</f>
        <v>27999.502145999999</v>
      </c>
      <c r="W7" s="73" ph="1">
        <f>W6*1.5*1.5*3.1416*LOOKUP(W8,密度!$A$2:$A$50,密度!$L$2:$L$50)</f>
        <v>46881.825051599997</v>
      </c>
      <c r="X7" s="73" ph="1">
        <f>X6*1.5*1.5*3.1416*LOOKUP(X8,密度!$A$2:$A$50,密度!$L$2:$L$50)</f>
        <v>47289.556036800001</v>
      </c>
      <c r="Y7" s="73" ph="1">
        <f>Y6*1.5*1.5*3.1416*LOOKUP(Y8,密度!$A$2:$A$50,密度!$L$2:$L$50)</f>
        <v>23270.396687999997</v>
      </c>
      <c r="Z7" s="73" ph="1">
        <f>Z6*33.183*LOOKUP(Z8,密度!$A$2:$A$50,密度!$L$2:$L$50)</f>
        <v>21860.429471999996</v>
      </c>
      <c r="AA7" s="73" ph="1">
        <f>AA6*33.183*LOOKUP(AA8,密度!$A$2:$A$50,密度!$D$2:$D$50)</f>
        <v>99037.955253600012</v>
      </c>
      <c r="AB7" s="73" ph="1">
        <f>AB6*20.428*LOOKUP(AB8,密度!$A$2:$A$50,密度!$D$2:$D$50)</f>
        <v>55332.915040000007</v>
      </c>
      <c r="AC7" s="73" ph="1">
        <f>AC6*51.53*LOOKUP(AC8,密度!$A$2:$A$50,密度!$Q$2:$Q$50)</f>
        <v>420208.35288660007</v>
      </c>
      <c r="AD7" s="73" ph="1">
        <f>AD6*20.428*LOOKUP(AD8,密度!$A$2:$A$50,密度!$V$2:$V$50)</f>
        <v>94130.589760000003</v>
      </c>
      <c r="AE7" s="73" ph="1">
        <f>AE6*20.428</f>
        <v>72805.392000000007</v>
      </c>
    </row>
    <row r="8" spans="1:99" ph="1">
      <c r="B8" s="191" ph="1"/>
      <c r="C8" s="68" t="s" ph="1">
        <v>179</v>
      </c>
      <c r="D8" s="74">
        <v>16</v>
      </c>
      <c r="E8" s="74">
        <v>14</v>
      </c>
      <c r="F8" s="74">
        <v>14</v>
      </c>
      <c r="G8" s="74">
        <v>15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9</v>
      </c>
      <c r="P8" s="74">
        <v>16</v>
      </c>
      <c r="Q8" s="74">
        <v>16</v>
      </c>
      <c r="R8" s="74">
        <v>21</v>
      </c>
      <c r="S8" s="74">
        <v>12</v>
      </c>
      <c r="T8" s="74">
        <v>11</v>
      </c>
      <c r="U8" s="74">
        <v>15</v>
      </c>
      <c r="V8" s="74">
        <v>20</v>
      </c>
      <c r="W8" s="74">
        <v>16</v>
      </c>
      <c r="X8" s="74">
        <v>6</v>
      </c>
      <c r="Y8" s="74">
        <v>16</v>
      </c>
      <c r="Z8" s="74">
        <v>10</v>
      </c>
      <c r="AA8" s="74">
        <v>15</v>
      </c>
      <c r="AB8" s="74">
        <v>8</v>
      </c>
      <c r="AC8" s="74">
        <v>12</v>
      </c>
      <c r="AD8" s="74">
        <v>13</v>
      </c>
      <c r="AE8" s="74">
        <v>20</v>
      </c>
    </row>
    <row r="9" spans="1:99" ph="1">
      <c r="B9" s="191" ph="1">
        <v>0.66666666666666663</v>
      </c>
      <c r="C9" s="154" t="s" ph="1">
        <v>180</v>
      </c>
      <c r="D9" s="71">
        <v>7087</v>
      </c>
      <c r="E9" s="71">
        <v>0</v>
      </c>
      <c r="F9" s="71">
        <v>2440</v>
      </c>
      <c r="G9" s="71">
        <v>9187</v>
      </c>
      <c r="H9" s="71">
        <v>632</v>
      </c>
      <c r="I9" s="71">
        <v>0</v>
      </c>
      <c r="J9" s="71">
        <v>6.61</v>
      </c>
      <c r="K9" s="71">
        <v>37.340000000000003</v>
      </c>
      <c r="L9" s="71">
        <v>57.08</v>
      </c>
      <c r="M9" s="71">
        <v>1953</v>
      </c>
      <c r="N9" s="71">
        <v>5591</v>
      </c>
      <c r="O9" s="71">
        <v>3292</v>
      </c>
      <c r="P9" s="71">
        <v>2428</v>
      </c>
      <c r="Q9" s="71">
        <v>7316</v>
      </c>
      <c r="R9" s="71">
        <v>526</v>
      </c>
      <c r="S9" s="71">
        <v>5933</v>
      </c>
      <c r="T9" s="71">
        <v>7114</v>
      </c>
      <c r="U9" s="71">
        <v>7032</v>
      </c>
      <c r="V9" s="71">
        <v>4208</v>
      </c>
      <c r="W9" s="71">
        <v>7015</v>
      </c>
      <c r="X9" s="71">
        <v>7000</v>
      </c>
      <c r="Y9" s="71">
        <v>6669</v>
      </c>
      <c r="Z9" s="71">
        <v>1545</v>
      </c>
      <c r="AA9" s="71">
        <v>2879</v>
      </c>
      <c r="AB9" s="71">
        <v>2599</v>
      </c>
      <c r="AC9" s="71">
        <v>8545</v>
      </c>
      <c r="AD9" s="71">
        <v>4780</v>
      </c>
      <c r="AE9" s="71">
        <v>3540</v>
      </c>
    </row>
    <row r="10" spans="1:99" s="72" customFormat="1" ht="22.5" ph="1">
      <c r="B10" s="191" ph="1"/>
      <c r="C10" s="154" t="s" ph="1">
        <v>178</v>
      </c>
      <c r="D10" s="73" ph="1">
        <f>D9*33.183*LOOKUP(D11,密度!$A$2:$A$50,密度!$Q$2:$Q$50)</f>
        <v>223882.21247121002</v>
      </c>
      <c r="E10" s="73" ph="1">
        <f>E9*51.53*LOOKUP(E11,密度!$A$2:$A$50,密度!$B$2:$B$50)</f>
        <v>0</v>
      </c>
      <c r="F10" s="73" ph="1">
        <f>F9*33.183*LOOKUP(F11,密度!$A$2:$A$50,密度!$C$2:$C$50)</f>
        <v>90342.44301599999</v>
      </c>
      <c r="G10" s="73" ph="1">
        <f xml:space="preserve"> (G9+2)*51.53*LOOKUP(G11,密度!$A$2:$A$50,密度!$B$2:$B$50)</f>
        <v>372746.41862399998</v>
      </c>
      <c r="H10" s="73" ph="1">
        <f>(H9)*51.53*LOOKUP(H11,密度!$A$2:$A$50,密度!$B$2:$B$50)</f>
        <v>25662.764480000002</v>
      </c>
      <c r="I10" s="73" ph="1">
        <f>I9*290.8*1.0267</f>
        <v>0</v>
      </c>
      <c r="J10" s="73" ph="1">
        <f>J9*290.8*0.7892</f>
        <v>1516.9907696</v>
      </c>
      <c r="K10" s="73" ph="1">
        <f>K9*290.8*1.1126</f>
        <v>12081.135947200002</v>
      </c>
      <c r="L10" s="73" ph="1">
        <f>L9*290.8*0.777</f>
        <v>12897.317328000001</v>
      </c>
      <c r="M10" s="73" ph="1">
        <f>M9*33.183*LOOKUP(M11,密度!$A$2:$A$50,密度!$D$2:$D$50)</f>
        <v>67061.661685200001</v>
      </c>
      <c r="N10" s="73" ph="1">
        <f>N9*33.183*LOOKUP(N11,密度!$A$2:$A$50,密度!$E$2:$E$50)</f>
        <v>147029.4762525</v>
      </c>
      <c r="O10" s="73" ph="1">
        <f>O9*20.428*LOOKUP(O11,密度!$A$2:$A$50,密度!$C$2:$C$50)</f>
        <v>74821.210697600007</v>
      </c>
      <c r="P10" s="73" ph="1">
        <f>P9*51.53*LOOKUP(P11,密度!$A$2:$A$50,密度!$B$2:$B$50)</f>
        <v>98202.637916000007</v>
      </c>
      <c r="Q10" s="73" ph="1">
        <f>Q9*1.5*1.5*3.1416*LOOKUP(W11,密度!$A$2:$A$50,密度!$L$2:$L$50)</f>
        <v>48869.614331999997</v>
      </c>
      <c r="R10" s="73" ph="1">
        <f>R9*1.5*1.5*3.1416*LOOKUP(R11,密度!$A$2:$A$50,密度!$L$2:$L$50)</f>
        <v>3498.7166675999997</v>
      </c>
      <c r="S10" s="73" ph="1">
        <f>S9*1.5*1.5*3.1416*LOOKUP(S11,密度!$A$2:$A$50,密度!$L$2:$L$50)</f>
        <v>39757.227602399995</v>
      </c>
      <c r="T10" s="73" ph="1">
        <f>T9*1.5*1.5*3.1416*LOOKUP(T11,密度!$A$2:$A$50,密度!$L$2:$L$50)</f>
        <v>47771.719380000002</v>
      </c>
      <c r="U10" s="73" ph="1">
        <f>U9*1.5*1.5*3.1416*LOOKUP(U11,密度!$A$2:$A$50,密度!$L$2:$L$50)</f>
        <v>47022.249859199997</v>
      </c>
      <c r="V10" s="73" ph="1">
        <f>V9*1.5*1.5*3.1416*LOOKUP(V11,密度!$A$2:$A$50,密度!$L$2:$L$50)</f>
        <v>27900.499334399999</v>
      </c>
      <c r="W10" s="73" ph="1">
        <f>W9*1.5*1.5*3.1416*LOOKUP(W11,密度!$A$2:$A$50,密度!$L$2:$L$50)</f>
        <v>46858.986404999996</v>
      </c>
      <c r="X10" s="73" ph="1">
        <f>X9*1.5*1.5*3.1416*LOOKUP(X11,密度!$A$2:$A$50,密度!$L$2:$L$50)</f>
        <v>47204.110799999995</v>
      </c>
      <c r="Y10" s="73" ph="1">
        <f>Y9*1.5*1.5*3.1416*LOOKUP(Y11,密度!$A$2:$A$50,密度!$L$2:$L$50)</f>
        <v>44547.766262999998</v>
      </c>
      <c r="Z10" s="73" ph="1">
        <f>Z9*33.183*LOOKUP(Z11,密度!$A$2:$A$50,密度!$L$2:$L$50)</f>
        <v>48448.009574999996</v>
      </c>
      <c r="AA10" s="73" ph="1">
        <f>AA9*33.183*LOOKUP(AA11,密度!$A$2:$A$50,密度!$D$2:$D$50)</f>
        <v>98772.454752300007</v>
      </c>
      <c r="AB10" s="73" ph="1">
        <f>AB9*20.428*LOOKUP(AB11,密度!$A$2:$A$50,密度!$D$2:$D$50)</f>
        <v>55263.850014800002</v>
      </c>
      <c r="AC10" s="73" ph="1">
        <f>AC9*51.53*LOOKUP(AC11,密度!$A$2:$A$50,密度!$Q$2:$Q$50)</f>
        <v>420306.72777900007</v>
      </c>
      <c r="AD10" s="73" ph="1">
        <f>AD9*20.428*LOOKUP(AD11,密度!$A$2:$A$50,密度!$V$2:$V$50)</f>
        <v>94130.589760000003</v>
      </c>
      <c r="AE10" s="73" ph="1">
        <f>AE9*20.428</f>
        <v>72315.12000000001</v>
      </c>
    </row>
    <row r="11" spans="1:99" ph="1">
      <c r="A11" s="64" t="s" ph="1">
        <v>162</v>
      </c>
      <c r="B11" s="191" ph="1"/>
      <c r="C11" s="154" t="s" ph="1">
        <v>179</v>
      </c>
      <c r="D11" s="74">
        <v>18</v>
      </c>
      <c r="E11" s="74">
        <v>17</v>
      </c>
      <c r="F11" s="74">
        <v>15</v>
      </c>
      <c r="G11" s="74">
        <v>16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20</v>
      </c>
      <c r="P11" s="74">
        <v>19</v>
      </c>
      <c r="Q11" s="74">
        <v>20</v>
      </c>
      <c r="R11" s="74">
        <v>21</v>
      </c>
      <c r="S11" s="74">
        <v>14</v>
      </c>
      <c r="T11" s="74">
        <v>12</v>
      </c>
      <c r="U11" s="74">
        <v>16</v>
      </c>
      <c r="V11" s="74">
        <v>24</v>
      </c>
      <c r="W11" s="74">
        <v>17</v>
      </c>
      <c r="X11" s="74">
        <v>8</v>
      </c>
      <c r="Y11" s="74">
        <v>17</v>
      </c>
      <c r="Z11" s="74">
        <v>17</v>
      </c>
      <c r="AA11" s="74">
        <v>17</v>
      </c>
      <c r="AB11" s="74">
        <v>9</v>
      </c>
      <c r="AC11" s="74">
        <v>15</v>
      </c>
      <c r="AD11" s="74">
        <v>15</v>
      </c>
      <c r="AE11" s="74">
        <v>21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54" t="s" ph="1">
        <v>177</v>
      </c>
      <c r="D15" s="78">
        <v>6975</v>
      </c>
      <c r="E15" s="78">
        <v>6059</v>
      </c>
      <c r="F15" s="78">
        <v>3721</v>
      </c>
      <c r="G15" s="78">
        <v>2496</v>
      </c>
      <c r="H15" s="78">
        <v>2587</v>
      </c>
      <c r="I15" s="78">
        <v>45</v>
      </c>
      <c r="J15" s="78">
        <v>579</v>
      </c>
      <c r="K15" s="78">
        <v>4049</v>
      </c>
      <c r="L15" s="78">
        <v>927</v>
      </c>
      <c r="M15" s="78">
        <v>6633</v>
      </c>
      <c r="N15" s="78">
        <v>3385</v>
      </c>
      <c r="O15" s="78">
        <v>3566</v>
      </c>
      <c r="P15" s="78">
        <v>5175</v>
      </c>
      <c r="Q15" s="78">
        <v>7184</v>
      </c>
      <c r="R15" s="78">
        <v>7335</v>
      </c>
      <c r="S15" s="78">
        <v>6385</v>
      </c>
      <c r="T15" s="78">
        <v>1757</v>
      </c>
      <c r="U15" s="78">
        <v>6753</v>
      </c>
      <c r="V15" s="78">
        <v>1719</v>
      </c>
      <c r="W15" s="71">
        <v>-817</v>
      </c>
      <c r="X15" s="78">
        <v>449</v>
      </c>
      <c r="Y15" s="106">
        <v>-9900</v>
      </c>
      <c r="Z15" s="78">
        <v>0</v>
      </c>
      <c r="AA15" s="78">
        <v>11</v>
      </c>
      <c r="AB15" s="78" ph="1">
        <v>6955</v>
      </c>
      <c r="AC15" s="78" ph="1">
        <v>2146</v>
      </c>
      <c r="AD15" s="78">
        <v>5.47</v>
      </c>
      <c r="AE15" s="78">
        <v>46.06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54" t="s" ph="1">
        <v>178</v>
      </c>
      <c r="D16" s="73" ph="1">
        <f>D15*7.0686*LOOKUP(D17,密度!$A$2:$A$50,密度!$L$2:$L$50)</f>
        <v>46690.400294999999</v>
      </c>
      <c r="E16" s="73" ph="1">
        <f>E15*7.0686*LOOKUP(E17,密度!$A$2:$A$50,密度!$L$2:$L$50)</f>
        <v>40558.729087799999</v>
      </c>
      <c r="F16" s="73" ph="1">
        <f>F15*9.0746*LOOKUP(F17,密度!$A$2:$A$50,密度!$L$2:$L$50)</f>
        <v>31875.657750400002</v>
      </c>
      <c r="G16" s="73" ph="1">
        <f>G15*9.0746*LOOKUP(G17,密度!$A$2:$A$50,密度!$B$2:$B$50)</f>
        <v>17848.358860800003</v>
      </c>
      <c r="H16" s="73" ph="1">
        <f>H15*9.0746*LOOKUP(H17,密度!$A$2:$A$50,密度!$L$2:$L$50)</f>
        <v>22325.6666802</v>
      </c>
      <c r="I16" s="73" ph="1">
        <f>I15*9.0746*LOOKUP(I17,密度!$A$2:$A$50,密度!$U$2:$U$50)</f>
        <v>419.79099600000006</v>
      </c>
      <c r="J16" s="73" ph="1">
        <f>J15*9.0746*LOOKUP(J17,密度!$A$2:$A$50,密度!$L$2:$L$50)</f>
        <v>4975.7211497999997</v>
      </c>
      <c r="K16" s="73" ph="1">
        <f>K15*9.0746*LOOKUP(K17,密度!$A$2:$A$50,密度!$C$2:$C$50)</f>
        <v>41027.295659639996</v>
      </c>
      <c r="L16" s="73" ph="1">
        <f>L15*9.0746*LOOKUP(L17,密度!$A$2:$A$50,密度!$E$2:$E$50)</f>
        <v>6723.8348520600011</v>
      </c>
      <c r="M16" s="73" ph="1">
        <f>M15*9.0746*LOOKUP(M17,密度!$A$2:$A$50,密度!$M$2:$M$50)</f>
        <v>52986.860730539993</v>
      </c>
      <c r="N16" s="73" ph="1">
        <f>N15*9.0746*LOOKUP(N17,密度!$A$2:$A$50,密度!$M$2:$M$50)</f>
        <v>27040.633736299998</v>
      </c>
      <c r="O16" s="73" ph="1">
        <f>O15*9.0746*LOOKUP(O17,密度!$A$2:$A$50,密度!$G$2:$G$50)</f>
        <v>31324.502844800001</v>
      </c>
      <c r="P16" s="73" ph="1">
        <f ca="1">P15*9.0746*LOOKUP(P17,密度!$A$2:$A$51,密度!$Q$2:$Q$50)</f>
        <v>44782.062048</v>
      </c>
      <c r="Q16" s="73" ph="1">
        <f>Q15*9.0746*LOOKUP(Q17,密度!$A$2:$A$50,密度!$Q$2:$Q$50)</f>
        <v>62228.301425856007</v>
      </c>
      <c r="R16" s="73" ph="1">
        <f>MAX(R15*9.0746*LOOKUP(R17,密度!$A$2:$A$50,密度!$B$2:$B$50),0)</f>
        <v>52297.913468700004</v>
      </c>
      <c r="S16" s="73" ph="1">
        <f>S15*9.0746*LOOKUP(S17,密度!$A$2:$A$50,密度!$Q$2:$Q$50)</f>
        <v>55307.308547340006</v>
      </c>
      <c r="T16" s="73" ph="1">
        <f>T15*9.0746*LOOKUP(T17,密度!$A$2:$A$50,密度!$O$2:$O$50)</f>
        <v>14891.763434800001</v>
      </c>
      <c r="U16" s="73" ph="1">
        <f>U15*9.0746*LOOKUP(U17,密度!$A$2:$A$50,密度!$H$2:$H$50)</f>
        <v>56850.17385426</v>
      </c>
      <c r="V16" s="73" ph="1">
        <f>MAX(5600*LOOKUP(V17,密度!$A$2:$A$50,密度!$Q$2:$Q$50)+V15*9.0476*LOOKUP(V17,密度!$A$2:$A$50,密度!$Q$2:$Q$50),0)</f>
        <v>20191.217002776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10006.352857440001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78.918166360000001</v>
      </c>
      <c r="AB16" s="73" ph="1">
        <f>AB15*9.0746*LOOKUP(AB17,密度!$A$2:$A$50,密度!$L$2:$L$50)</f>
        <v>59579.467791999996</v>
      </c>
      <c r="AC16" s="73" ph="1">
        <f>AC15*9.0746*LOOKUP(AC17,密度!$A$2:$A$50,密度!$L$2:$L$50)</f>
        <v>18441.964745199999</v>
      </c>
      <c r="AD16" s="73" ph="1">
        <f>AD15*268.68*LOOKUP(AD17,密度!$A$2:$A$50,密度!B2:B50)+IF(AD15&lt;=0,0,1566*LOOKUP(AD17,密度!$A$2:$A$50,密度!B2:B50))</f>
        <v>2366.6158161599997</v>
      </c>
      <c r="AE16" s="73" ph="1">
        <f>AE15*268.68*LOOKUP(AE17,密度!$A$2:$A$50,密度!B2:B50)+IF(AE15&lt;=0,0,1566*LOOKUP(AE17,密度!$A$2:$A$50,密度!B2:B50))</f>
        <v>10868.716063680002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15</v>
      </c>
      <c r="E17" s="74">
        <v>15</v>
      </c>
      <c r="F17" s="74">
        <v>18</v>
      </c>
      <c r="G17" s="74">
        <v>15</v>
      </c>
      <c r="H17" s="74">
        <v>11</v>
      </c>
      <c r="I17" s="74">
        <v>12</v>
      </c>
      <c r="J17" s="74">
        <v>15</v>
      </c>
      <c r="K17" s="74">
        <v>14</v>
      </c>
      <c r="L17" s="74">
        <v>12</v>
      </c>
      <c r="M17" s="74">
        <v>17</v>
      </c>
      <c r="N17" s="74">
        <v>16</v>
      </c>
      <c r="O17" s="74">
        <v>18</v>
      </c>
      <c r="P17" s="74">
        <v>16</v>
      </c>
      <c r="Q17" s="74">
        <v>15</v>
      </c>
      <c r="R17" s="74">
        <v>18</v>
      </c>
      <c r="S17" s="74">
        <v>14</v>
      </c>
      <c r="T17" s="74">
        <v>16</v>
      </c>
      <c r="U17" s="74">
        <v>12</v>
      </c>
      <c r="V17" s="74">
        <v>14</v>
      </c>
      <c r="W17" s="74">
        <v>18</v>
      </c>
      <c r="X17" s="74">
        <v>31</v>
      </c>
      <c r="Y17" s="108">
        <v>31</v>
      </c>
      <c r="Z17" s="74">
        <v>15</v>
      </c>
      <c r="AA17" s="74">
        <v>12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5320</v>
      </c>
      <c r="E18" s="71">
        <v>5920</v>
      </c>
      <c r="F18" s="71">
        <v>4167</v>
      </c>
      <c r="G18" s="71">
        <v>2577</v>
      </c>
      <c r="H18" s="71">
        <v>3668</v>
      </c>
      <c r="I18" s="71">
        <v>2619</v>
      </c>
      <c r="J18" s="71">
        <v>687</v>
      </c>
      <c r="K18" s="71">
        <v>4050</v>
      </c>
      <c r="L18" s="71">
        <v>929</v>
      </c>
      <c r="M18" s="71">
        <v>3995</v>
      </c>
      <c r="N18" s="71">
        <v>4934</v>
      </c>
      <c r="O18" s="71">
        <v>3567</v>
      </c>
      <c r="P18" s="71">
        <v>5177</v>
      </c>
      <c r="Q18" s="71">
        <v>7187</v>
      </c>
      <c r="R18" s="71">
        <v>7338</v>
      </c>
      <c r="S18" s="71">
        <v>6390</v>
      </c>
      <c r="T18" s="71">
        <v>985</v>
      </c>
      <c r="U18" s="71">
        <v>6756</v>
      </c>
      <c r="V18" s="71">
        <v>1720</v>
      </c>
      <c r="W18" s="71">
        <v>-817</v>
      </c>
      <c r="X18" s="71">
        <v>449</v>
      </c>
      <c r="Y18" s="109">
        <v>-9901</v>
      </c>
      <c r="Z18" s="71">
        <v>0</v>
      </c>
      <c r="AA18" s="71">
        <v>10</v>
      </c>
      <c r="AB18" s="71">
        <v>6956</v>
      </c>
      <c r="AC18" s="71">
        <v>2146</v>
      </c>
      <c r="AD18" s="71">
        <v>11.85</v>
      </c>
      <c r="AE18" s="71">
        <v>84.31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54" t="s" ph="1">
        <v>178</v>
      </c>
      <c r="D19" s="73" ph="1">
        <f>D18*7.0686*LOOKUP(D20,密度!$A$2:$A$50,密度!$L$2:$L$50)</f>
        <v>35499.074687999993</v>
      </c>
      <c r="E19" s="73" ph="1">
        <f>E18*7.0686*LOOKUP(E20,密度!$A$2:$A$50,密度!$L$2:$L$50)</f>
        <v>39502.729727999998</v>
      </c>
      <c r="F19" s="73" ph="1">
        <f>F18*9.0746*LOOKUP(F20,密度!$A$2:$A$50,密度!$L$2:$L$50)</f>
        <v>35734.095998999997</v>
      </c>
      <c r="G19" s="73" ph="1">
        <f>G18*9.0746*LOOKUP(G20,密度!$A$2:$A$50,密度!$B$2:$B$50)</f>
        <v>18373.78636794</v>
      </c>
      <c r="H19" s="73" ph="1">
        <f>H18*9.0746*LOOKUP(H20,密度!$A$2:$A$50,密度!$L$2:$L$50)</f>
        <v>31621.351159999998</v>
      </c>
      <c r="I19" s="73" ph="1">
        <f>I18*9.0746*LOOKUP(I20,密度!$A$2:$A$50,密度!$U$2:$U$50)</f>
        <v>24431.835967200001</v>
      </c>
      <c r="J19" s="73" ph="1">
        <f>J18*9.0746*LOOKUP(J20,密度!$A$2:$A$50,密度!$L$2:$L$50)</f>
        <v>5885.1321888000002</v>
      </c>
      <c r="K19" s="73" ph="1">
        <f>K18*9.0746*LOOKUP(K20,密度!$A$2:$A$50,密度!$C$2:$C$50)</f>
        <v>40938.197606999995</v>
      </c>
      <c r="L19" s="73" ph="1">
        <f>L18*9.0746*LOOKUP(L20,密度!$A$2:$A$50,密度!$E$2:$E$50)</f>
        <v>6671.7421107600003</v>
      </c>
      <c r="M19" s="73" ph="1">
        <f>M18*9.0746*LOOKUP(M20,密度!$A$2:$A$50,密度!$M$2:$M$50)</f>
        <v>31913.539668100002</v>
      </c>
      <c r="N19" s="73" ph="1">
        <f>N18*9.0746*LOOKUP(N20,密度!$A$2:$A$50,密度!$M$2:$M$50)</f>
        <v>39414.619454919994</v>
      </c>
      <c r="O19" s="73" ph="1">
        <f>O18*9.0746*LOOKUP(O20,密度!$A$2:$A$50,密度!$G$2:$G$50)</f>
        <v>31300.917959399998</v>
      </c>
      <c r="P19" s="73" ph="1">
        <f ca="1">P18*9.0746*LOOKUP(P20,密度!$A$2:$A$51,密度!$Q$2:$Q$50)</f>
        <v>44724.672190442005</v>
      </c>
      <c r="Q19" s="73" ph="1">
        <f>Q18*9.0746*LOOKUP(Q20,密度!$A$2:$A$50,密度!$Q$2:$Q$50)</f>
        <v>62089.283181902007</v>
      </c>
      <c r="R19" s="73" ph="1">
        <f>MAX(R18*9.0746*LOOKUP(R20,密度!$A$2:$A$50,密度!$B$2:$B$50),0)</f>
        <v>52212.760144680004</v>
      </c>
      <c r="S19" s="73" ph="1">
        <f>S18*9.0746*LOOKUP(S20,密度!$A$2:$A$50,密度!$Q$2:$Q$50)</f>
        <v>55249.722043200003</v>
      </c>
      <c r="T19" s="73" ph="1">
        <f>T18*9.0746*LOOKUP(T20,密度!$A$2:$A$50,密度!$O$2:$O$50)</f>
        <v>8312.787330000001</v>
      </c>
      <c r="U19" s="73" ph="1">
        <f>U18*9.0746*LOOKUP(U20,密度!$A$2:$A$50,密度!$H$2:$H$50)</f>
        <v>56630.197383120001</v>
      </c>
      <c r="V19" s="73" ph="1">
        <f>MAX(5600*LOOKUP(V20,密度!$A$2:$A$50,密度!$Q$2:$Q$50)+V18*9.0476*LOOKUP(V20,密度!$A$2:$A$50,密度!$Q$2:$Q$50),0)</f>
        <v>20163.031641599999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9973.5007912799992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71.362654400000011</v>
      </c>
      <c r="AB19" s="73" ph="1">
        <f>AB18*9.0746*LOOKUP(AB20,密度!$A$2:$A$50,密度!$L$2:$L$50)</f>
        <v>59524.911296799997</v>
      </c>
      <c r="AC19" s="73" ph="1">
        <f>AC18*9.0746*LOOKUP(AC20,密度!$A$2:$A$50,密度!$L$2:$L$50)</f>
        <v>18403.016561999997</v>
      </c>
      <c r="AD19" s="73" ph="1">
        <f>AD18*268.68*LOOKUP(AD20,密度!$A$2:$A$50,密度!B5:B53)+IF(AD18&lt;=0,0,1566*LOOKUP(AD20,密度!$A$2:$A$50,密度!B5:B53))</f>
        <v>3690.639666</v>
      </c>
      <c r="AE19" s="73" ph="1">
        <f>AE18*268.68*LOOKUP(AE20,密度!$A$2:$A$50,密度!B5:B53)+IF(AE18&lt;=0,0,1566*LOOKUP(AE20,密度!$A$2:$A$50,密度!B5:B53))</f>
        <v>18817.705191600002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18</v>
      </c>
      <c r="E20" s="81">
        <v>18</v>
      </c>
      <c r="F20" s="81">
        <v>17</v>
      </c>
      <c r="G20" s="81">
        <v>18</v>
      </c>
      <c r="H20" s="81">
        <v>12</v>
      </c>
      <c r="I20" s="81">
        <v>19</v>
      </c>
      <c r="J20" s="81">
        <v>18</v>
      </c>
      <c r="K20" s="81">
        <v>18</v>
      </c>
      <c r="L20" s="81">
        <v>18</v>
      </c>
      <c r="M20" s="81">
        <v>19</v>
      </c>
      <c r="N20" s="81">
        <v>17</v>
      </c>
      <c r="O20" s="81">
        <v>19</v>
      </c>
      <c r="P20" s="81">
        <v>18</v>
      </c>
      <c r="Q20" s="81">
        <v>18</v>
      </c>
      <c r="R20" s="81">
        <v>20</v>
      </c>
      <c r="S20" s="81">
        <v>17</v>
      </c>
      <c r="T20" s="81">
        <v>20</v>
      </c>
      <c r="U20" s="81">
        <v>16</v>
      </c>
      <c r="V20" s="81">
        <v>17</v>
      </c>
      <c r="W20" s="81">
        <v>19</v>
      </c>
      <c r="X20" s="81">
        <v>34</v>
      </c>
      <c r="Y20" s="110">
        <v>34</v>
      </c>
      <c r="Z20" s="81">
        <v>19</v>
      </c>
      <c r="AA20" s="81">
        <v>17</v>
      </c>
      <c r="AB20" s="81">
        <v>19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645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54" t="s" ph="1">
        <v>177</v>
      </c>
      <c r="D24" s="71">
        <v>52.05</v>
      </c>
      <c r="E24" s="71">
        <v>4.9400000000000004</v>
      </c>
      <c r="F24" s="71">
        <v>1955</v>
      </c>
      <c r="G24" s="71">
        <v>3881</v>
      </c>
      <c r="H24" s="71">
        <v>2549</v>
      </c>
      <c r="I24" s="71">
        <v>69</v>
      </c>
      <c r="J24" s="71">
        <v>474</v>
      </c>
      <c r="K24" s="71">
        <v>4092</v>
      </c>
      <c r="L24" s="71">
        <v>5533</v>
      </c>
      <c r="M24" s="71">
        <v>4861</v>
      </c>
      <c r="N24" s="71">
        <v>5582</v>
      </c>
      <c r="O24" s="71">
        <v>5714</v>
      </c>
      <c r="P24" s="71">
        <v>650</v>
      </c>
      <c r="Q24" s="90">
        <v>1815</v>
      </c>
      <c r="R24" s="71">
        <v>3585</v>
      </c>
      <c r="S24" s="71">
        <v>594</v>
      </c>
      <c r="T24" s="71">
        <v>160</v>
      </c>
      <c r="U24" s="71">
        <v>4565</v>
      </c>
      <c r="V24" s="71">
        <v>1668</v>
      </c>
      <c r="W24" s="71">
        <v>3877</v>
      </c>
      <c r="X24" s="71">
        <v>5424</v>
      </c>
      <c r="Y24" s="71">
        <v>8653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14722.558711559999</v>
      </c>
      <c r="E25" s="91" ph="1">
        <f>E24*268.68*LOOKUP(E26,密度!$A$2:$A$50,密度!$C$2:$C$50)+IF(E24&lt;=0,0,1566*LOOKUP(E26,密度!$A$2:$A$50,密度!$C$2:$C$50))</f>
        <v>3208.3573048799999</v>
      </c>
      <c r="F25" s="91" ph="1">
        <f>F24*11.702*LOOKUP(F26,密度!$A$2:$A$50,密度!$Q$2:$Q$50)</f>
        <v>21837.4029414</v>
      </c>
      <c r="G25" s="91" ph="1">
        <f>G24*18.322*LOOKUP(G26,密度!$A$2:$A$50,密度!$B$2:$B$50)</f>
        <v>56032.853416000005</v>
      </c>
      <c r="H25" s="91" ph="1">
        <f>H24*18.322*LOOKUP(H26,密度!$A$2:$A$50,密度!$B$2:$B$50)</f>
        <v>36764.426841599998</v>
      </c>
      <c r="I25" s="91" ph="1">
        <f>I24*18.322*LOOKUP(I26,密度!$A$2:$A$50,密度!$Q$2:$Q$50)</f>
        <v>1206.7466497199998</v>
      </c>
      <c r="J25" s="91" ph="1">
        <f>J24*18.322*LOOKUP(J26,密度!$A$2:$A$50,密度!$Q$2:$Q$50)</f>
        <v>8289.8248111199991</v>
      </c>
      <c r="K25" s="91" ph="1">
        <f>K24*18.322*LOOKUP(K26,密度!$A$2:$A$50,密度!$Q$2:$Q$50)</f>
        <v>71565.323052959997</v>
      </c>
      <c r="L25" s="91" ph="1">
        <f>L24*18.322*LOOKUP(L26,密度!$A$2:$A$50,密度!$Q$2:$Q$50)</f>
        <v>96590.696452799981</v>
      </c>
      <c r="M25" s="91" ph="1">
        <f>M24*18.322*LOOKUP(M26,密度!$A$2:$A$50,密度!$Q$2:$Q$50)</f>
        <v>85014.427018679999</v>
      </c>
      <c r="N25" s="91" ph="1">
        <f>N24*18.322*LOOKUP(N26,密度!$A$2:$A$50,密度!$Q$2:$Q$50)</f>
        <v>97624.055054159995</v>
      </c>
      <c r="O25" s="91" ph="1">
        <f>O24*18.322*LOOKUP(O26,密度!$A$2:$A$50,密度!$C$2:$C$50)</f>
        <v>116752.41580159999</v>
      </c>
      <c r="P25" s="91" ph="1">
        <f>P24*11.702*LOOKUP(P26,密度!$A$2:$A$50,密度!$B$2:$B$50)</f>
        <v>5987.6793600000001</v>
      </c>
      <c r="Q25" s="92" ph="1">
        <f>Q24*18.322*LOOKUP(Q26,密度!$A$2:$A$50,密度!$B$2:$B$50)</f>
        <v>26151.283751999999</v>
      </c>
      <c r="R25" s="91" ph="1">
        <f>R24*35.891*LOOKUP(R26,密度!$A$2:$A$50,密度!$C$2:$C$50)</f>
        <v>143324.66086649999</v>
      </c>
      <c r="S25" s="91" ph="1">
        <f>S24*35.891*LOOKUP(S26,密度!$A$2:$A$50,密度!$B$2:$B$50)</f>
        <v>16765.461345599997</v>
      </c>
      <c r="T25" s="91" ph="1">
        <f>T24*35.891*LOOKUP(T26,密度!$A$2:$A$50,密度!$Q$2:$Q$50)</f>
        <v>5481.5032223999997</v>
      </c>
      <c r="U25" s="91" ph="1">
        <f>U24*35.891</f>
        <v>163842.41499999998</v>
      </c>
      <c r="V25" s="91" ph="1">
        <f>V24*47.051*LOOKUP(V26,密度!$A$2:$A$50,密度!$B$2:$B$50)</f>
        <v>61843.081584</v>
      </c>
      <c r="W25" s="91" ph="1">
        <f>W24*47.051*LOOKUP(W26,密度!$A$2:$A$50,密度!$B$2:$B$50)</f>
        <v>143452.51411280001</v>
      </c>
      <c r="X25" s="91" ph="1">
        <f>X24*47.051*LOOKUP(X26,密度!$A$2:$A$61,密度!$I$2:$I$61)</f>
        <v>263141.48780639999</v>
      </c>
      <c r="Y25" s="91" ph="1">
        <f>Y24*47.051*LOOKUP(Y26,密度!$A$2:$A$50,密度!$L$2:$L$50)</f>
        <v>384332.89403199998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15</v>
      </c>
      <c r="H26" s="74">
        <v>16</v>
      </c>
      <c r="I26" s="74">
        <v>15</v>
      </c>
      <c r="J26" s="74">
        <v>14</v>
      </c>
      <c r="K26" s="74">
        <v>14</v>
      </c>
      <c r="L26" s="74">
        <v>17</v>
      </c>
      <c r="M26" s="74">
        <v>15</v>
      </c>
      <c r="N26" s="74">
        <v>15</v>
      </c>
      <c r="O26" s="74">
        <v>16</v>
      </c>
      <c r="P26" s="74">
        <v>16</v>
      </c>
      <c r="Q26" s="93">
        <v>17</v>
      </c>
      <c r="R26" s="74">
        <v>18</v>
      </c>
      <c r="S26" s="74">
        <v>17</v>
      </c>
      <c r="T26" s="74">
        <v>14</v>
      </c>
      <c r="U26" s="74">
        <v>15</v>
      </c>
      <c r="V26" s="74">
        <v>15</v>
      </c>
      <c r="W26" s="74">
        <v>17</v>
      </c>
      <c r="X26" s="74">
        <v>35</v>
      </c>
      <c r="Y26" s="74">
        <v>18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54" t="s" ph="1">
        <v>180</v>
      </c>
      <c r="D27" s="71">
        <v>28.07</v>
      </c>
      <c r="E27" s="71">
        <v>4.93</v>
      </c>
      <c r="F27" s="71">
        <v>782</v>
      </c>
      <c r="G27" s="71">
        <v>3375</v>
      </c>
      <c r="H27" s="71">
        <v>2107</v>
      </c>
      <c r="I27" s="71">
        <v>68</v>
      </c>
      <c r="J27" s="71">
        <v>472</v>
      </c>
      <c r="K27" s="71">
        <v>3601</v>
      </c>
      <c r="L27" s="71">
        <v>5533</v>
      </c>
      <c r="M27" s="71">
        <v>4861</v>
      </c>
      <c r="N27" s="71">
        <v>5406</v>
      </c>
      <c r="O27" s="71">
        <v>5713</v>
      </c>
      <c r="P27" s="71">
        <v>649</v>
      </c>
      <c r="Q27" s="90">
        <v>2135</v>
      </c>
      <c r="R27" s="71">
        <v>3003</v>
      </c>
      <c r="S27" s="71">
        <v>242</v>
      </c>
      <c r="T27" s="71">
        <v>158</v>
      </c>
      <c r="U27" s="71">
        <v>4478</v>
      </c>
      <c r="V27" s="71">
        <v>1641</v>
      </c>
      <c r="W27" s="71">
        <v>3566</v>
      </c>
      <c r="X27" s="71">
        <v>5921</v>
      </c>
      <c r="Y27" s="71">
        <v>7565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54" t="s" ph="1">
        <v>178</v>
      </c>
      <c r="D28" s="91" ph="1">
        <f>D27*268.68*LOOKUP(D29,密度!$A$2:$A$50,密度!$Q$2:$Q$50)+IF(D27&lt;=0,0,1566*LOOKUP(D29,密度!$A$2:$A$50,密度!$Q$2:$Q$50))</f>
        <v>8622.7636368240001</v>
      </c>
      <c r="E28" s="91" ph="1">
        <f>E27*268.68*LOOKUP(E29,密度!$A$2:$A$50,密度!$C$2:$C$50)+IF(E27&lt;=0,0,1566*LOOKUP(E29,密度!$A$2:$A$50,密度!$C$2:$C$50))</f>
        <v>3205.3779123599998</v>
      </c>
      <c r="F28" s="91" ph="1">
        <f>F27*11.702*LOOKUP(F29,密度!$A$2:$A$50,密度!$Q$2:$Q$50)</f>
        <v>8719.0384991999999</v>
      </c>
      <c r="G28" s="91" ph="1">
        <f>G27*18.322*LOOKUP(G29,密度!$A$2:$A$50,密度!$B$2:$B$50)</f>
        <v>48628.4202</v>
      </c>
      <c r="H28" s="91" ph="1">
        <f>H27*18.322*LOOKUP(H29,密度!$A$2:$A$50,密度!$B$2:$B$50)</f>
        <v>30358.542625599999</v>
      </c>
      <c r="I28" s="91" ph="1">
        <f>I27*18.322*LOOKUP(I29,密度!$A$2:$A$50,密度!$Q$2:$Q$50)</f>
        <v>1186.1054509600001</v>
      </c>
      <c r="J28" s="91" ph="1">
        <f>J27*18.322*LOOKUP(J29,密度!$A$2:$A$50,密度!$Q$2:$Q$50)</f>
        <v>8239.7991552000003</v>
      </c>
      <c r="K28" s="91" ph="1">
        <f>K27*18.322*LOOKUP(K29,密度!$A$2:$A$50,密度!$Q$2:$Q$50)</f>
        <v>62811.260719220001</v>
      </c>
      <c r="L28" s="91" ph="1">
        <f>L27*18.322*LOOKUP(L29,密度!$A$2:$A$50,密度!$Q$2:$Q$50)</f>
        <v>96431.536719979995</v>
      </c>
      <c r="M28" s="91" ph="1">
        <f>M27*18.322*LOOKUP(M29,密度!$A$2:$A$50,密度!$Q$2:$Q$50)</f>
        <v>84789.097016419997</v>
      </c>
      <c r="N28" s="91" ph="1">
        <f>N27*18.322*LOOKUP(N29,密度!$A$2:$A$50,密度!$Q$2:$Q$50)</f>
        <v>94373.631849599988</v>
      </c>
      <c r="O28" s="91" ph="1">
        <f>O27*18.322*LOOKUP(O29,密度!$A$2:$A$50,密度!$C$2:$C$50)</f>
        <v>116658.711597</v>
      </c>
      <c r="P28" s="91" ph="1">
        <f>P27*11.702*LOOKUP(P29,密度!$A$2:$A$50,密度!$B$2:$B$50)</f>
        <v>5967.0756486</v>
      </c>
      <c r="Q28" s="92" ph="1">
        <f>Q27*18.322*LOOKUP(Q29,密度!$A$2:$A$50,密度!$B$2:$B$50)</f>
        <v>30734.596179</v>
      </c>
      <c r="R28" s="91" ph="1">
        <f>R27*35.891*LOOKUP(R29,密度!$A$2:$A$50,密度!$C$2:$C$50)</f>
        <v>120121.56005850001</v>
      </c>
      <c r="S28" s="91" ph="1">
        <f>S27*35.891*LOOKUP(S29,密度!$A$2:$A$50,密度!$B$2:$B$50)</f>
        <v>6824.2932053999994</v>
      </c>
      <c r="T28" s="91" ph="1">
        <f>T27*35.891*LOOKUP(T29,密度!$A$2:$A$50,密度!$Q$2:$Q$50)</f>
        <v>5398.6373637799998</v>
      </c>
      <c r="U28" s="91" ph="1">
        <f>U27*35.891</f>
        <v>160719.89799999999</v>
      </c>
      <c r="V28" s="91" ph="1">
        <f>V27*47.051*LOOKUP(V29,密度!$A$2:$A$50,密度!$B$2:$B$50)</f>
        <v>60718.487402400002</v>
      </c>
      <c r="W28" s="91" ph="1">
        <f>W27*47.051*LOOKUP(W29,密度!$A$2:$A$50,密度!$B$2:$B$50)</f>
        <v>131827.7835162</v>
      </c>
      <c r="X28" s="91" ph="1">
        <f>X27*47.051*LOOKUP(X29,密度!$A$2:$A$61,密度!$I$2:$I$61)</f>
        <v>284439.33939099999</v>
      </c>
      <c r="Y28" s="91" ph="1">
        <f>Y27*47.051*LOOKUP(Y29,密度!$A$2:$A$50,密度!$L$2:$L$50)</f>
        <v>335652.18854499998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54" t="s" ph="1">
        <v>179</v>
      </c>
      <c r="D29" s="74">
        <v>25</v>
      </c>
      <c r="E29" s="74">
        <v>25</v>
      </c>
      <c r="F29" s="74">
        <v>17</v>
      </c>
      <c r="G29" s="74">
        <v>17</v>
      </c>
      <c r="H29" s="74">
        <v>17</v>
      </c>
      <c r="I29" s="74">
        <v>18</v>
      </c>
      <c r="J29" s="74">
        <v>17</v>
      </c>
      <c r="K29" s="74">
        <v>18</v>
      </c>
      <c r="L29" s="74">
        <v>19</v>
      </c>
      <c r="M29" s="74">
        <v>18</v>
      </c>
      <c r="N29" s="74">
        <v>17</v>
      </c>
      <c r="O29" s="74">
        <v>17</v>
      </c>
      <c r="P29" s="74">
        <v>18</v>
      </c>
      <c r="Q29" s="93">
        <v>18</v>
      </c>
      <c r="R29" s="74">
        <v>17</v>
      </c>
      <c r="S29" s="74">
        <v>18</v>
      </c>
      <c r="T29" s="74">
        <v>18</v>
      </c>
      <c r="U29" s="74">
        <v>18</v>
      </c>
      <c r="V29" s="74">
        <v>17</v>
      </c>
      <c r="W29" s="74">
        <v>18</v>
      </c>
      <c r="X29" s="74">
        <v>44</v>
      </c>
      <c r="Y29" s="74">
        <v>19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154036.30476710002</v>
      </c>
      <c r="E33" s="213" ph="1">
        <f>M10+I10</f>
        <v>67061.661685200001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7" ph="1">
        <f>N19</f>
        <v>39414.619454919994</v>
      </c>
      <c r="H33" s="213" ph="1">
        <f>M19</f>
        <v>31913.539668100002</v>
      </c>
      <c r="I33" s="226" ph="1">
        <v>0</v>
      </c>
      <c r="J33" s="224" ph="1">
        <f>F10+O28</f>
        <v>207001.15461299999</v>
      </c>
      <c r="K33" s="213" ph="1">
        <f>O10+K10+E28+R28</f>
        <v>210229.28461566003</v>
      </c>
      <c r="L33" s="228" ph="1">
        <f>K19</f>
        <v>40938.197606999995</v>
      </c>
      <c r="M33" s="224" ph="1">
        <f>G10+H10+W28+S28+V28+E10+R19+P28+Q28</f>
        <v>686694.17920027999</v>
      </c>
      <c r="N33" s="213" ph="1">
        <f>L10+P10++G28+H28+AD19+AE19</f>
        <v>212595.2629272</v>
      </c>
      <c r="O33" s="226" ph="1">
        <f>G19</f>
        <v>18373.78636794</v>
      </c>
      <c r="P33" s="224" ph="1">
        <f>L19</f>
        <v>6671.7421107600003</v>
      </c>
      <c r="Q33" s="213" ph="1">
        <f>J10+N10</f>
        <v>148546.4670221</v>
      </c>
      <c r="R33" s="226" ph="1">
        <f>BE23</f>
        <v>890</v>
      </c>
      <c r="S33" s="224" ph="1">
        <f>X28</f>
        <v>284439.33939099999</v>
      </c>
      <c r="T33" s="213" ph="1">
        <f>X19</f>
        <v>9973.5007912799992</v>
      </c>
      <c r="U33" s="234" ph="1">
        <f>BE21</f>
        <v>730</v>
      </c>
      <c r="V33" s="245" ph="1">
        <f ca="1">P19+Q19+S19+M28+N28+J28+D10+AC10+D19+E19+H19+J19+O19+V19+W19+K28+L28</f>
        <v>1316870.1804919739</v>
      </c>
      <c r="W33" s="245" ph="1">
        <f>D28+F28+T28+I28</f>
        <v>23926.544950764001</v>
      </c>
      <c r="X33" s="226" ph="1">
        <f>BE29+BE31</f>
        <v>10200</v>
      </c>
      <c r="Y33" s="247" ph="1">
        <f>+Q10+R10+S10+T10+U10+V10+W10+X10+Y10</f>
        <v>353430.89064360003</v>
      </c>
      <c r="Z33" s="232" ph="1">
        <f>T19+U19+Y28+Z10</f>
        <v>449043.18283311994</v>
      </c>
      <c r="AA33" s="234" ph="1">
        <f>BE19</f>
        <v>1440</v>
      </c>
      <c r="AB33" s="236" ph="1">
        <f>I19</f>
        <v>24431.835967200001</v>
      </c>
      <c r="AC33" s="238" ph="1">
        <f>AD10+AB19</f>
        <v>153655.50105680001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6" t="s" ph="1">
        <v>185</v>
      </c>
      <c r="AA36" s="15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49" priority="100">
      <formula>ABS(D$7-D$10)&gt;=1000</formula>
    </cfRule>
  </conditionalFormatting>
  <conditionalFormatting sqref="E4 E6:E11">
    <cfRule type="expression" dxfId="1948" priority="99">
      <formula>ABS(E$7-E$10)&gt;=1000</formula>
    </cfRule>
  </conditionalFormatting>
  <conditionalFormatting sqref="F4:F11">
    <cfRule type="expression" dxfId="1947" priority="98">
      <formula>ABS(F$7-F$10)&gt;=1000</formula>
    </cfRule>
  </conditionalFormatting>
  <conditionalFormatting sqref="G4:G11">
    <cfRule type="expression" dxfId="1946" priority="97">
      <formula>ABS(G$7-G$10)&gt;=1000</formula>
    </cfRule>
  </conditionalFormatting>
  <conditionalFormatting sqref="H4:H11">
    <cfRule type="expression" dxfId="1945" priority="96">
      <formula>ABS(H$7-H$10)&gt;=1000</formula>
    </cfRule>
  </conditionalFormatting>
  <conditionalFormatting sqref="I4:I11">
    <cfRule type="expression" dxfId="1944" priority="95">
      <formula>ABS(I$7-I$10)&gt;=1000</formula>
    </cfRule>
  </conditionalFormatting>
  <conditionalFormatting sqref="J4:J11">
    <cfRule type="expression" dxfId="1943" priority="94">
      <formula>ABS(J$7-J$10)&gt;=1000</formula>
    </cfRule>
  </conditionalFormatting>
  <conditionalFormatting sqref="K4:K11">
    <cfRule type="expression" dxfId="1942" priority="93">
      <formula>ABS(K$7-K$10)&gt;=1000</formula>
    </cfRule>
  </conditionalFormatting>
  <conditionalFormatting sqref="L4:L11">
    <cfRule type="expression" dxfId="1941" priority="92">
      <formula>ABS(L$7-L$10)&gt;=1000</formula>
    </cfRule>
  </conditionalFormatting>
  <conditionalFormatting sqref="M4 M6:M11">
    <cfRule type="expression" dxfId="1940" priority="91">
      <formula>ABS(M$7-M$10)&gt;=1000</formula>
    </cfRule>
  </conditionalFormatting>
  <conditionalFormatting sqref="N4 N6:N11">
    <cfRule type="expression" dxfId="1939" priority="90">
      <formula>ABS(N$7-N$10)&gt;=1000</formula>
    </cfRule>
  </conditionalFormatting>
  <conditionalFormatting sqref="O4 O6:O11">
    <cfRule type="expression" dxfId="1938" priority="89">
      <formula>ABS(O$7-O$10)&gt;=1000</formula>
    </cfRule>
  </conditionalFormatting>
  <conditionalFormatting sqref="P4 P6:P11">
    <cfRule type="expression" dxfId="1937" priority="88">
      <formula>ABS(P$7-P$10)&gt;=1000</formula>
    </cfRule>
  </conditionalFormatting>
  <conditionalFormatting sqref="Q4:Q11">
    <cfRule type="expression" dxfId="1936" priority="87">
      <formula>ABS(Q$7-Q$10)&gt;=1000</formula>
    </cfRule>
  </conditionalFormatting>
  <conditionalFormatting sqref="R4:R11">
    <cfRule type="expression" dxfId="1935" priority="86">
      <formula>ABS(R$7-R$10)&gt;=1000</formula>
    </cfRule>
  </conditionalFormatting>
  <conditionalFormatting sqref="S4:S11">
    <cfRule type="expression" dxfId="1934" priority="85">
      <formula>ABS(S$7-S$10)&gt;=1000</formula>
    </cfRule>
  </conditionalFormatting>
  <conditionalFormatting sqref="T4:T9 T11">
    <cfRule type="expression" dxfId="1933" priority="84">
      <formula>ABS(T$7-T$10)&gt;=1000</formula>
    </cfRule>
  </conditionalFormatting>
  <conditionalFormatting sqref="U4:U9 U11">
    <cfRule type="expression" dxfId="1932" priority="83">
      <formula>ABS(U$7-U$10)&gt;=1000</formula>
    </cfRule>
  </conditionalFormatting>
  <conditionalFormatting sqref="V4:V9 V11">
    <cfRule type="expression" dxfId="1931" priority="82">
      <formula>ABS(V$7-V$10)&gt;=1000</formula>
    </cfRule>
  </conditionalFormatting>
  <conditionalFormatting sqref="W4:W9 W11">
    <cfRule type="expression" dxfId="1930" priority="81">
      <formula>ABS(W$7-W$10)&gt;=1000</formula>
    </cfRule>
  </conditionalFormatting>
  <conditionalFormatting sqref="X4:X9 X11">
    <cfRule type="expression" dxfId="1929" priority="80">
      <formula>ABS(X$7-X$10)&gt;=1000</formula>
    </cfRule>
  </conditionalFormatting>
  <conditionalFormatting sqref="Y4:Y9 Y11">
    <cfRule type="expression" dxfId="1928" priority="79">
      <formula>ABS(Y$7-Y$10)&gt;=1000</formula>
    </cfRule>
  </conditionalFormatting>
  <conditionalFormatting sqref="Z4:Z11">
    <cfRule type="expression" dxfId="1927" priority="78">
      <formula>ABS(Z$7-Z$10)&gt;=1000</formula>
    </cfRule>
  </conditionalFormatting>
  <conditionalFormatting sqref="AA4:AA11">
    <cfRule type="expression" dxfId="1926" priority="77">
      <formula>ABS(AA$7-AA$10)&gt;=1000</formula>
    </cfRule>
  </conditionalFormatting>
  <conditionalFormatting sqref="AB4:AB11">
    <cfRule type="expression" dxfId="1925" priority="76">
      <formula>ABS(AB$7-AB$10)&gt;=1000</formula>
    </cfRule>
  </conditionalFormatting>
  <conditionalFormatting sqref="AC4 AC6:AC11">
    <cfRule type="expression" dxfId="1924" priority="75">
      <formula>ABS(AC$7-AC$10)&gt;=1000</formula>
    </cfRule>
  </conditionalFormatting>
  <conditionalFormatting sqref="AD4 AD6:AD11">
    <cfRule type="expression" dxfId="1923" priority="74">
      <formula>ABS(AD$7-AD$10)&gt;=1000</formula>
    </cfRule>
  </conditionalFormatting>
  <conditionalFormatting sqref="AE4 AE6:AE11">
    <cfRule type="expression" dxfId="1922" priority="73">
      <formula>ABS(AE$7-AE$10)&gt;=1000</formula>
    </cfRule>
  </conditionalFormatting>
  <conditionalFormatting sqref="D13:D20">
    <cfRule type="expression" dxfId="1921" priority="72">
      <formula>ABS(D$16-D$19)&gt;=1000</formula>
    </cfRule>
  </conditionalFormatting>
  <conditionalFormatting sqref="E13:E20">
    <cfRule type="expression" dxfId="1920" priority="71">
      <formula>ABS(E$16-E$19)&gt;=1000</formula>
    </cfRule>
  </conditionalFormatting>
  <conditionalFormatting sqref="F13 F15:F20">
    <cfRule type="expression" dxfId="1919" priority="70">
      <formula>ABS(F$16-F$19)&gt;=1000</formula>
    </cfRule>
  </conditionalFormatting>
  <conditionalFormatting sqref="G13:G20">
    <cfRule type="expression" dxfId="1918" priority="69">
      <formula>ABS(G$16-G$19)&gt;=1000</formula>
    </cfRule>
  </conditionalFormatting>
  <conditionalFormatting sqref="H13 H15:H20">
    <cfRule type="expression" dxfId="1917" priority="68">
      <formula>ABS(H$16-H$19)&gt;=1000</formula>
    </cfRule>
  </conditionalFormatting>
  <conditionalFormatting sqref="I13:I20">
    <cfRule type="expression" dxfId="1916" priority="67">
      <formula>ABS(I$16-I$19)&gt;=1000</formula>
    </cfRule>
  </conditionalFormatting>
  <conditionalFormatting sqref="J13:J20">
    <cfRule type="expression" dxfId="1915" priority="66">
      <formula>ABS(J$16-J$19)&gt;=1000</formula>
    </cfRule>
  </conditionalFormatting>
  <conditionalFormatting sqref="L13:L20">
    <cfRule type="expression" dxfId="1914" priority="65">
      <formula>ABS(L$16-L$19)&gt;=1000</formula>
    </cfRule>
  </conditionalFormatting>
  <conditionalFormatting sqref="M13 M15 M17:M18 M20">
    <cfRule type="expression" dxfId="1913" priority="64">
      <formula>ABS(M$16-M$19)&gt;=1000</formula>
    </cfRule>
  </conditionalFormatting>
  <conditionalFormatting sqref="N13:N20">
    <cfRule type="expression" dxfId="1912" priority="63">
      <formula>ABS(N$16-N$19)&gt;=1000</formula>
    </cfRule>
  </conditionalFormatting>
  <conditionalFormatting sqref="O13:O20">
    <cfRule type="expression" dxfId="1911" priority="62">
      <formula>ABS(O$16-O$19)&gt;=1000</formula>
    </cfRule>
  </conditionalFormatting>
  <conditionalFormatting sqref="P13:P20">
    <cfRule type="expression" dxfId="1910" priority="61">
      <formula>ABS(P$16-P$19)&gt;=1000</formula>
    </cfRule>
  </conditionalFormatting>
  <conditionalFormatting sqref="Q13 Q15:Q20">
    <cfRule type="expression" dxfId="1909" priority="60">
      <formula>ABS(Q$16-Q$19)&gt;=1000</formula>
    </cfRule>
  </conditionalFormatting>
  <conditionalFormatting sqref="R13:R20">
    <cfRule type="expression" dxfId="1908" priority="59">
      <formula>ABS(R$16-R$19)&gt;=1000</formula>
    </cfRule>
  </conditionalFormatting>
  <conditionalFormatting sqref="S13:S20">
    <cfRule type="expression" dxfId="1907" priority="58">
      <formula>ABS(S$16-S$19)&gt;=1000</formula>
    </cfRule>
  </conditionalFormatting>
  <conditionalFormatting sqref="T13:T20">
    <cfRule type="expression" dxfId="1906" priority="57">
      <formula>ABS(T$16-T$19)&gt;=1000</formula>
    </cfRule>
  </conditionalFormatting>
  <conditionalFormatting sqref="U13:U20">
    <cfRule type="expression" dxfId="1905" priority="56">
      <formula>ABS(U$16-U$19)&gt;=1000</formula>
    </cfRule>
  </conditionalFormatting>
  <conditionalFormatting sqref="V13:V20">
    <cfRule type="expression" dxfId="1904" priority="55">
      <formula>ABS(V$16-V$19)&gt;=1000</formula>
    </cfRule>
  </conditionalFormatting>
  <conditionalFormatting sqref="W13 W20 W15:W18">
    <cfRule type="expression" dxfId="1903" priority="54">
      <formula>ABS(W$16-W$19)&gt;=1000</formula>
    </cfRule>
  </conditionalFormatting>
  <conditionalFormatting sqref="X13 X15:X20 Y19">
    <cfRule type="expression" dxfId="1902" priority="53">
      <formula>ABS(X$16-X$19)&gt;=1000</formula>
    </cfRule>
  </conditionalFormatting>
  <conditionalFormatting sqref="Y13 Y15:Y18 Y20">
    <cfRule type="expression" dxfId="1901" priority="52">
      <formula>ABS(Y$16-Y$19)&gt;=1000</formula>
    </cfRule>
  </conditionalFormatting>
  <conditionalFormatting sqref="Z13:Z20">
    <cfRule type="expression" dxfId="1900" priority="51">
      <formula>ABS(Z$16-Z$19)&gt;=1000</formula>
    </cfRule>
  </conditionalFormatting>
  <conditionalFormatting sqref="AA13:AA20">
    <cfRule type="expression" dxfId="1899" priority="50">
      <formula>ABS(AA$16-AA$19)&gt;=1000</formula>
    </cfRule>
  </conditionalFormatting>
  <conditionalFormatting sqref="AB13 AB15:AB20">
    <cfRule type="expression" dxfId="1898" priority="49">
      <formula>ABS(AB$16-AB$19)&gt;=1000</formula>
    </cfRule>
  </conditionalFormatting>
  <conditionalFormatting sqref="AC13 AC15:AC20">
    <cfRule type="expression" dxfId="1897" priority="48">
      <formula>ABS(AC$16-AC$19)&gt;=1000</formula>
    </cfRule>
  </conditionalFormatting>
  <conditionalFormatting sqref="AD13:AD20">
    <cfRule type="expression" dxfId="1896" priority="47">
      <formula>ABS(AD$16-AD$19)&gt;=1000</formula>
    </cfRule>
  </conditionalFormatting>
  <conditionalFormatting sqref="AE13:AE20">
    <cfRule type="expression" dxfId="1895" priority="46">
      <formula>ABS(AE$16-AE$19)&gt;=1000</formula>
    </cfRule>
  </conditionalFormatting>
  <conditionalFormatting sqref="D22:D29">
    <cfRule type="expression" dxfId="1894" priority="45">
      <formula>ABS(D$25-D$28)&gt;=1000</formula>
    </cfRule>
  </conditionalFormatting>
  <conditionalFormatting sqref="E22:E29">
    <cfRule type="expression" dxfId="1893" priority="44">
      <formula>ABS(E$25-E$28)&gt;=1000</formula>
    </cfRule>
  </conditionalFormatting>
  <conditionalFormatting sqref="F22:F29">
    <cfRule type="expression" dxfId="1892" priority="43">
      <formula>ABS(F$25-F$28)&gt;=1000</formula>
    </cfRule>
  </conditionalFormatting>
  <conditionalFormatting sqref="G22:G29">
    <cfRule type="expression" dxfId="1891" priority="42">
      <formula>ABS(G$25-G$28)&gt;=1000</formula>
    </cfRule>
  </conditionalFormatting>
  <conditionalFormatting sqref="H22:H29">
    <cfRule type="expression" dxfId="1890" priority="41">
      <formula>ABS(H$25-H$28)&gt;=1000</formula>
    </cfRule>
  </conditionalFormatting>
  <conditionalFormatting sqref="I22 I24:I29">
    <cfRule type="expression" dxfId="1889" priority="40">
      <formula>ABS(I$25-I$28)&gt;=1000</formula>
    </cfRule>
  </conditionalFormatting>
  <conditionalFormatting sqref="J22:J29 K22">
    <cfRule type="expression" dxfId="1888" priority="39">
      <formula>ABS(J$25-J$28)&gt;=1000</formula>
    </cfRule>
  </conditionalFormatting>
  <conditionalFormatting sqref="K23:K29 L25 L28">
    <cfRule type="expression" dxfId="1887" priority="38">
      <formula>ABS(K$25-K$28)&gt;=1000</formula>
    </cfRule>
  </conditionalFormatting>
  <conditionalFormatting sqref="L22 L26:L27 L29 L24">
    <cfRule type="expression" dxfId="1886" priority="37">
      <formula>ABS(L$25-L$28)&gt;=1000</formula>
    </cfRule>
  </conditionalFormatting>
  <conditionalFormatting sqref="M22:M29">
    <cfRule type="expression" dxfId="1885" priority="36">
      <formula>ABS(M$25-M$28)&gt;=1000</formula>
    </cfRule>
  </conditionalFormatting>
  <conditionalFormatting sqref="N22:N29">
    <cfRule type="expression" dxfId="1884" priority="35">
      <formula>ABS(N$25-N$28)&gt;=1000</formula>
    </cfRule>
  </conditionalFormatting>
  <conditionalFormatting sqref="O22:O29">
    <cfRule type="expression" dxfId="1883" priority="34">
      <formula>ABS(O$25-O$28)&gt;=1000</formula>
    </cfRule>
  </conditionalFormatting>
  <conditionalFormatting sqref="P22:P29">
    <cfRule type="expression" dxfId="1882" priority="33">
      <formula>ABS(P$25-P$28)&gt;=1000</formula>
    </cfRule>
  </conditionalFormatting>
  <conditionalFormatting sqref="Q22:Q29">
    <cfRule type="expression" dxfId="1881" priority="32">
      <formula>ABS(Q$25-Q$28)&gt;=1000</formula>
    </cfRule>
  </conditionalFormatting>
  <conditionalFormatting sqref="R22:R29">
    <cfRule type="expression" dxfId="1880" priority="31">
      <formula>ABS(R$25-R$28)&gt;=1000</formula>
    </cfRule>
  </conditionalFormatting>
  <conditionalFormatting sqref="S22:S29">
    <cfRule type="expression" dxfId="1879" priority="30">
      <formula>ABS(S$25-S$28)&gt;=1000</formula>
    </cfRule>
  </conditionalFormatting>
  <conditionalFormatting sqref="T22:T29">
    <cfRule type="expression" dxfId="1878" priority="29">
      <formula>ABS(T$25-T$28)&gt;=1000</formula>
    </cfRule>
  </conditionalFormatting>
  <conditionalFormatting sqref="U22:U29">
    <cfRule type="expression" dxfId="1877" priority="28">
      <formula>ABS(U$25-U$28)&gt;=1000</formula>
    </cfRule>
  </conditionalFormatting>
  <conditionalFormatting sqref="V22:V29">
    <cfRule type="expression" dxfId="1876" priority="27">
      <formula>ABS(V$25-V$28)&gt;=1000</formula>
    </cfRule>
  </conditionalFormatting>
  <conditionalFormatting sqref="W22:W29">
    <cfRule type="expression" dxfId="1875" priority="26">
      <formula>ABS(W$25-W$28)&gt;=1000</formula>
    </cfRule>
  </conditionalFormatting>
  <conditionalFormatting sqref="X22:X29">
    <cfRule type="expression" dxfId="1874" priority="25">
      <formula>ABS(X$25-X$28)&gt;=1000</formula>
    </cfRule>
  </conditionalFormatting>
  <conditionalFormatting sqref="Y22:Y29">
    <cfRule type="expression" dxfId="1873" priority="24">
      <formula>ABS(Y$25-Y$28)&gt;=1000</formula>
    </cfRule>
  </conditionalFormatting>
  <conditionalFormatting sqref="I23">
    <cfRule type="expression" dxfId="1872" priority="23">
      <formula>ABS(I$25-I$28)&gt;=1000</formula>
    </cfRule>
  </conditionalFormatting>
  <conditionalFormatting sqref="Q14">
    <cfRule type="expression" dxfId="1871" priority="22">
      <formula>ABS(Q$16-Q$19)&gt;=1000</formula>
    </cfRule>
  </conditionalFormatting>
  <conditionalFormatting sqref="W14">
    <cfRule type="expression" dxfId="1870" priority="21">
      <formula>ABS(W$16-W$19)&gt;=1000</formula>
    </cfRule>
  </conditionalFormatting>
  <conditionalFormatting sqref="X14">
    <cfRule type="expression" dxfId="1869" priority="20">
      <formula>ABS(X$16-X$19)&gt;=1000</formula>
    </cfRule>
  </conditionalFormatting>
  <conditionalFormatting sqref="T10:Y10">
    <cfRule type="expression" dxfId="1868" priority="19">
      <formula>ABS(T$7-T$10)&gt;=1000</formula>
    </cfRule>
  </conditionalFormatting>
  <conditionalFormatting sqref="W19">
    <cfRule type="expression" dxfId="1867" priority="18">
      <formula>ABS(W$16-W$19)&gt;=1000</formula>
    </cfRule>
  </conditionalFormatting>
  <conditionalFormatting sqref="AC5">
    <cfRule type="expression" dxfId="1866" priority="17">
      <formula>ABS(AC$7-AC$10)&gt;=1000</formula>
    </cfRule>
  </conditionalFormatting>
  <conditionalFormatting sqref="M14">
    <cfRule type="expression" dxfId="1865" priority="16">
      <formula>ABS(M$16-M$19)&gt;=1000</formula>
    </cfRule>
  </conditionalFormatting>
  <conditionalFormatting sqref="M16">
    <cfRule type="expression" dxfId="1864" priority="15">
      <formula>ABS(M$16-M$19)&gt;=1000</formula>
    </cfRule>
  </conditionalFormatting>
  <conditionalFormatting sqref="M19">
    <cfRule type="expression" dxfId="1863" priority="14">
      <formula>ABS(M$16-M$19)&gt;=1000</formula>
    </cfRule>
  </conditionalFormatting>
  <conditionalFormatting sqref="K13:K20">
    <cfRule type="expression" dxfId="1862" priority="13">
      <formula>ABS(K$16-K$19)&gt;=1000</formula>
    </cfRule>
  </conditionalFormatting>
  <conditionalFormatting sqref="E5">
    <cfRule type="expression" dxfId="1861" priority="12">
      <formula>ABS(E$7-E$10)&gt;=1000</formula>
    </cfRule>
  </conditionalFormatting>
  <conditionalFormatting sqref="AB14:AC14">
    <cfRule type="expression" dxfId="1860" priority="11">
      <formula>ABS(AB$16-AB$19)&gt;=1000</formula>
    </cfRule>
  </conditionalFormatting>
  <conditionalFormatting sqref="M5">
    <cfRule type="expression" dxfId="1859" priority="10">
      <formula>ABS(M$7-M$10)&gt;=1000</formula>
    </cfRule>
  </conditionalFormatting>
  <conditionalFormatting sqref="N5">
    <cfRule type="expression" dxfId="1858" priority="9">
      <formula>ABS(N$7-N$10)&gt;=1000</formula>
    </cfRule>
  </conditionalFormatting>
  <conditionalFormatting sqref="O5">
    <cfRule type="expression" dxfId="1857" priority="8">
      <formula>ABS(O$7-O$10)&gt;=1000</formula>
    </cfRule>
  </conditionalFormatting>
  <conditionalFormatting sqref="P5">
    <cfRule type="expression" dxfId="1856" priority="7">
      <formula>ABS(P$7-P$10)&gt;=1000</formula>
    </cfRule>
  </conditionalFormatting>
  <conditionalFormatting sqref="L23">
    <cfRule type="expression" dxfId="1855" priority="6">
      <formula>ABS(L$25-L$28)&gt;=1000</formula>
    </cfRule>
  </conditionalFormatting>
  <conditionalFormatting sqref="Y14">
    <cfRule type="expression" dxfId="1854" priority="5">
      <formula>ABS(Y$16-Y$19)&gt;=1000</formula>
    </cfRule>
  </conditionalFormatting>
  <conditionalFormatting sqref="F14">
    <cfRule type="expression" dxfId="1853" priority="4">
      <formula>ABS(F$16-F$19)&gt;=1000</formula>
    </cfRule>
  </conditionalFormatting>
  <conditionalFormatting sqref="H14">
    <cfRule type="expression" dxfId="1852" priority="3">
      <formula>ABS(H$16-H$19)&gt;=1000</formula>
    </cfRule>
  </conditionalFormatting>
  <conditionalFormatting sqref="AD5">
    <cfRule type="expression" dxfId="1851" priority="2">
      <formula>ABS(AD$7-AD$10)&gt;=1000</formula>
    </cfRule>
  </conditionalFormatting>
  <conditionalFormatting sqref="AE5">
    <cfRule type="expression" dxfId="18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299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5">
    <pageSetUpPr fitToPage="1"/>
  </sheetPr>
  <dimension ref="A1:CU223"/>
  <sheetViews>
    <sheetView view="pageBreakPreview" zoomScale="70" zoomScaleNormal="100" zoomScaleSheetLayoutView="70" workbookViewId="0">
      <selection activeCell="S23" sqref="S23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46035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54" t="s" ph="1">
        <v>177</v>
      </c>
      <c r="D6" s="71">
        <v>7087</v>
      </c>
      <c r="E6" s="71">
        <v>0</v>
      </c>
      <c r="F6" s="71">
        <v>2441</v>
      </c>
      <c r="G6" s="71">
        <v>8649</v>
      </c>
      <c r="H6" s="71">
        <v>943</v>
      </c>
      <c r="I6" s="71">
        <v>0</v>
      </c>
      <c r="J6" s="71">
        <v>6.61</v>
      </c>
      <c r="K6" s="71">
        <v>7.43</v>
      </c>
      <c r="L6" s="71">
        <v>46.99</v>
      </c>
      <c r="M6" s="71">
        <v>1953</v>
      </c>
      <c r="N6" s="71">
        <v>5592</v>
      </c>
      <c r="O6" s="71">
        <v>3292</v>
      </c>
      <c r="P6" s="71">
        <v>2628</v>
      </c>
      <c r="Q6" s="71">
        <v>7313</v>
      </c>
      <c r="R6" s="71">
        <v>196</v>
      </c>
      <c r="S6" s="71">
        <v>0</v>
      </c>
      <c r="T6" s="71">
        <v>4139</v>
      </c>
      <c r="U6" s="71">
        <v>7033</v>
      </c>
      <c r="V6" s="71">
        <v>4208</v>
      </c>
      <c r="W6" s="71">
        <v>7013</v>
      </c>
      <c r="X6" s="71">
        <v>6998</v>
      </c>
      <c r="Y6" s="71">
        <v>6667</v>
      </c>
      <c r="Z6" s="71">
        <v>3492</v>
      </c>
      <c r="AA6" s="71">
        <v>2882</v>
      </c>
      <c r="AB6" s="71">
        <v>2601</v>
      </c>
      <c r="AC6" s="71">
        <v>8655</v>
      </c>
      <c r="AD6" s="71">
        <v>4780</v>
      </c>
      <c r="AE6" s="71">
        <v>3538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224477.18731134001</v>
      </c>
      <c r="E7" s="73" ph="1">
        <f>E6*51.53*LOOKUP(E8,密度!$A$2:$A$50,密度!$B$2:$B$50)</f>
        <v>0</v>
      </c>
      <c r="F7" s="73" ph="1">
        <f>F6*33.183*LOOKUP(F8,密度!$A$2:$A$50,密度!$C$2:$C$50)</f>
        <v>90379.468607399991</v>
      </c>
      <c r="G7" s="73" ph="1">
        <f xml:space="preserve"> (G6+2)*51.53*LOOKUP(G8,密度!$A$2:$A$50,密度!$B$2:$B$50)</f>
        <v>351279.39164000005</v>
      </c>
      <c r="H7" s="73" ph="1">
        <f>(H6)*51.53*LOOKUP(H8,密度!$A$2:$A$50,密度!$B$2:$B$50)</f>
        <v>38373.726262999997</v>
      </c>
      <c r="I7" s="73" ph="1">
        <f>I6*290.8*1.0267</f>
        <v>0</v>
      </c>
      <c r="J7" s="73" ph="1">
        <f>J6*290.8*0.7892</f>
        <v>1516.9907696</v>
      </c>
      <c r="K7" s="73" ph="1">
        <f>K6*290.8*1.1126</f>
        <v>2403.9325143999999</v>
      </c>
      <c r="L7" s="73" ph="1">
        <f>L6*290.8*0.777</f>
        <v>10617.465684000001</v>
      </c>
      <c r="M7" s="73" ph="1">
        <f>M6*33.183*LOOKUP(M8,密度!$A$2:$A$50,密度!$D$2:$D$50)</f>
        <v>67061.661685200001</v>
      </c>
      <c r="N7" s="73" ph="1">
        <f>N6*33.183*LOOKUP(N8,密度!$A$2:$A$50,密度!$E$2:$E$50)</f>
        <v>147055.77378000002</v>
      </c>
      <c r="O7" s="73" ph="1">
        <f>O6*20.428*LOOKUP(O8,密度!$A$2:$A$50,密度!$C$2:$C$50)</f>
        <v>74861.560083200005</v>
      </c>
      <c r="P7" s="73" ph="1">
        <f>P6*51.53*LOOKUP(P8,密度!$A$2:$A$50,密度!$B$2:$B$50)</f>
        <v>106400.15398799999</v>
      </c>
      <c r="Q7" s="73" ph="1">
        <f>Q6*1.5*1.5*3.1416*LOOKUP(W8,密度!$A$2:$A$50,密度!$L$2:$L$50)</f>
        <v>48901.267522799993</v>
      </c>
      <c r="R7" s="73" ph="1">
        <f>R6*1.5*1.5*3.1416*LOOKUP(R8,密度!$A$2:$A$50,密度!$L$2:$L$50)</f>
        <v>1305.0897551999999</v>
      </c>
      <c r="S7" s="73" ph="1">
        <f>S6*1.5*1.5*3.1416*LOOKUP(S8,密度!$A$2:$A$50,密度!$L$2:$L$50)</f>
        <v>0</v>
      </c>
      <c r="T7" s="73" ph="1">
        <f>T6*1.5*1.5*3.1416*LOOKUP(T8,密度!$A$2:$A$50,密度!$L$2:$L$50)</f>
        <v>27794.088629999998</v>
      </c>
      <c r="U7" s="73" ph="1">
        <f>U6*1.5*1.5*3.1416*LOOKUP(U8,密度!$A$2:$A$50,密度!$L$2:$L$50)</f>
        <v>47028.936754799994</v>
      </c>
      <c r="V7" s="73" ph="1">
        <f>V6*1.5*1.5*3.1416*LOOKUP(V8,密度!$A$2:$A$50,密度!$L$2:$L$50)</f>
        <v>28019.478009599999</v>
      </c>
      <c r="W7" s="73" ph="1">
        <f>W6*1.5*1.5*3.1416*LOOKUP(W8,密度!$A$2:$A$50,密度!$L$2:$L$50)</f>
        <v>46895.198842799997</v>
      </c>
      <c r="X7" s="73" ph="1">
        <f>X6*1.5*1.5*3.1416*LOOKUP(X8,密度!$A$2:$A$50,密度!$L$2:$L$50)</f>
        <v>47240.089973999995</v>
      </c>
      <c r="Y7" s="73" ph="1">
        <f>Y6*1.5*1.5*3.1416*LOOKUP(Y8,密度!$A$2:$A$50,密度!$L$2:$L$50)</f>
        <v>44581.5329652</v>
      </c>
      <c r="Z7" s="73" ph="1">
        <f>Z6*33.183*LOOKUP(Z8,密度!$A$2:$A$50,密度!$L$2:$L$50)</f>
        <v>109386.03398399999</v>
      </c>
      <c r="AA7" s="73" ph="1">
        <f>AA6*33.183*LOOKUP(AA8,密度!$A$2:$A$50,密度!$D$2:$D$50)</f>
        <v>98961.4485288</v>
      </c>
      <c r="AB7" s="73" ph="1">
        <f>AB6*20.428*LOOKUP(AB8,密度!$A$2:$A$50,密度!$D$2:$D$50)</f>
        <v>55354.196930400009</v>
      </c>
      <c r="AC7" s="73" ph="1">
        <f>AC6*51.53*LOOKUP(AC8,密度!$A$2:$A$50,密度!$Q$2:$Q$50)</f>
        <v>425717.34686100006</v>
      </c>
      <c r="AD7" s="73" ph="1">
        <f>AD6*20.428*LOOKUP(AD8,密度!$A$2:$A$50,密度!$V$2:$V$50)</f>
        <v>94130.589760000003</v>
      </c>
      <c r="AE7" s="73" ph="1">
        <f>AE6*20.428</f>
        <v>72274.26400000001</v>
      </c>
    </row>
    <row r="8" spans="1:99" ph="1">
      <c r="B8" s="191" ph="1"/>
      <c r="C8" s="68" t="s" ph="1">
        <v>179</v>
      </c>
      <c r="D8" s="74">
        <v>15</v>
      </c>
      <c r="E8" s="74">
        <v>15</v>
      </c>
      <c r="F8" s="74">
        <v>15</v>
      </c>
      <c r="G8" s="74">
        <v>15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17</v>
      </c>
      <c r="O8" s="74">
        <v>19</v>
      </c>
      <c r="P8" s="74">
        <v>18</v>
      </c>
      <c r="Q8" s="74">
        <v>18</v>
      </c>
      <c r="R8" s="74">
        <v>20</v>
      </c>
      <c r="S8" s="74">
        <v>13</v>
      </c>
      <c r="T8" s="74">
        <v>12</v>
      </c>
      <c r="U8" s="74">
        <v>16</v>
      </c>
      <c r="V8" s="74">
        <v>20</v>
      </c>
      <c r="W8" s="74">
        <v>16</v>
      </c>
      <c r="X8" s="74">
        <v>7</v>
      </c>
      <c r="Y8" s="74">
        <v>16</v>
      </c>
      <c r="Z8" s="74">
        <v>18</v>
      </c>
      <c r="AA8" s="74">
        <v>16</v>
      </c>
      <c r="AB8" s="74">
        <v>8</v>
      </c>
      <c r="AC8" s="74">
        <v>13</v>
      </c>
      <c r="AD8" s="74">
        <v>16</v>
      </c>
      <c r="AE8" s="74">
        <v>19</v>
      </c>
    </row>
    <row r="9" spans="1:99" ph="1">
      <c r="B9" s="191" ph="1">
        <v>0.66666666666666663</v>
      </c>
      <c r="C9" s="154" t="s" ph="1">
        <v>180</v>
      </c>
      <c r="D9" s="71">
        <v>7087</v>
      </c>
      <c r="E9" s="71">
        <v>0</v>
      </c>
      <c r="F9" s="71">
        <v>2439</v>
      </c>
      <c r="G9" s="71">
        <v>8365</v>
      </c>
      <c r="H9" s="71">
        <v>3103</v>
      </c>
      <c r="I9" s="71">
        <v>0</v>
      </c>
      <c r="J9" s="71">
        <v>6.76</v>
      </c>
      <c r="K9" s="71">
        <v>7.45</v>
      </c>
      <c r="L9" s="71">
        <v>36.479999999999997</v>
      </c>
      <c r="M9" s="71">
        <v>1426</v>
      </c>
      <c r="N9" s="71">
        <v>5596</v>
      </c>
      <c r="O9" s="71">
        <v>3291</v>
      </c>
      <c r="P9" s="71">
        <v>2423</v>
      </c>
      <c r="Q9" s="71">
        <v>7319</v>
      </c>
      <c r="R9" s="71">
        <v>6158</v>
      </c>
      <c r="S9" s="71">
        <v>0</v>
      </c>
      <c r="T9" s="71">
        <v>0</v>
      </c>
      <c r="U9" s="71">
        <v>7038</v>
      </c>
      <c r="V9" s="71">
        <v>3316</v>
      </c>
      <c r="W9" s="71">
        <v>7024</v>
      </c>
      <c r="X9" s="71">
        <v>7007</v>
      </c>
      <c r="Y9" s="71">
        <v>6676</v>
      </c>
      <c r="Z9" s="71">
        <v>4526</v>
      </c>
      <c r="AA9" s="71">
        <v>2880</v>
      </c>
      <c r="AB9" s="71">
        <v>2600</v>
      </c>
      <c r="AC9" s="71">
        <v>8884</v>
      </c>
      <c r="AD9" s="71">
        <v>4780</v>
      </c>
      <c r="AE9" s="71">
        <v>3482</v>
      </c>
    </row>
    <row r="10" spans="1:99" s="72" customFormat="1" ht="22.5" ph="1">
      <c r="B10" s="191" ph="1"/>
      <c r="C10" s="154" t="s" ph="1">
        <v>178</v>
      </c>
      <c r="D10" s="73" ph="1">
        <f>D9*33.183*LOOKUP(D11,密度!$A$2:$A$50,密度!$Q$2:$Q$50)</f>
        <v>223882.21247121002</v>
      </c>
      <c r="E10" s="73" ph="1">
        <f>E9*51.53*LOOKUP(E11,密度!$A$2:$A$50,密度!$B$2:$B$50)</f>
        <v>0</v>
      </c>
      <c r="F10" s="73" ph="1">
        <f>F9*33.183*LOOKUP(F11,密度!$A$2:$A$50,密度!$C$2:$C$50)</f>
        <v>90256.857422400004</v>
      </c>
      <c r="G10" s="73" ph="1">
        <f xml:space="preserve"> (G9+2)*51.53*LOOKUP(G11,密度!$A$2:$A$50,密度!$B$2:$B$50)</f>
        <v>339057.547464</v>
      </c>
      <c r="H10" s="73" ph="1">
        <f>(H9)*51.53*LOOKUP(H11,密度!$A$2:$A$50,密度!$B$2:$B$50)</f>
        <v>125999.30092000001</v>
      </c>
      <c r="I10" s="73" ph="1">
        <f>I9*290.8*1.0267</f>
        <v>0</v>
      </c>
      <c r="J10" s="73" ph="1">
        <f>J9*290.8*0.7892</f>
        <v>1551.4156736</v>
      </c>
      <c r="K10" s="73" ph="1">
        <f>K9*290.8*1.1126</f>
        <v>2410.4033960000002</v>
      </c>
      <c r="L10" s="73" ph="1">
        <f>L9*290.8*0.777</f>
        <v>8242.7143680000008</v>
      </c>
      <c r="M10" s="73" ph="1">
        <f>M9*33.183*LOOKUP(M11,密度!$A$2:$A$50,密度!$D$2:$D$50)</f>
        <v>48965.657738399997</v>
      </c>
      <c r="N10" s="73" ph="1">
        <f>N9*33.183*LOOKUP(N11,密度!$A$2:$A$50,密度!$E$2:$E$50)</f>
        <v>147160.96388999998</v>
      </c>
      <c r="O10" s="73" ph="1">
        <f>O9*20.428*LOOKUP(O11,密度!$A$2:$A$50,密度!$C$2:$C$50)</f>
        <v>74798.48250480002</v>
      </c>
      <c r="P10" s="73" ph="1">
        <f>P9*51.53*LOOKUP(P11,密度!$A$2:$A$50,密度!$B$2:$B$50)</f>
        <v>98100.294182999991</v>
      </c>
      <c r="Q10" s="73" ph="1">
        <f>Q9*1.5*1.5*3.1416*LOOKUP(W11,密度!$A$2:$A$50,密度!$L$2:$L$50)</f>
        <v>48837.918729599995</v>
      </c>
      <c r="R10" s="73" ph="1">
        <f>R9*1.5*1.5*3.1416*LOOKUP(R11,密度!$A$2:$A$50,密度!$L$2:$L$50)</f>
        <v>40829.675594399996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47062.371232799997</v>
      </c>
      <c r="V10" s="73" ph="1">
        <f>V9*1.5*1.5*3.1416*LOOKUP(V11,密度!$A$2:$A$50,密度!$L$2:$L$50)</f>
        <v>22033.108943999996</v>
      </c>
      <c r="W10" s="73" ph="1">
        <f>W9*1.5*1.5*3.1416*LOOKUP(W11,密度!$A$2:$A$50,密度!$L$2:$L$50)</f>
        <v>46869.455001599999</v>
      </c>
      <c r="X10" s="73" ph="1">
        <f>X9*1.5*1.5*3.1416*LOOKUP(X11,密度!$A$2:$A$50,密度!$L$2:$L$50)</f>
        <v>47152.255550399997</v>
      </c>
      <c r="Y10" s="73" ph="1">
        <f>Y9*1.5*1.5*3.1416*LOOKUP(Y11,密度!$A$2:$A$50,密度!$L$2:$L$50)</f>
        <v>44594.525051999997</v>
      </c>
      <c r="Z10" s="73" ph="1">
        <f>Z9*33.183*LOOKUP(Z11,密度!$A$2:$A$50,密度!$L$2:$L$50)</f>
        <v>141475.455036</v>
      </c>
      <c r="AA10" s="73" ph="1">
        <f>AA9*33.183*LOOKUP(AA11,密度!$A$2:$A$50,密度!$D$2:$D$50)</f>
        <v>98567.845056000006</v>
      </c>
      <c r="AB10" s="73" ph="1">
        <f>AB9*20.428*LOOKUP(AB11,密度!$A$2:$A$50,密度!$D$2:$D$50)</f>
        <v>55237.312000000005</v>
      </c>
      <c r="AC10" s="73" ph="1">
        <f>AC9*51.53*LOOKUP(AC11,密度!$A$2:$A$50,密度!$Q$2:$Q$50)</f>
        <v>436550.94707200001</v>
      </c>
      <c r="AD10" s="73" ph="1">
        <f>AD9*20.428*LOOKUP(AD11,密度!$A$2:$A$50,密度!$V$2:$V$50)</f>
        <v>94130.589760000003</v>
      </c>
      <c r="AE10" s="73" ph="1">
        <f>AE9*20.428</f>
        <v>71130.296000000002</v>
      </c>
    </row>
    <row r="11" spans="1:99" ph="1">
      <c r="A11" s="64" t="s" ph="1">
        <v>162</v>
      </c>
      <c r="B11" s="191" ph="1"/>
      <c r="C11" s="154" t="s" ph="1">
        <v>179</v>
      </c>
      <c r="D11" s="74">
        <v>18</v>
      </c>
      <c r="E11" s="74">
        <v>20</v>
      </c>
      <c r="F11" s="74">
        <v>16</v>
      </c>
      <c r="G11" s="74">
        <v>17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16</v>
      </c>
      <c r="N11" s="74">
        <v>17</v>
      </c>
      <c r="O11" s="74">
        <v>20</v>
      </c>
      <c r="P11" s="74">
        <v>18</v>
      </c>
      <c r="Q11" s="74">
        <v>21</v>
      </c>
      <c r="R11" s="74">
        <v>24</v>
      </c>
      <c r="S11" s="74">
        <v>15</v>
      </c>
      <c r="T11" s="74">
        <v>29</v>
      </c>
      <c r="U11" s="74">
        <v>16</v>
      </c>
      <c r="V11" s="74">
        <v>22</v>
      </c>
      <c r="W11" s="74">
        <v>18</v>
      </c>
      <c r="X11" s="74">
        <v>10</v>
      </c>
      <c r="Y11" s="74">
        <v>17</v>
      </c>
      <c r="Z11" s="74">
        <v>20</v>
      </c>
      <c r="AA11" s="74">
        <v>20</v>
      </c>
      <c r="AB11" s="74">
        <v>10</v>
      </c>
      <c r="AC11" s="74">
        <v>16</v>
      </c>
      <c r="AD11" s="74">
        <v>16</v>
      </c>
      <c r="AE11" s="74">
        <v>22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54" t="s" ph="1">
        <v>177</v>
      </c>
      <c r="D15" s="78">
        <v>3596</v>
      </c>
      <c r="E15" s="78">
        <v>5919</v>
      </c>
      <c r="F15" s="78">
        <v>4159</v>
      </c>
      <c r="G15" s="78">
        <v>2693</v>
      </c>
      <c r="H15" s="78">
        <v>3668</v>
      </c>
      <c r="I15" s="78">
        <v>2617</v>
      </c>
      <c r="J15" s="78">
        <v>776</v>
      </c>
      <c r="K15" s="78">
        <v>4050</v>
      </c>
      <c r="L15" s="78">
        <v>926</v>
      </c>
      <c r="M15" s="78">
        <v>6717</v>
      </c>
      <c r="N15" s="78">
        <v>2149</v>
      </c>
      <c r="O15" s="78">
        <v>3567</v>
      </c>
      <c r="P15" s="78">
        <v>5174</v>
      </c>
      <c r="Q15" s="78">
        <v>7186</v>
      </c>
      <c r="R15" s="78">
        <v>7335</v>
      </c>
      <c r="S15" s="78">
        <v>6389</v>
      </c>
      <c r="T15" s="78">
        <v>985</v>
      </c>
      <c r="U15" s="78">
        <v>6748</v>
      </c>
      <c r="V15" s="78">
        <v>1719</v>
      </c>
      <c r="W15" s="71">
        <v>-817</v>
      </c>
      <c r="X15" s="78">
        <v>449</v>
      </c>
      <c r="Y15" s="106">
        <v>-9900</v>
      </c>
      <c r="Z15" s="78">
        <v>0</v>
      </c>
      <c r="AA15" s="78">
        <v>11</v>
      </c>
      <c r="AB15" s="78" ph="1">
        <v>6950</v>
      </c>
      <c r="AC15" s="78" ph="1">
        <v>2144</v>
      </c>
      <c r="AD15" s="78">
        <v>5.39</v>
      </c>
      <c r="AE15" s="78">
        <v>50.4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54" t="s" ph="1">
        <v>178</v>
      </c>
      <c r="D16" s="73" ph="1">
        <f>D15*7.0686*LOOKUP(D17,密度!$A$2:$A$50,密度!$L$2:$L$50)</f>
        <v>24020.657891999999</v>
      </c>
      <c r="E16" s="73" ph="1">
        <f>E15*7.0686*LOOKUP(E17,密度!$A$2:$A$50,密度!$L$2:$L$50)</f>
        <v>39537.896012999998</v>
      </c>
      <c r="F16" s="73" ph="1">
        <f>F15*9.0746*LOOKUP(F17,密度!$A$2:$A$50,密度!$L$2:$L$50)</f>
        <v>35439.0444546</v>
      </c>
      <c r="G16" s="73" ph="1">
        <f>G15*9.0746*LOOKUP(G17,密度!$A$2:$A$50,密度!$B$2:$B$50)</f>
        <v>19217.962829919998</v>
      </c>
      <c r="H16" s="73" ph="1">
        <f>H15*9.0746*LOOKUP(H17,密度!$A$2:$A$50,密度!$L$2:$L$50)</f>
        <v>31654.636792799996</v>
      </c>
      <c r="I16" s="73" ph="1">
        <f>I15*9.0746*LOOKUP(I17,密度!$A$2:$A$50,密度!$U$2:$U$50)</f>
        <v>24413.178589600004</v>
      </c>
      <c r="J16" s="73" ph="1">
        <f>J15*9.0746*LOOKUP(J17,密度!$A$2:$A$50,密度!$L$2:$L$50)</f>
        <v>6647.5437824000001</v>
      </c>
      <c r="K16" s="73" ph="1">
        <f>K15*9.0746*LOOKUP(K17,密度!$A$2:$A$50,密度!$C$2:$C$50)</f>
        <v>40985.975375999995</v>
      </c>
      <c r="L16" s="73" ph="1">
        <f>L15*9.0746*LOOKUP(L17,密度!$A$2:$A$50,密度!$E$2:$E$50)</f>
        <v>6677.9273581200005</v>
      </c>
      <c r="M16" s="73" ph="1">
        <f>M15*9.0746*LOOKUP(M17,密度!$A$2:$A$50,密度!$M$2:$M$50)</f>
        <v>53657.883842459996</v>
      </c>
      <c r="N16" s="73" ph="1">
        <f>N15*9.0746*LOOKUP(N17,密度!$A$2:$A$50,密度!$M$2:$M$50)</f>
        <v>17167.00794662</v>
      </c>
      <c r="O16" s="73" ph="1">
        <f>O15*9.0746*LOOKUP(O17,密度!$A$2:$A$50,密度!$G$2:$G$50)</f>
        <v>31300.917959399998</v>
      </c>
      <c r="P16" s="73" ph="1">
        <f ca="1">P15*9.0746*LOOKUP(P17,密度!$A$2:$A$51,密度!$Q$2:$Q$50)</f>
        <v>44773.40850944</v>
      </c>
      <c r="Q16" s="73" ph="1">
        <f>Q15*9.0746*LOOKUP(Q17,密度!$A$2:$A$50,密度!$Q$2:$Q$50)</f>
        <v>62132.160031680003</v>
      </c>
      <c r="R16" s="73" ph="1">
        <f>MAX(R15*9.0746*LOOKUP(R17,密度!$A$2:$A$50,密度!$B$2:$B$50),0)</f>
        <v>52297.913468700004</v>
      </c>
      <c r="S16" s="73" ph="1">
        <f>S15*9.0746*LOOKUP(S17,密度!$A$2:$A$50,密度!$Q$2:$Q$50)</f>
        <v>55341.956822076005</v>
      </c>
      <c r="T16" s="73" ph="1">
        <f>T15*9.0746*LOOKUP(T17,密度!$A$2:$A$50,密度!$O$2:$O$50)</f>
        <v>8348.5412539999998</v>
      </c>
      <c r="U16" s="73" ph="1">
        <f>U15*9.0746*LOOKUP(U17,密度!$A$2:$A$50,密度!$H$2:$H$50)</f>
        <v>56746.84592136</v>
      </c>
      <c r="V16" s="73" ph="1">
        <f>MAX(5600*LOOKUP(V17,密度!$A$2:$A$50,密度!$Q$2:$Q$50)+V15*9.0476*LOOKUP(V17,密度!$A$2:$A$50,密度!$Q$2:$Q$50),0)</f>
        <v>20171.333347840002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9973.5007912799992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59536.635679999999</v>
      </c>
      <c r="AC16" s="73" ph="1">
        <f>AC15*9.0746*LOOKUP(AC17,密度!$A$2:$A$50,密度!$L$2:$L$50)</f>
        <v>18424.777452799997</v>
      </c>
      <c r="AD16" s="73" ph="1">
        <f>AD15*268.68*LOOKUP(AD17,密度!$A$2:$A$50,密度!B2:B50)+IF(AD15&lt;=0,0,1566*LOOKUP(AD17,密度!$A$2:$A$50,密度!B2:B50))</f>
        <v>2349.8587819199997</v>
      </c>
      <c r="AE16" s="73" ph="1">
        <f>AE15*268.68*LOOKUP(AE17,密度!$A$2:$A$50,密度!B2:B50)+IF(AE15&lt;=0,0,1566*LOOKUP(AE17,密度!$A$2:$A$50,密度!B2:B50))</f>
        <v>11777.785171199999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17</v>
      </c>
      <c r="E17" s="74">
        <v>17</v>
      </c>
      <c r="F17" s="74">
        <v>23</v>
      </c>
      <c r="G17" s="74">
        <v>17</v>
      </c>
      <c r="H17" s="74">
        <v>11</v>
      </c>
      <c r="I17" s="74">
        <v>17</v>
      </c>
      <c r="J17" s="74">
        <v>18</v>
      </c>
      <c r="K17" s="74">
        <v>16</v>
      </c>
      <c r="L17" s="74">
        <v>15</v>
      </c>
      <c r="M17" s="74">
        <v>17</v>
      </c>
      <c r="N17" s="74">
        <v>18</v>
      </c>
      <c r="O17" s="74">
        <v>19</v>
      </c>
      <c r="P17" s="74">
        <v>16</v>
      </c>
      <c r="Q17" s="74">
        <v>17</v>
      </c>
      <c r="R17" s="74">
        <v>18</v>
      </c>
      <c r="S17" s="74">
        <v>15</v>
      </c>
      <c r="T17" s="74">
        <v>16</v>
      </c>
      <c r="U17" s="74">
        <v>13</v>
      </c>
      <c r="V17" s="74">
        <v>16</v>
      </c>
      <c r="W17" s="74">
        <v>18</v>
      </c>
      <c r="X17" s="74">
        <v>34</v>
      </c>
      <c r="Y17" s="108">
        <v>34</v>
      </c>
      <c r="Z17" s="74">
        <v>16</v>
      </c>
      <c r="AA17" s="74">
        <v>13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4605</v>
      </c>
      <c r="E18" s="71">
        <v>5927</v>
      </c>
      <c r="F18" s="71">
        <v>4156</v>
      </c>
      <c r="G18" s="71">
        <v>2792</v>
      </c>
      <c r="H18" s="71">
        <v>4707</v>
      </c>
      <c r="I18" s="71">
        <v>5228</v>
      </c>
      <c r="J18" s="71">
        <v>922</v>
      </c>
      <c r="K18" s="71">
        <v>4052</v>
      </c>
      <c r="L18" s="71">
        <v>928</v>
      </c>
      <c r="M18" s="71">
        <v>6733</v>
      </c>
      <c r="N18" s="71">
        <v>3765</v>
      </c>
      <c r="O18" s="71">
        <v>3570</v>
      </c>
      <c r="P18" s="71">
        <v>5185</v>
      </c>
      <c r="Q18" s="71">
        <v>7194</v>
      </c>
      <c r="R18" s="71">
        <v>7349</v>
      </c>
      <c r="S18" s="71">
        <v>6395</v>
      </c>
      <c r="T18" s="71">
        <v>6473</v>
      </c>
      <c r="U18" s="71">
        <v>2887</v>
      </c>
      <c r="V18" s="71">
        <v>1719</v>
      </c>
      <c r="W18" s="71">
        <v>-817</v>
      </c>
      <c r="X18" s="71">
        <v>447</v>
      </c>
      <c r="Y18" s="109">
        <v>-9902</v>
      </c>
      <c r="Z18" s="71">
        <v>0</v>
      </c>
      <c r="AA18" s="71">
        <v>11</v>
      </c>
      <c r="AB18" s="71">
        <v>6957</v>
      </c>
      <c r="AC18" s="71">
        <v>2145</v>
      </c>
      <c r="AD18" s="71">
        <v>22</v>
      </c>
      <c r="AE18" s="71">
        <v>84.3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54" t="s" ph="1">
        <v>178</v>
      </c>
      <c r="D19" s="73" ph="1">
        <f>D18*7.0686*LOOKUP(D20,密度!$A$2:$A$50,密度!$L$2:$L$50)</f>
        <v>30728.052431999997</v>
      </c>
      <c r="E19" s="73" ph="1">
        <f>E18*7.0686*LOOKUP(E20,密度!$A$2:$A$50,密度!$L$2:$L$50)</f>
        <v>39549.439036799995</v>
      </c>
      <c r="F19" s="73" ph="1">
        <f>F18*9.0746*LOOKUP(F20,密度!$A$2:$A$50,密度!$L$2:$L$50)</f>
        <v>35677.4795696</v>
      </c>
      <c r="G19" s="73" ph="1">
        <f>G18*9.0746*LOOKUP(G20,密度!$A$2:$A$50,密度!$B$2:$B$50)</f>
        <v>19906.717710240002</v>
      </c>
      <c r="H19" s="73" ph="1">
        <f>H18*9.0746*LOOKUP(H20,密度!$A$2:$A$50,密度!$L$2:$L$50)</f>
        <v>40493.006805600002</v>
      </c>
      <c r="I19" s="73" ph="1">
        <f>I18*9.0746*LOOKUP(I20,密度!$A$2:$A$50,密度!$U$2:$U$50)</f>
        <v>48770.385046400006</v>
      </c>
      <c r="J19" s="73" ph="1">
        <f>J18*9.0746*LOOKUP(J20,密度!$A$2:$A$50,密度!$L$2:$L$50)</f>
        <v>7873.1411091999989</v>
      </c>
      <c r="K19" s="73" ph="1">
        <f>K18*9.0746*LOOKUP(K20,密度!$A$2:$A$50,密度!$C$2:$C$50)</f>
        <v>40958.414000880002</v>
      </c>
      <c r="L19" s="73" ph="1">
        <f>L18*9.0746*LOOKUP(L20,密度!$A$2:$A$50,密度!$E$2:$E$50)</f>
        <v>6655.2971206400007</v>
      </c>
      <c r="M19" s="73" ph="1">
        <f>M18*9.0746*LOOKUP(M20,密度!$A$2:$A$50,密度!$M$2:$M$50)</f>
        <v>53785.697768540005</v>
      </c>
      <c r="N19" s="73" ph="1">
        <f>N18*9.0746*LOOKUP(N20,密度!$A$2:$A$50,密度!$M$2:$M$50)</f>
        <v>30076.214480699997</v>
      </c>
      <c r="O19" s="73" ph="1">
        <f>O18*9.0746*LOOKUP(O20,密度!$A$2:$A$50,密度!$G$2:$G$50)</f>
        <v>31291.607419799999</v>
      </c>
      <c r="P19" s="73" ph="1">
        <f ca="1">P18*9.0746*LOOKUP(P20,密度!$A$2:$A$51,密度!$Q$2:$Q$50)</f>
        <v>44717.090634380002</v>
      </c>
      <c r="Q19" s="73" ph="1">
        <f>Q18*9.0746*LOOKUP(Q20,密度!$A$2:$A$50,密度!$Q$2:$Q$50)</f>
        <v>62149.756951524003</v>
      </c>
      <c r="R19" s="73" ph="1">
        <f>MAX(R18*9.0746*LOOKUP(R20,密度!$A$2:$A$50,密度!$B$2:$B$50),0)</f>
        <v>52231.009165280004</v>
      </c>
      <c r="S19" s="73" ph="1">
        <f>S18*9.0746*LOOKUP(S20,密度!$A$2:$A$50,密度!$Q$2:$Q$50)</f>
        <v>55247.108104670006</v>
      </c>
      <c r="T19" s="73" ph="1">
        <f>T18*9.0746*LOOKUP(T20,密度!$A$2:$A$50,密度!$O$2:$O$50)</f>
        <v>54628.093794000008</v>
      </c>
      <c r="U19" s="73" ph="1">
        <f>U18*9.0746*LOOKUP(U20,密度!$A$2:$A$50,密度!$H$2:$H$50)</f>
        <v>24225.63292394</v>
      </c>
      <c r="V19" s="73" ph="1">
        <f>MAX(5600*LOOKUP(V20,密度!$A$2:$A$50,密度!$Q$2:$Q$50)+V18*9.0476*LOOKUP(V20,密度!$A$2:$A$50,密度!$Q$2:$Q$50),0)</f>
        <v>20103.221253272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9933.6055159999996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78.349188940000005</v>
      </c>
      <c r="AB19" s="73" ph="1">
        <f>AB18*9.0746*LOOKUP(AB20,密度!$A$2:$A$50,密度!$L$2:$L$50)</f>
        <v>59470.336652399994</v>
      </c>
      <c r="AC19" s="73" ph="1">
        <f>AC18*9.0746*LOOKUP(AC20,密度!$A$2:$A$50,密度!$L$2:$L$50)</f>
        <v>18374.976048</v>
      </c>
      <c r="AD19" s="73" ph="1">
        <f>AD18*268.68*LOOKUP(AD20,密度!$A$2:$A$50,密度!B5:B53)+IF(AD18&lt;=0,0,1566*LOOKUP(AD20,密度!$A$2:$A$50,密度!B5:B53))</f>
        <v>5809.5979200000002</v>
      </c>
      <c r="AE19" s="73" ph="1">
        <f>AE18*268.68*LOOKUP(AE20,密度!$A$2:$A$50,密度!B5:B53)+IF(AE18&lt;=0,0,1566*LOOKUP(AE20,密度!$A$2:$A$50,密度!B5:B53))</f>
        <v>18815.617547999998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18</v>
      </c>
      <c r="E20" s="81">
        <v>18</v>
      </c>
      <c r="F20" s="81">
        <v>16</v>
      </c>
      <c r="G20" s="81">
        <v>18</v>
      </c>
      <c r="H20" s="81">
        <v>14</v>
      </c>
      <c r="I20" s="81">
        <v>19</v>
      </c>
      <c r="J20" s="81">
        <v>21</v>
      </c>
      <c r="K20" s="81">
        <v>18</v>
      </c>
      <c r="L20" s="81">
        <v>19</v>
      </c>
      <c r="M20" s="81">
        <v>20</v>
      </c>
      <c r="N20" s="81">
        <v>18</v>
      </c>
      <c r="O20" s="81">
        <v>20</v>
      </c>
      <c r="P20" s="81">
        <v>20</v>
      </c>
      <c r="Q20" s="81">
        <v>18</v>
      </c>
      <c r="R20" s="81">
        <v>21</v>
      </c>
      <c r="S20" s="81">
        <v>18</v>
      </c>
      <c r="T20" s="81">
        <v>21</v>
      </c>
      <c r="U20" s="81">
        <v>15</v>
      </c>
      <c r="V20" s="81">
        <v>20</v>
      </c>
      <c r="W20" s="81">
        <v>19</v>
      </c>
      <c r="X20" s="81">
        <v>36</v>
      </c>
      <c r="Y20" s="110">
        <v>36</v>
      </c>
      <c r="Z20" s="81">
        <v>25</v>
      </c>
      <c r="AA20" s="81">
        <v>19</v>
      </c>
      <c r="AB20" s="81">
        <v>20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646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54" t="s" ph="1">
        <v>177</v>
      </c>
      <c r="D24" s="71">
        <v>54.26</v>
      </c>
      <c r="E24" s="71">
        <v>4.9400000000000004</v>
      </c>
      <c r="F24" s="71">
        <v>2190</v>
      </c>
      <c r="G24" s="71">
        <v>3852</v>
      </c>
      <c r="H24" s="71">
        <v>2567</v>
      </c>
      <c r="I24" s="71">
        <v>70</v>
      </c>
      <c r="J24" s="71">
        <v>476</v>
      </c>
      <c r="K24" s="71">
        <v>3601</v>
      </c>
      <c r="L24" s="71">
        <v>5535</v>
      </c>
      <c r="M24" s="71">
        <v>4862</v>
      </c>
      <c r="N24" s="71">
        <v>4068</v>
      </c>
      <c r="O24" s="71">
        <v>5714</v>
      </c>
      <c r="P24" s="71">
        <v>651</v>
      </c>
      <c r="Q24" s="90">
        <v>2353</v>
      </c>
      <c r="R24" s="71">
        <v>3004</v>
      </c>
      <c r="S24" s="71">
        <v>234</v>
      </c>
      <c r="T24" s="71">
        <v>160</v>
      </c>
      <c r="U24" s="71">
        <v>4276</v>
      </c>
      <c r="V24" s="71">
        <v>933</v>
      </c>
      <c r="W24" s="71">
        <v>3754</v>
      </c>
      <c r="X24" s="71">
        <v>5936</v>
      </c>
      <c r="Y24" s="71">
        <v>7046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15284.716639632001</v>
      </c>
      <c r="E25" s="91" ph="1">
        <f>E24*268.68*LOOKUP(E26,密度!$A$2:$A$50,密度!$C$2:$C$50)+IF(E24&lt;=0,0,1566*LOOKUP(E26,密度!$A$2:$A$50,密度!$C$2:$C$50))</f>
        <v>3208.3573048799999</v>
      </c>
      <c r="F25" s="91" ph="1">
        <f>F24*11.702*LOOKUP(F26,密度!$A$2:$A$50,密度!$Q$2:$Q$50)</f>
        <v>24397.5220338</v>
      </c>
      <c r="G25" s="91" ph="1">
        <f>G24*18.322*LOOKUP(G26,密度!$A$2:$A$50,密度!$B$2:$B$50)</f>
        <v>55501.236921600001</v>
      </c>
      <c r="H25" s="91" ph="1">
        <f>H24*18.322*LOOKUP(H26,密度!$A$2:$A$50,密度!$B$2:$B$50)</f>
        <v>36986.416193600002</v>
      </c>
      <c r="I25" s="91" ph="1">
        <f>I24*18.322*LOOKUP(I26,密度!$A$2:$A$50,密度!$Q$2:$Q$50)</f>
        <v>1223.0301440000001</v>
      </c>
      <c r="J25" s="91" ph="1">
        <f>J24*18.322*LOOKUP(J26,密度!$A$2:$A$50,密度!$Q$2:$Q$50)</f>
        <v>8309.6279615999993</v>
      </c>
      <c r="K25" s="91" ph="1">
        <f>K24*18.322*LOOKUP(K26,密度!$A$2:$A$50,密度!$Q$2:$Q$50)</f>
        <v>62916.164979199995</v>
      </c>
      <c r="L25" s="91" ph="1">
        <f>L24*18.322*LOOKUP(L26,密度!$A$2:$A$50,密度!$Q$2:$Q$50)</f>
        <v>96802.068205799995</v>
      </c>
      <c r="M25" s="91" ph="1">
        <f>M24*18.322*LOOKUP(M26,密度!$A$2:$A$50,密度!$Q$2:$Q$50)</f>
        <v>84948.179430399992</v>
      </c>
      <c r="N25" s="91" ph="1">
        <f>N24*18.322*LOOKUP(N26,密度!$A$2:$A$50,密度!$Q$2:$Q$50)</f>
        <v>71015.896108799992</v>
      </c>
      <c r="O25" s="91" ph="1">
        <f>O24*18.322*LOOKUP(O26,密度!$A$2:$A$50,密度!$C$2:$C$50)</f>
        <v>116679.13146600001</v>
      </c>
      <c r="P25" s="91" ph="1">
        <f>P24*11.702*LOOKUP(P26,密度!$A$2:$A$50,密度!$B$2:$B$50)</f>
        <v>5996.8911744000006</v>
      </c>
      <c r="Q25" s="92" ph="1">
        <f>Q24*18.322*LOOKUP(Q26,密度!$A$2:$A$50,密度!$B$2:$B$50)</f>
        <v>33971.992808000003</v>
      </c>
      <c r="R25" s="91" ph="1">
        <f>R24*35.891*LOOKUP(R26,密度!$A$2:$A$50,密度!$C$2:$C$50)</f>
        <v>120301.72211119998</v>
      </c>
      <c r="S25" s="91" ph="1">
        <f>S24*35.891*LOOKUP(S26,密度!$A$2:$A$50,密度!$B$2:$B$50)</f>
        <v>6618.0132719999992</v>
      </c>
      <c r="T25" s="91" ph="1">
        <f>T24*35.891*LOOKUP(T26,密度!$A$2:$A$50,密度!$Q$2:$Q$50)</f>
        <v>5481.5032223999997</v>
      </c>
      <c r="U25" s="91" ph="1">
        <f>U24*35.891</f>
        <v>153469.916</v>
      </c>
      <c r="V25" s="91" ph="1">
        <f>V24*47.051*LOOKUP(V26,密度!$A$2:$A$50,密度!$B$2:$B$50)</f>
        <v>34521.845671199997</v>
      </c>
      <c r="W25" s="91" ph="1">
        <f>W24*47.051*LOOKUP(W26,密度!$A$2:$A$50,密度!$B$2:$B$50)</f>
        <v>139042.70618879999</v>
      </c>
      <c r="X25" s="91" ph="1">
        <f>X24*47.051*LOOKUP(X26,密度!$A$2:$A$61,密度!$I$2:$I$61)</f>
        <v>284238.25282720005</v>
      </c>
      <c r="Y25" s="91" ph="1">
        <f>Y24*47.051*LOOKUP(Y26,密度!$A$2:$A$50,密度!$L$2:$L$50)</f>
        <v>312956.150624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18</v>
      </c>
      <c r="G26" s="74">
        <v>17</v>
      </c>
      <c r="H26" s="74">
        <v>17</v>
      </c>
      <c r="I26" s="74">
        <v>16</v>
      </c>
      <c r="J26" s="74">
        <v>17</v>
      </c>
      <c r="K26" s="74">
        <v>16</v>
      </c>
      <c r="L26" s="74">
        <v>15</v>
      </c>
      <c r="M26" s="74">
        <v>16</v>
      </c>
      <c r="N26" s="74">
        <v>17</v>
      </c>
      <c r="O26" s="74">
        <v>17</v>
      </c>
      <c r="P26" s="74">
        <v>16</v>
      </c>
      <c r="Q26" s="93">
        <v>15</v>
      </c>
      <c r="R26" s="74">
        <v>15</v>
      </c>
      <c r="S26" s="74">
        <v>15</v>
      </c>
      <c r="T26" s="74">
        <v>15</v>
      </c>
      <c r="U26" s="74">
        <v>17</v>
      </c>
      <c r="V26" s="74">
        <v>17</v>
      </c>
      <c r="W26" s="74">
        <v>16</v>
      </c>
      <c r="X26" s="74">
        <v>47</v>
      </c>
      <c r="Y26" s="74">
        <v>18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54" t="s" ph="1">
        <v>180</v>
      </c>
      <c r="D27" s="71">
        <v>30.42</v>
      </c>
      <c r="E27" s="71">
        <v>4.93</v>
      </c>
      <c r="F27" s="71">
        <v>991</v>
      </c>
      <c r="G27" s="71">
        <v>3304</v>
      </c>
      <c r="H27" s="71">
        <v>2096</v>
      </c>
      <c r="I27" s="71">
        <v>64</v>
      </c>
      <c r="J27" s="71">
        <v>471</v>
      </c>
      <c r="K27" s="71">
        <v>3601</v>
      </c>
      <c r="L27" s="71">
        <v>5533</v>
      </c>
      <c r="M27" s="71">
        <v>4862</v>
      </c>
      <c r="N27" s="71">
        <v>3342</v>
      </c>
      <c r="O27" s="71">
        <v>5712</v>
      </c>
      <c r="P27" s="71">
        <v>648</v>
      </c>
      <c r="Q27" s="90">
        <v>2731</v>
      </c>
      <c r="R27" s="71">
        <v>3002</v>
      </c>
      <c r="S27" s="71">
        <v>232</v>
      </c>
      <c r="T27" s="71">
        <v>158</v>
      </c>
      <c r="U27" s="71">
        <v>4568</v>
      </c>
      <c r="V27" s="71">
        <v>588</v>
      </c>
      <c r="W27" s="71">
        <v>3786</v>
      </c>
      <c r="X27" s="71">
        <v>6417</v>
      </c>
      <c r="Y27" s="71">
        <v>5159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54" t="s" ph="1">
        <v>178</v>
      </c>
      <c r="D28" s="91" ph="1">
        <f>D27*268.68*LOOKUP(D29,密度!$A$2:$A$50,密度!$Q$2:$Q$50)+IF(D27&lt;=0,0,1566*LOOKUP(D29,密度!$A$2:$A$50,密度!$Q$2:$Q$50))</f>
        <v>9220.5333793440022</v>
      </c>
      <c r="E28" s="91" ph="1">
        <f>E27*268.68*LOOKUP(E29,密度!$A$2:$A$50,密度!$C$2:$C$50)+IF(E27&lt;=0,0,1566*LOOKUP(E29,密度!$A$2:$A$50,密度!$C$2:$C$50))</f>
        <v>3205.3779123599998</v>
      </c>
      <c r="F28" s="91" ph="1">
        <f>F27*11.702*LOOKUP(F29,密度!$A$2:$A$50,密度!$Q$2:$Q$50)</f>
        <v>11049.318609600001</v>
      </c>
      <c r="G28" s="91" ph="1">
        <f>G27*18.322*LOOKUP(G29,密度!$A$2:$A$50,密度!$B$2:$B$50)</f>
        <v>47466.189780799999</v>
      </c>
      <c r="H28" s="91" ph="1">
        <f>H27*18.322*LOOKUP(H29,密度!$A$2:$A$50,密度!$B$2:$B$50)</f>
        <v>30111.723299199999</v>
      </c>
      <c r="I28" s="91" ph="1">
        <f>I27*18.322*LOOKUP(I29,密度!$A$2:$A$50,密度!$Q$2:$Q$50)</f>
        <v>1116.3345420799999</v>
      </c>
      <c r="J28" s="91" ph="1">
        <f>J27*18.322*LOOKUP(J29,密度!$A$2:$A$50,密度!$Q$2:$Q$50)</f>
        <v>8215.5245206199997</v>
      </c>
      <c r="K28" s="91" ph="1">
        <f>K27*18.322*LOOKUP(K29,密度!$A$2:$A$50,密度!$Q$2:$Q$50)</f>
        <v>62863.382961599993</v>
      </c>
      <c r="L28" s="91" ph="1">
        <f>L27*18.322*LOOKUP(L29,密度!$A$2:$A$50,密度!$Q$2:$Q$50)</f>
        <v>96590.696452799981</v>
      </c>
      <c r="M28" s="91" ph="1">
        <f>M27*18.322*LOOKUP(M29,密度!$A$2:$A$50,密度!$Q$2:$Q$50)</f>
        <v>84948.179430399992</v>
      </c>
      <c r="N28" s="91" ph="1">
        <f>N27*18.322*LOOKUP(N29,密度!$A$2:$A$50,密度!$Q$2:$Q$50)</f>
        <v>58293.594369239996</v>
      </c>
      <c r="O28" s="91" ph="1">
        <f>O27*18.322*LOOKUP(O29,密度!$A$2:$A$50,密度!$C$2:$C$50)</f>
        <v>116575.49856959998</v>
      </c>
      <c r="P28" s="91" ph="1">
        <f>P27*11.702*LOOKUP(P29,密度!$A$2:$A$50,密度!$B$2:$B$50)</f>
        <v>5963.1894143999998</v>
      </c>
      <c r="Q28" s="92" ph="1">
        <f>Q27*18.322*LOOKUP(Q29,密度!$A$2:$A$50,密度!$B$2:$B$50)</f>
        <v>39349.3972048</v>
      </c>
      <c r="R28" s="91" ph="1">
        <f>R27*35.891*LOOKUP(R29,密度!$A$2:$A$50,密度!$C$2:$C$50)</f>
        <v>119876.8444532</v>
      </c>
      <c r="S28" s="91" ph="1">
        <f>S27*35.891*LOOKUP(S29,密度!$A$2:$A$50,密度!$B$2:$B$50)</f>
        <v>6528.9748792</v>
      </c>
      <c r="T28" s="91" ph="1">
        <f>T27*35.891*LOOKUP(T29,密度!$A$2:$A$50,密度!$Q$2:$Q$50)</f>
        <v>5403.1172783999991</v>
      </c>
      <c r="U28" s="91" ph="1">
        <f>U27*35.891</f>
        <v>163950.08799999999</v>
      </c>
      <c r="V28" s="91" ph="1">
        <f>V27*47.051*LOOKUP(V29,密度!$A$2:$A$50,密度!$B$2:$B$50)</f>
        <v>21737.166771600001</v>
      </c>
      <c r="W28" s="91" ph="1">
        <f>W27*47.051*LOOKUP(W29,密度!$A$2:$A$50,密度!$B$2:$B$50)</f>
        <v>139960.7370702</v>
      </c>
      <c r="X28" s="91" ph="1">
        <f>X27*47.051*LOOKUP(X29,密度!$A$2:$A$61,密度!$I$2:$I$61)</f>
        <v>307934.59971330001</v>
      </c>
      <c r="Y28" s="91" ph="1">
        <f>Y27*47.051*LOOKUP(Y29,密度!$A$2:$A$50,密度!$L$2:$L$50)</f>
        <v>229385.62300499997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54" t="s" ph="1">
        <v>179</v>
      </c>
      <c r="D29" s="74">
        <v>25</v>
      </c>
      <c r="E29" s="74">
        <v>25</v>
      </c>
      <c r="F29" s="74">
        <v>17</v>
      </c>
      <c r="G29" s="74">
        <v>20</v>
      </c>
      <c r="H29" s="74">
        <v>20</v>
      </c>
      <c r="I29" s="74">
        <v>18</v>
      </c>
      <c r="J29" s="74">
        <v>18</v>
      </c>
      <c r="K29" s="74">
        <v>17</v>
      </c>
      <c r="L29" s="74">
        <v>17</v>
      </c>
      <c r="M29" s="74">
        <v>16</v>
      </c>
      <c r="N29" s="74">
        <v>18</v>
      </c>
      <c r="O29" s="74">
        <v>18</v>
      </c>
      <c r="P29" s="74">
        <v>17</v>
      </c>
      <c r="Q29" s="93">
        <v>17</v>
      </c>
      <c r="R29" s="74">
        <v>20</v>
      </c>
      <c r="S29" s="74">
        <v>20</v>
      </c>
      <c r="T29" s="74">
        <v>17</v>
      </c>
      <c r="U29" s="74">
        <v>18</v>
      </c>
      <c r="V29" s="74">
        <v>18</v>
      </c>
      <c r="W29" s="74">
        <v>18</v>
      </c>
      <c r="X29" s="74">
        <v>45</v>
      </c>
      <c r="Y29" s="74">
        <v>17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153805.15705600003</v>
      </c>
      <c r="E33" s="213" ph="1">
        <f>M10+I10</f>
        <v>48965.657738399997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7" ph="1">
        <f>N19</f>
        <v>30076.214480699997</v>
      </c>
      <c r="H33" s="213" ph="1">
        <f>M19</f>
        <v>53785.697768540005</v>
      </c>
      <c r="I33" s="226" ph="1">
        <v>0</v>
      </c>
      <c r="J33" s="224" ph="1">
        <f>F10+O28</f>
        <v>206832.35599199997</v>
      </c>
      <c r="K33" s="213" ph="1">
        <f>O10+K10+E28+R28</f>
        <v>200291.10826636001</v>
      </c>
      <c r="L33" s="228" ph="1">
        <f>K19</f>
        <v>40958.414000880002</v>
      </c>
      <c r="M33" s="224" ph="1">
        <f>G10+H10+W28+S28+V28+E10+R19+P28+Q28</f>
        <v>730827.32288948016</v>
      </c>
      <c r="N33" s="213" ph="1">
        <f>L10+P10++G28+H28+AD19+AE19</f>
        <v>208546.13709900001</v>
      </c>
      <c r="O33" s="226" ph="1">
        <f>G19</f>
        <v>19906.717710240002</v>
      </c>
      <c r="P33" s="224" ph="1">
        <f>L19</f>
        <v>6655.2971206400007</v>
      </c>
      <c r="Q33" s="213" ph="1">
        <f>J10+N10</f>
        <v>148712.37956359997</v>
      </c>
      <c r="R33" s="226" ph="1">
        <f>BE23</f>
        <v>890</v>
      </c>
      <c r="S33" s="224" ph="1">
        <f>X28</f>
        <v>307934.59971330001</v>
      </c>
      <c r="T33" s="213" ph="1">
        <f>X19</f>
        <v>9933.6055159999996</v>
      </c>
      <c r="U33" s="234" ph="1">
        <f>BE21</f>
        <v>730</v>
      </c>
      <c r="V33" s="245" ph="1">
        <f ca="1">P19+Q19+S19+M28+N28+J28+D10+AC10+D19+E19+H19+J19+O19+V19+W19+K28+L28</f>
        <v>1303496.961025116</v>
      </c>
      <c r="W33" s="245" ph="1">
        <f>D28+F28+T28+I28</f>
        <v>26789.303809424</v>
      </c>
      <c r="X33" s="226" ph="1">
        <f>BE29+BE31</f>
        <v>10200</v>
      </c>
      <c r="Y33" s="247" ph="1">
        <f>+Q10+R10+S10+T10+U10+V10+W10+X10+Y10</f>
        <v>297379.31010479998</v>
      </c>
      <c r="Z33" s="232" ph="1">
        <f>T19+U19+Y28+Z10</f>
        <v>449714.80475894001</v>
      </c>
      <c r="AA33" s="234" ph="1">
        <f>BE19</f>
        <v>1440</v>
      </c>
      <c r="AB33" s="236" ph="1">
        <f>I19</f>
        <v>48770.385046400006</v>
      </c>
      <c r="AC33" s="238" ph="1">
        <f>AD10+AB19</f>
        <v>153600.9264124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6" t="s" ph="1">
        <v>185</v>
      </c>
      <c r="AA36" s="15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819" priority="100">
      <formula>ABS(D$7-D$10)&gt;=1000</formula>
    </cfRule>
  </conditionalFormatting>
  <conditionalFormatting sqref="E4 E6:E11">
    <cfRule type="expression" dxfId="1818" priority="99">
      <formula>ABS(E$7-E$10)&gt;=1000</formula>
    </cfRule>
  </conditionalFormatting>
  <conditionalFormatting sqref="F4:F11">
    <cfRule type="expression" dxfId="1817" priority="98">
      <formula>ABS(F$7-F$10)&gt;=1000</formula>
    </cfRule>
  </conditionalFormatting>
  <conditionalFormatting sqref="G4:G11">
    <cfRule type="expression" dxfId="1816" priority="97">
      <formula>ABS(G$7-G$10)&gt;=1000</formula>
    </cfRule>
  </conditionalFormatting>
  <conditionalFormatting sqref="H4:H11">
    <cfRule type="expression" dxfId="1815" priority="96">
      <formula>ABS(H$7-H$10)&gt;=1000</formula>
    </cfRule>
  </conditionalFormatting>
  <conditionalFormatting sqref="I4:I11">
    <cfRule type="expression" dxfId="1814" priority="95">
      <formula>ABS(I$7-I$10)&gt;=1000</formula>
    </cfRule>
  </conditionalFormatting>
  <conditionalFormatting sqref="J4:J11">
    <cfRule type="expression" dxfId="1813" priority="94">
      <formula>ABS(J$7-J$10)&gt;=1000</formula>
    </cfRule>
  </conditionalFormatting>
  <conditionalFormatting sqref="K4:K11">
    <cfRule type="expression" dxfId="1812" priority="93">
      <formula>ABS(K$7-K$10)&gt;=1000</formula>
    </cfRule>
  </conditionalFormatting>
  <conditionalFormatting sqref="L4:L11">
    <cfRule type="expression" dxfId="1811" priority="92">
      <formula>ABS(L$7-L$10)&gt;=1000</formula>
    </cfRule>
  </conditionalFormatting>
  <conditionalFormatting sqref="M4 M6:M11">
    <cfRule type="expression" dxfId="1810" priority="91">
      <formula>ABS(M$7-M$10)&gt;=1000</formula>
    </cfRule>
  </conditionalFormatting>
  <conditionalFormatting sqref="N4 N6:N11">
    <cfRule type="expression" dxfId="1809" priority="90">
      <formula>ABS(N$7-N$10)&gt;=1000</formula>
    </cfRule>
  </conditionalFormatting>
  <conditionalFormatting sqref="O4 O6:O11">
    <cfRule type="expression" dxfId="1808" priority="89">
      <formula>ABS(O$7-O$10)&gt;=1000</formula>
    </cfRule>
  </conditionalFormatting>
  <conditionalFormatting sqref="P4 P6:P11">
    <cfRule type="expression" dxfId="1807" priority="88">
      <formula>ABS(P$7-P$10)&gt;=1000</formula>
    </cfRule>
  </conditionalFormatting>
  <conditionalFormatting sqref="Q4:Q11">
    <cfRule type="expression" dxfId="1806" priority="87">
      <formula>ABS(Q$7-Q$10)&gt;=1000</formula>
    </cfRule>
  </conditionalFormatting>
  <conditionalFormatting sqref="R4:R11">
    <cfRule type="expression" dxfId="1805" priority="86">
      <formula>ABS(R$7-R$10)&gt;=1000</formula>
    </cfRule>
  </conditionalFormatting>
  <conditionalFormatting sqref="S4:S11">
    <cfRule type="expression" dxfId="1804" priority="85">
      <formula>ABS(S$7-S$10)&gt;=1000</formula>
    </cfRule>
  </conditionalFormatting>
  <conditionalFormatting sqref="T4:T9 T11">
    <cfRule type="expression" dxfId="1803" priority="84">
      <formula>ABS(T$7-T$10)&gt;=1000</formula>
    </cfRule>
  </conditionalFormatting>
  <conditionalFormatting sqref="U4:U9 U11">
    <cfRule type="expression" dxfId="1802" priority="83">
      <formula>ABS(U$7-U$10)&gt;=1000</formula>
    </cfRule>
  </conditionalFormatting>
  <conditionalFormatting sqref="V4:V9 V11">
    <cfRule type="expression" dxfId="1801" priority="82">
      <formula>ABS(V$7-V$10)&gt;=1000</formula>
    </cfRule>
  </conditionalFormatting>
  <conditionalFormatting sqref="W4:W9 W11">
    <cfRule type="expression" dxfId="1800" priority="81">
      <formula>ABS(W$7-W$10)&gt;=1000</formula>
    </cfRule>
  </conditionalFormatting>
  <conditionalFormatting sqref="X4:X9 X11">
    <cfRule type="expression" dxfId="1799" priority="80">
      <formula>ABS(X$7-X$10)&gt;=1000</formula>
    </cfRule>
  </conditionalFormatting>
  <conditionalFormatting sqref="Y4:Y9 Y11">
    <cfRule type="expression" dxfId="1798" priority="79">
      <formula>ABS(Y$7-Y$10)&gt;=1000</formula>
    </cfRule>
  </conditionalFormatting>
  <conditionalFormatting sqref="Z4:Z11">
    <cfRule type="expression" dxfId="1797" priority="78">
      <formula>ABS(Z$7-Z$10)&gt;=1000</formula>
    </cfRule>
  </conditionalFormatting>
  <conditionalFormatting sqref="AA4:AA11">
    <cfRule type="expression" dxfId="1796" priority="77">
      <formula>ABS(AA$7-AA$10)&gt;=1000</formula>
    </cfRule>
  </conditionalFormatting>
  <conditionalFormatting sqref="AB4:AB11">
    <cfRule type="expression" dxfId="1795" priority="76">
      <formula>ABS(AB$7-AB$10)&gt;=1000</formula>
    </cfRule>
  </conditionalFormatting>
  <conditionalFormatting sqref="AC4 AC6:AC11">
    <cfRule type="expression" dxfId="1794" priority="75">
      <formula>ABS(AC$7-AC$10)&gt;=1000</formula>
    </cfRule>
  </conditionalFormatting>
  <conditionalFormatting sqref="AD4 AD6:AD11">
    <cfRule type="expression" dxfId="1793" priority="74">
      <formula>ABS(AD$7-AD$10)&gt;=1000</formula>
    </cfRule>
  </conditionalFormatting>
  <conditionalFormatting sqref="AE4 AE6:AE11">
    <cfRule type="expression" dxfId="1792" priority="73">
      <formula>ABS(AE$7-AE$10)&gt;=1000</formula>
    </cfRule>
  </conditionalFormatting>
  <conditionalFormatting sqref="D13:D20">
    <cfRule type="expression" dxfId="1791" priority="72">
      <formula>ABS(D$16-D$19)&gt;=1000</formula>
    </cfRule>
  </conditionalFormatting>
  <conditionalFormatting sqref="E13:E20">
    <cfRule type="expression" dxfId="1790" priority="71">
      <formula>ABS(E$16-E$19)&gt;=1000</formula>
    </cfRule>
  </conditionalFormatting>
  <conditionalFormatting sqref="F13 F15:F20">
    <cfRule type="expression" dxfId="1789" priority="70">
      <formula>ABS(F$16-F$19)&gt;=1000</formula>
    </cfRule>
  </conditionalFormatting>
  <conditionalFormatting sqref="G13:G20">
    <cfRule type="expression" dxfId="1788" priority="69">
      <formula>ABS(G$16-G$19)&gt;=1000</formula>
    </cfRule>
  </conditionalFormatting>
  <conditionalFormatting sqref="H13 H15:H20">
    <cfRule type="expression" dxfId="1787" priority="68">
      <formula>ABS(H$16-H$19)&gt;=1000</formula>
    </cfRule>
  </conditionalFormatting>
  <conditionalFormatting sqref="I13:I20">
    <cfRule type="expression" dxfId="1786" priority="67">
      <formula>ABS(I$16-I$19)&gt;=1000</formula>
    </cfRule>
  </conditionalFormatting>
  <conditionalFormatting sqref="J13:J20">
    <cfRule type="expression" dxfId="1785" priority="66">
      <formula>ABS(J$16-J$19)&gt;=1000</formula>
    </cfRule>
  </conditionalFormatting>
  <conditionalFormatting sqref="L13:L20">
    <cfRule type="expression" dxfId="1784" priority="65">
      <formula>ABS(L$16-L$19)&gt;=1000</formula>
    </cfRule>
  </conditionalFormatting>
  <conditionalFormatting sqref="M13 M15 M17:M18 M20">
    <cfRule type="expression" dxfId="1783" priority="64">
      <formula>ABS(M$16-M$19)&gt;=1000</formula>
    </cfRule>
  </conditionalFormatting>
  <conditionalFormatting sqref="N13:N20">
    <cfRule type="expression" dxfId="1782" priority="63">
      <formula>ABS(N$16-N$19)&gt;=1000</formula>
    </cfRule>
  </conditionalFormatting>
  <conditionalFormatting sqref="O13:O20">
    <cfRule type="expression" dxfId="1781" priority="62">
      <formula>ABS(O$16-O$19)&gt;=1000</formula>
    </cfRule>
  </conditionalFormatting>
  <conditionalFormatting sqref="P13:P20">
    <cfRule type="expression" dxfId="1780" priority="61">
      <formula>ABS(P$16-P$19)&gt;=1000</formula>
    </cfRule>
  </conditionalFormatting>
  <conditionalFormatting sqref="Q13 Q15:Q20">
    <cfRule type="expression" dxfId="1779" priority="60">
      <formula>ABS(Q$16-Q$19)&gt;=1000</formula>
    </cfRule>
  </conditionalFormatting>
  <conditionalFormatting sqref="R13:R20">
    <cfRule type="expression" dxfId="1778" priority="59">
      <formula>ABS(R$16-R$19)&gt;=1000</formula>
    </cfRule>
  </conditionalFormatting>
  <conditionalFormatting sqref="S13:S20">
    <cfRule type="expression" dxfId="1777" priority="58">
      <formula>ABS(S$16-S$19)&gt;=1000</formula>
    </cfRule>
  </conditionalFormatting>
  <conditionalFormatting sqref="T13:T20">
    <cfRule type="expression" dxfId="1776" priority="57">
      <formula>ABS(T$16-T$19)&gt;=1000</formula>
    </cfRule>
  </conditionalFormatting>
  <conditionalFormatting sqref="U13:U20">
    <cfRule type="expression" dxfId="1775" priority="56">
      <formula>ABS(U$16-U$19)&gt;=1000</formula>
    </cfRule>
  </conditionalFormatting>
  <conditionalFormatting sqref="V13:V20">
    <cfRule type="expression" dxfId="1774" priority="55">
      <formula>ABS(V$16-V$19)&gt;=1000</formula>
    </cfRule>
  </conditionalFormatting>
  <conditionalFormatting sqref="W13 W20 W15:W18">
    <cfRule type="expression" dxfId="1773" priority="54">
      <formula>ABS(W$16-W$19)&gt;=1000</formula>
    </cfRule>
  </conditionalFormatting>
  <conditionalFormatting sqref="X13 X15:X20 Y19">
    <cfRule type="expression" dxfId="1772" priority="53">
      <formula>ABS(X$16-X$19)&gt;=1000</formula>
    </cfRule>
  </conditionalFormatting>
  <conditionalFormatting sqref="Y13 Y15:Y18 Y20">
    <cfRule type="expression" dxfId="1771" priority="52">
      <formula>ABS(Y$16-Y$19)&gt;=1000</formula>
    </cfRule>
  </conditionalFormatting>
  <conditionalFormatting sqref="Z13:Z20">
    <cfRule type="expression" dxfId="1770" priority="51">
      <formula>ABS(Z$16-Z$19)&gt;=1000</formula>
    </cfRule>
  </conditionalFormatting>
  <conditionalFormatting sqref="AA13:AA20">
    <cfRule type="expression" dxfId="1769" priority="50">
      <formula>ABS(AA$16-AA$19)&gt;=1000</formula>
    </cfRule>
  </conditionalFormatting>
  <conditionalFormatting sqref="AB13 AB15:AB20">
    <cfRule type="expression" dxfId="1768" priority="49">
      <formula>ABS(AB$16-AB$19)&gt;=1000</formula>
    </cfRule>
  </conditionalFormatting>
  <conditionalFormatting sqref="AC13 AC15:AC20">
    <cfRule type="expression" dxfId="1767" priority="48">
      <formula>ABS(AC$16-AC$19)&gt;=1000</formula>
    </cfRule>
  </conditionalFormatting>
  <conditionalFormatting sqref="AD13:AD20">
    <cfRule type="expression" dxfId="1766" priority="47">
      <formula>ABS(AD$16-AD$19)&gt;=1000</formula>
    </cfRule>
  </conditionalFormatting>
  <conditionalFormatting sqref="AE13:AE20">
    <cfRule type="expression" dxfId="1765" priority="46">
      <formula>ABS(AE$16-AE$19)&gt;=1000</formula>
    </cfRule>
  </conditionalFormatting>
  <conditionalFormatting sqref="D22:D29">
    <cfRule type="expression" dxfId="1764" priority="45">
      <formula>ABS(D$25-D$28)&gt;=1000</formula>
    </cfRule>
  </conditionalFormatting>
  <conditionalFormatting sqref="E22:E29">
    <cfRule type="expression" dxfId="1763" priority="44">
      <formula>ABS(E$25-E$28)&gt;=1000</formula>
    </cfRule>
  </conditionalFormatting>
  <conditionalFormatting sqref="F22:F29">
    <cfRule type="expression" dxfId="1762" priority="43">
      <formula>ABS(F$25-F$28)&gt;=1000</formula>
    </cfRule>
  </conditionalFormatting>
  <conditionalFormatting sqref="G22:G29">
    <cfRule type="expression" dxfId="1761" priority="42">
      <formula>ABS(G$25-G$28)&gt;=1000</formula>
    </cfRule>
  </conditionalFormatting>
  <conditionalFormatting sqref="H22:H29">
    <cfRule type="expression" dxfId="1760" priority="41">
      <formula>ABS(H$25-H$28)&gt;=1000</formula>
    </cfRule>
  </conditionalFormatting>
  <conditionalFormatting sqref="I22 I24:I29">
    <cfRule type="expression" dxfId="1759" priority="40">
      <formula>ABS(I$25-I$28)&gt;=1000</formula>
    </cfRule>
  </conditionalFormatting>
  <conditionalFormatting sqref="J22:J29 K22">
    <cfRule type="expression" dxfId="1758" priority="39">
      <formula>ABS(J$25-J$28)&gt;=1000</formula>
    </cfRule>
  </conditionalFormatting>
  <conditionalFormatting sqref="K23:K29 L25 L28">
    <cfRule type="expression" dxfId="1757" priority="38">
      <formula>ABS(K$25-K$28)&gt;=1000</formula>
    </cfRule>
  </conditionalFormatting>
  <conditionalFormatting sqref="L22 L26:L27 L29 L24">
    <cfRule type="expression" dxfId="1756" priority="37">
      <formula>ABS(L$25-L$28)&gt;=1000</formula>
    </cfRule>
  </conditionalFormatting>
  <conditionalFormatting sqref="M22:M29">
    <cfRule type="expression" dxfId="1755" priority="36">
      <formula>ABS(M$25-M$28)&gt;=1000</formula>
    </cfRule>
  </conditionalFormatting>
  <conditionalFormatting sqref="N22:N29">
    <cfRule type="expression" dxfId="1754" priority="35">
      <formula>ABS(N$25-N$28)&gt;=1000</formula>
    </cfRule>
  </conditionalFormatting>
  <conditionalFormatting sqref="O22:O29">
    <cfRule type="expression" dxfId="1753" priority="34">
      <formula>ABS(O$25-O$28)&gt;=1000</formula>
    </cfRule>
  </conditionalFormatting>
  <conditionalFormatting sqref="P22:P29">
    <cfRule type="expression" dxfId="1752" priority="33">
      <formula>ABS(P$25-P$28)&gt;=1000</formula>
    </cfRule>
  </conditionalFormatting>
  <conditionalFormatting sqref="Q22:Q29">
    <cfRule type="expression" dxfId="1751" priority="32">
      <formula>ABS(Q$25-Q$28)&gt;=1000</formula>
    </cfRule>
  </conditionalFormatting>
  <conditionalFormatting sqref="R22:R29">
    <cfRule type="expression" dxfId="1750" priority="31">
      <formula>ABS(R$25-R$28)&gt;=1000</formula>
    </cfRule>
  </conditionalFormatting>
  <conditionalFormatting sqref="S22:S29">
    <cfRule type="expression" dxfId="1749" priority="30">
      <formula>ABS(S$25-S$28)&gt;=1000</formula>
    </cfRule>
  </conditionalFormatting>
  <conditionalFormatting sqref="T22:T29">
    <cfRule type="expression" dxfId="1748" priority="29">
      <formula>ABS(T$25-T$28)&gt;=1000</formula>
    </cfRule>
  </conditionalFormatting>
  <conditionalFormatting sqref="U22:U29">
    <cfRule type="expression" dxfId="1747" priority="28">
      <formula>ABS(U$25-U$28)&gt;=1000</formula>
    </cfRule>
  </conditionalFormatting>
  <conditionalFormatting sqref="V22:V29">
    <cfRule type="expression" dxfId="1746" priority="27">
      <formula>ABS(V$25-V$28)&gt;=1000</formula>
    </cfRule>
  </conditionalFormatting>
  <conditionalFormatting sqref="W22:W29">
    <cfRule type="expression" dxfId="1745" priority="26">
      <formula>ABS(W$25-W$28)&gt;=1000</formula>
    </cfRule>
  </conditionalFormatting>
  <conditionalFormatting sqref="X22:X29">
    <cfRule type="expression" dxfId="1744" priority="25">
      <formula>ABS(X$25-X$28)&gt;=1000</formula>
    </cfRule>
  </conditionalFormatting>
  <conditionalFormatting sqref="Y22:Y29">
    <cfRule type="expression" dxfId="1743" priority="24">
      <formula>ABS(Y$25-Y$28)&gt;=1000</formula>
    </cfRule>
  </conditionalFormatting>
  <conditionalFormatting sqref="I23">
    <cfRule type="expression" dxfId="1742" priority="23">
      <formula>ABS(I$25-I$28)&gt;=1000</formula>
    </cfRule>
  </conditionalFormatting>
  <conditionalFormatting sqref="Q14">
    <cfRule type="expression" dxfId="1741" priority="22">
      <formula>ABS(Q$16-Q$19)&gt;=1000</formula>
    </cfRule>
  </conditionalFormatting>
  <conditionalFormatting sqref="W14">
    <cfRule type="expression" dxfId="1740" priority="21">
      <formula>ABS(W$16-W$19)&gt;=1000</formula>
    </cfRule>
  </conditionalFormatting>
  <conditionalFormatting sqref="X14">
    <cfRule type="expression" dxfId="1739" priority="20">
      <formula>ABS(X$16-X$19)&gt;=1000</formula>
    </cfRule>
  </conditionalFormatting>
  <conditionalFormatting sqref="T10:Y10">
    <cfRule type="expression" dxfId="1738" priority="19">
      <formula>ABS(T$7-T$10)&gt;=1000</formula>
    </cfRule>
  </conditionalFormatting>
  <conditionalFormatting sqref="W19">
    <cfRule type="expression" dxfId="1737" priority="18">
      <formula>ABS(W$16-W$19)&gt;=1000</formula>
    </cfRule>
  </conditionalFormatting>
  <conditionalFormatting sqref="AC5">
    <cfRule type="expression" dxfId="1736" priority="17">
      <formula>ABS(AC$7-AC$10)&gt;=1000</formula>
    </cfRule>
  </conditionalFormatting>
  <conditionalFormatting sqref="M14">
    <cfRule type="expression" dxfId="1735" priority="16">
      <formula>ABS(M$16-M$19)&gt;=1000</formula>
    </cfRule>
  </conditionalFormatting>
  <conditionalFormatting sqref="M16">
    <cfRule type="expression" dxfId="1734" priority="15">
      <formula>ABS(M$16-M$19)&gt;=1000</formula>
    </cfRule>
  </conditionalFormatting>
  <conditionalFormatting sqref="M19">
    <cfRule type="expression" dxfId="1733" priority="14">
      <formula>ABS(M$16-M$19)&gt;=1000</formula>
    </cfRule>
  </conditionalFormatting>
  <conditionalFormatting sqref="K13:K20">
    <cfRule type="expression" dxfId="1732" priority="13">
      <formula>ABS(K$16-K$19)&gt;=1000</formula>
    </cfRule>
  </conditionalFormatting>
  <conditionalFormatting sqref="E5">
    <cfRule type="expression" dxfId="1731" priority="12">
      <formula>ABS(E$7-E$10)&gt;=1000</formula>
    </cfRule>
  </conditionalFormatting>
  <conditionalFormatting sqref="AB14:AC14">
    <cfRule type="expression" dxfId="1730" priority="11">
      <formula>ABS(AB$16-AB$19)&gt;=1000</formula>
    </cfRule>
  </conditionalFormatting>
  <conditionalFormatting sqref="M5">
    <cfRule type="expression" dxfId="1729" priority="10">
      <formula>ABS(M$7-M$10)&gt;=1000</formula>
    </cfRule>
  </conditionalFormatting>
  <conditionalFormatting sqref="N5">
    <cfRule type="expression" dxfId="1728" priority="9">
      <formula>ABS(N$7-N$10)&gt;=1000</formula>
    </cfRule>
  </conditionalFormatting>
  <conditionalFormatting sqref="O5">
    <cfRule type="expression" dxfId="1727" priority="8">
      <formula>ABS(O$7-O$10)&gt;=1000</formula>
    </cfRule>
  </conditionalFormatting>
  <conditionalFormatting sqref="P5">
    <cfRule type="expression" dxfId="1726" priority="7">
      <formula>ABS(P$7-P$10)&gt;=1000</formula>
    </cfRule>
  </conditionalFormatting>
  <conditionalFormatting sqref="L23">
    <cfRule type="expression" dxfId="1725" priority="6">
      <formula>ABS(L$25-L$28)&gt;=1000</formula>
    </cfRule>
  </conditionalFormatting>
  <conditionalFormatting sqref="Y14">
    <cfRule type="expression" dxfId="1724" priority="5">
      <formula>ABS(Y$16-Y$19)&gt;=1000</formula>
    </cfRule>
  </conditionalFormatting>
  <conditionalFormatting sqref="F14">
    <cfRule type="expression" dxfId="1723" priority="4">
      <formula>ABS(F$16-F$19)&gt;=1000</formula>
    </cfRule>
  </conditionalFormatting>
  <conditionalFormatting sqref="H14">
    <cfRule type="expression" dxfId="1722" priority="3">
      <formula>ABS(H$16-H$19)&gt;=1000</formula>
    </cfRule>
  </conditionalFormatting>
  <conditionalFormatting sqref="AD5">
    <cfRule type="expression" dxfId="1721" priority="2">
      <formula>ABS(AD$7-AD$10)&gt;=1000</formula>
    </cfRule>
  </conditionalFormatting>
  <conditionalFormatting sqref="AE5">
    <cfRule type="expression" dxfId="17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10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6">
    <pageSetUpPr fitToPage="1"/>
  </sheetPr>
  <dimension ref="A1:CU223"/>
  <sheetViews>
    <sheetView view="pageBreakPreview" zoomScale="70" zoomScaleNormal="100" zoomScaleSheetLayoutView="70" workbookViewId="0">
      <selection activeCell="M9" sqref="M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46036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54" t="s" ph="1">
        <v>177</v>
      </c>
      <c r="D6" s="71">
        <v>7087</v>
      </c>
      <c r="E6" s="71">
        <v>0</v>
      </c>
      <c r="F6" s="71">
        <v>2442</v>
      </c>
      <c r="G6" s="71">
        <v>7806</v>
      </c>
      <c r="H6" s="71">
        <v>4112</v>
      </c>
      <c r="I6" s="71">
        <v>0.11</v>
      </c>
      <c r="J6" s="71">
        <v>6.65</v>
      </c>
      <c r="K6" s="71">
        <v>7.3</v>
      </c>
      <c r="L6" s="71">
        <v>32.92</v>
      </c>
      <c r="M6" s="71">
        <v>1387</v>
      </c>
      <c r="N6" s="71">
        <v>5593</v>
      </c>
      <c r="O6" s="71">
        <v>3292</v>
      </c>
      <c r="P6" s="71">
        <v>2861</v>
      </c>
      <c r="Q6" s="71">
        <v>7313</v>
      </c>
      <c r="R6" s="71">
        <v>6152</v>
      </c>
      <c r="S6" s="71">
        <v>0</v>
      </c>
      <c r="T6" s="71">
        <v>0</v>
      </c>
      <c r="U6" s="71">
        <v>1325</v>
      </c>
      <c r="V6" s="71">
        <v>0</v>
      </c>
      <c r="W6" s="71">
        <v>7017</v>
      </c>
      <c r="X6" s="71">
        <v>7001</v>
      </c>
      <c r="Y6" s="71">
        <v>6670</v>
      </c>
      <c r="Z6" s="71">
        <v>6517</v>
      </c>
      <c r="AA6" s="71">
        <v>2882</v>
      </c>
      <c r="AB6" s="71">
        <v>2602</v>
      </c>
      <c r="AC6" s="71">
        <v>8997</v>
      </c>
      <c r="AD6" s="71">
        <v>4780</v>
      </c>
      <c r="AE6" s="71">
        <v>3500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224477.18731134001</v>
      </c>
      <c r="E7" s="73" ph="1">
        <f>E6*51.53*LOOKUP(E8,密度!$A$2:$A$50,密度!$B$2:$B$50)</f>
        <v>0</v>
      </c>
      <c r="F7" s="73" ph="1">
        <f>F6*33.183*LOOKUP(F8,密度!$A$2:$A$50,密度!$C$2:$C$50)</f>
        <v>90481.320507600001</v>
      </c>
      <c r="G7" s="73" ph="1">
        <f xml:space="preserve"> (G6+2)*51.53*LOOKUP(G8,密度!$A$2:$A$50,密度!$B$2:$B$50)</f>
        <v>317048.83711999998</v>
      </c>
      <c r="H7" s="73" ph="1">
        <f>(H6)*51.53*LOOKUP(H8,密度!$A$2:$A$50,密度!$B$2:$B$50)</f>
        <v>167521.30921599999</v>
      </c>
      <c r="I7" s="73" ph="1">
        <f>I6*290.8*1.0267</f>
        <v>32.842079599999998</v>
      </c>
      <c r="J7" s="73" ph="1">
        <f>J6*290.8*0.7892</f>
        <v>1526.1707440000002</v>
      </c>
      <c r="K7" s="73" ph="1">
        <f>K6*290.8*1.1126</f>
        <v>2361.8717840000004</v>
      </c>
      <c r="L7" s="73" ph="1">
        <f>L6*290.8*0.777</f>
        <v>7438.3266720000001</v>
      </c>
      <c r="M7" s="73" ph="1">
        <f>M6*33.183*LOOKUP(M8,密度!$A$2:$A$50,密度!$D$2:$D$50)</f>
        <v>47663.304627600002</v>
      </c>
      <c r="N7" s="73" ph="1">
        <f>N6*33.183*LOOKUP(N8,密度!$A$2:$A$50,密度!$E$2:$E$50)</f>
        <v>147082.07130750001</v>
      </c>
      <c r="O7" s="73" ph="1">
        <f>O6*20.428*LOOKUP(O8,密度!$A$2:$A$50,密度!$C$2:$C$50)</f>
        <v>74861.560083200005</v>
      </c>
      <c r="P7" s="73" ph="1">
        <f>P6*51.53*LOOKUP(P8,密度!$A$2:$A$50,密度!$B$2:$B$50)</f>
        <v>115936.85231200002</v>
      </c>
      <c r="Q7" s="73" ph="1">
        <f>Q6*1.5*1.5*3.1416*LOOKUP(W8,密度!$A$2:$A$50,密度!$L$2:$L$50)</f>
        <v>48797.882179199994</v>
      </c>
      <c r="R7" s="73" ph="1">
        <f>R6*1.5*1.5*3.1416*LOOKUP(R8,密度!$A$2:$A$50,密度!$L$2:$L$50)</f>
        <v>40920.351595199994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8860.1366699999999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46822.745692799996</v>
      </c>
      <c r="X7" s="73" ph="1">
        <f>X6*1.5*1.5*3.1416*LOOKUP(X8,密度!$A$2:$A$50,密度!$L$2:$L$50)</f>
        <v>47260.341512999992</v>
      </c>
      <c r="Y7" s="73" ph="1">
        <f>Y6*1.5*1.5*3.1416*LOOKUP(Y8,密度!$A$2:$A$50,密度!$L$2:$L$50)</f>
        <v>44601.593651999996</v>
      </c>
      <c r="Z7" s="73" ph="1">
        <f>Z6*33.183*LOOKUP(Z8,密度!$A$2:$A$50,密度!$L$2:$L$50)</f>
        <v>204359.66239499999</v>
      </c>
      <c r="AA7" s="73" ph="1">
        <f>AA6*33.183*LOOKUP(AA8,密度!$A$2:$A$50,密度!$D$2:$D$50)</f>
        <v>99037.955253600012</v>
      </c>
      <c r="AB7" s="73" ph="1">
        <f>AB6*20.428*LOOKUP(AB8,密度!$A$2:$A$50,密度!$D$2:$D$50)</f>
        <v>55375.478820800003</v>
      </c>
      <c r="AC7" s="73" ph="1">
        <f>AC6*51.53*LOOKUP(AC8,密度!$A$2:$A$50,密度!$Q$2:$Q$50)</f>
        <v>442539.45346140006</v>
      </c>
      <c r="AD7" s="73" ph="1">
        <f>AD6*20.428*LOOKUP(AD8,密度!$A$2:$A$50,密度!$V$2:$V$50)</f>
        <v>94130.589760000003</v>
      </c>
      <c r="AE7" s="73" ph="1">
        <f>AE6*20.428</f>
        <v>71498</v>
      </c>
    </row>
    <row r="8" spans="1:99" ph="1">
      <c r="B8" s="191" ph="1"/>
      <c r="C8" s="68" t="s" ph="1">
        <v>179</v>
      </c>
      <c r="D8" s="74">
        <v>15</v>
      </c>
      <c r="E8" s="74">
        <v>11</v>
      </c>
      <c r="F8" s="74">
        <v>14</v>
      </c>
      <c r="G8" s="74">
        <v>15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19</v>
      </c>
      <c r="P8" s="74">
        <v>17</v>
      </c>
      <c r="Q8" s="74">
        <v>18</v>
      </c>
      <c r="R8" s="74">
        <v>21</v>
      </c>
      <c r="S8" s="74">
        <v>10</v>
      </c>
      <c r="T8" s="74">
        <v>9</v>
      </c>
      <c r="U8" s="74">
        <v>16</v>
      </c>
      <c r="V8" s="74">
        <v>22</v>
      </c>
      <c r="W8" s="74">
        <v>18</v>
      </c>
      <c r="X8" s="74">
        <v>7</v>
      </c>
      <c r="Y8" s="74">
        <v>16</v>
      </c>
      <c r="Z8" s="74">
        <v>17</v>
      </c>
      <c r="AA8" s="74">
        <v>15</v>
      </c>
      <c r="AB8" s="74">
        <v>8</v>
      </c>
      <c r="AC8" s="74">
        <v>12</v>
      </c>
      <c r="AD8" s="74">
        <v>12</v>
      </c>
      <c r="AE8" s="74">
        <v>18</v>
      </c>
    </row>
    <row r="9" spans="1:99" ph="1">
      <c r="B9" s="191" ph="1">
        <v>0.66666666666666663</v>
      </c>
      <c r="C9" s="154" t="s" ph="1">
        <v>180</v>
      </c>
      <c r="D9" s="71">
        <v>7087</v>
      </c>
      <c r="E9" s="71">
        <v>0</v>
      </c>
      <c r="F9" s="71">
        <v>2439</v>
      </c>
      <c r="G9" s="71">
        <v>7534</v>
      </c>
      <c r="H9" s="71">
        <v>5694</v>
      </c>
      <c r="I9" s="71">
        <v>0.11</v>
      </c>
      <c r="J9" s="71">
        <v>6.76</v>
      </c>
      <c r="K9" s="71">
        <v>7.45</v>
      </c>
      <c r="L9" s="71">
        <v>30.99</v>
      </c>
      <c r="M9" s="71">
        <v>1385</v>
      </c>
      <c r="N9" s="71">
        <v>5465</v>
      </c>
      <c r="O9" s="71">
        <v>3292</v>
      </c>
      <c r="P9" s="71">
        <v>2754</v>
      </c>
      <c r="Q9" s="71">
        <v>7319</v>
      </c>
      <c r="R9" s="71">
        <v>7132</v>
      </c>
      <c r="S9" s="71">
        <v>4447</v>
      </c>
      <c r="T9" s="71">
        <v>1460</v>
      </c>
      <c r="U9" s="71">
        <v>0</v>
      </c>
      <c r="V9" s="71">
        <v>0</v>
      </c>
      <c r="W9" s="71">
        <v>5878</v>
      </c>
      <c r="X9" s="71">
        <v>7011</v>
      </c>
      <c r="Y9" s="71">
        <v>6680</v>
      </c>
      <c r="Z9" s="71">
        <v>6856</v>
      </c>
      <c r="AA9" s="71">
        <v>2879</v>
      </c>
      <c r="AB9" s="71">
        <v>2503</v>
      </c>
      <c r="AC9" s="71">
        <v>9208</v>
      </c>
      <c r="AD9" s="71">
        <v>4780</v>
      </c>
      <c r="AE9" s="71">
        <v>3457</v>
      </c>
    </row>
    <row r="10" spans="1:99" s="72" customFormat="1" ht="22.5" ph="1">
      <c r="B10" s="191" ph="1"/>
      <c r="C10" s="154" t="s" ph="1">
        <v>178</v>
      </c>
      <c r="D10" s="73" ph="1">
        <f>D9*33.183*LOOKUP(D11,密度!$A$2:$A$50,密度!$Q$2:$Q$50)</f>
        <v>223498.88875998001</v>
      </c>
      <c r="E10" s="73" ph="1">
        <f>E9*51.53*LOOKUP(E11,密度!$A$2:$A$50,密度!$B$2:$B$50)</f>
        <v>0</v>
      </c>
      <c r="F10" s="73" ph="1">
        <f>F9*33.183*LOOKUP(F11,密度!$A$2:$A$50,密度!$C$2:$C$50)</f>
        <v>90200.204086500002</v>
      </c>
      <c r="G10" s="73" ph="1">
        <f xml:space="preserve"> (G9+2)*51.53*LOOKUP(G11,密度!$A$2:$A$50,密度!$B$2:$B$50)</f>
        <v>305693.438976</v>
      </c>
      <c r="H10" s="73" ph="1">
        <f>(H9)*51.53*LOOKUP(H11,密度!$A$2:$A$50,密度!$B$2:$B$50)</f>
        <v>231208.51416000002</v>
      </c>
      <c r="I10" s="73" ph="1">
        <f>I9*290.8*1.0267</f>
        <v>32.842079599999998</v>
      </c>
      <c r="J10" s="73" ph="1">
        <f>J9*290.8*0.7892</f>
        <v>1551.4156736</v>
      </c>
      <c r="K10" s="73" ph="1">
        <f>K9*290.8*1.1126</f>
        <v>2410.4033960000002</v>
      </c>
      <c r="L10" s="73" ph="1">
        <f>L9*290.8*0.777</f>
        <v>7002.240084</v>
      </c>
      <c r="M10" s="73" ph="1">
        <f>M9*33.183*LOOKUP(M11,密度!$A$2:$A$50,密度!$D$2:$D$50)</f>
        <v>47438.317251</v>
      </c>
      <c r="N10" s="73" ph="1">
        <f>N9*33.183*LOOKUP(N11,密度!$A$2:$A$50,密度!$E$2:$E$50)</f>
        <v>143317.0285785</v>
      </c>
      <c r="O10" s="73" ph="1">
        <f>O9*20.428*LOOKUP(O11,密度!$A$2:$A$50,密度!$C$2:$C$50)</f>
        <v>74774.136414400025</v>
      </c>
      <c r="P10" s="73" ph="1">
        <f>P9*51.53*LOOKUP(P11,密度!$A$2:$A$50,密度!$B$2:$B$50)</f>
        <v>110891.30266799999</v>
      </c>
      <c r="Q10" s="73" ph="1">
        <f>Q9*1.5*1.5*3.1416*LOOKUP(W11,密度!$A$2:$A$50,密度!$L$2:$L$50)</f>
        <v>48786.183646199992</v>
      </c>
      <c r="R10" s="73" ph="1">
        <f>R9*1.5*1.5*3.1416*LOOKUP(R11,密度!$A$2:$A$50,密度!$L$2:$L$50)</f>
        <v>47388.459887999998</v>
      </c>
      <c r="S10" s="73" ph="1">
        <f>S9*1.5*1.5*3.1416*LOOKUP(S11,密度!$A$2:$A$50,密度!$L$2:$L$50)</f>
        <v>29673.756604800001</v>
      </c>
      <c r="T10" s="73" ph="1">
        <f>T9*1.5*1.5*3.1416*LOOKUP(T11,密度!$A$2:$A$50,密度!$L$2:$L$50)</f>
        <v>9783.5078879999983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39180.924644399995</v>
      </c>
      <c r="X10" s="73" ph="1">
        <f>X9*1.5*1.5*3.1416*LOOKUP(X11,密度!$A$2:$A$50,密度!$L$2:$L$50)</f>
        <v>47179.172779199995</v>
      </c>
      <c r="Y10" s="73" ph="1">
        <f>Y9*1.5*1.5*3.1416*LOOKUP(Y11,密度!$A$2:$A$50,密度!$L$2:$L$50)</f>
        <v>44574.026112</v>
      </c>
      <c r="Z10" s="73" ph="1">
        <f>Z9*33.183*LOOKUP(Z11,密度!$A$2:$A$50,密度!$L$2:$L$50)</f>
        <v>214307.49441599997</v>
      </c>
      <c r="AA10" s="73" ph="1">
        <f>AA9*33.183*LOOKUP(AA11,密度!$A$2:$A$50,密度!$D$2:$D$50)</f>
        <v>98610.04719540001</v>
      </c>
      <c r="AB10" s="73" ph="1">
        <f>AB9*20.428*LOOKUP(AB11,密度!$A$2:$A$50,密度!$D$2:$D$50)</f>
        <v>53130.517204399992</v>
      </c>
      <c r="AC10" s="73" ph="1">
        <f>AC9*51.53*LOOKUP(AC11,密度!$A$2:$A$50,密度!$Q$2:$Q$50)</f>
        <v>452092.39507199998</v>
      </c>
      <c r="AD10" s="73" ph="1">
        <f>AD9*20.428*LOOKUP(AD11,密度!$A$2:$A$50,密度!$V$2:$V$50)</f>
        <v>94130.589760000003</v>
      </c>
      <c r="AE10" s="73" ph="1">
        <f>AE9*20.428</f>
        <v>70619.596000000005</v>
      </c>
    </row>
    <row r="11" spans="1:99" ph="1">
      <c r="A11" s="64" t="s" ph="1">
        <v>162</v>
      </c>
      <c r="B11" s="191" ph="1"/>
      <c r="C11" s="154" t="s" ph="1">
        <v>179</v>
      </c>
      <c r="D11" s="74">
        <v>20</v>
      </c>
      <c r="E11" s="74">
        <v>19</v>
      </c>
      <c r="F11" s="74">
        <v>17</v>
      </c>
      <c r="G11" s="74">
        <v>16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21</v>
      </c>
      <c r="P11" s="74">
        <v>23</v>
      </c>
      <c r="Q11" s="74">
        <v>20</v>
      </c>
      <c r="R11" s="74">
        <v>22</v>
      </c>
      <c r="S11" s="74">
        <v>18</v>
      </c>
      <c r="T11" s="74">
        <v>14</v>
      </c>
      <c r="U11" s="74">
        <v>21</v>
      </c>
      <c r="V11" s="74">
        <v>25</v>
      </c>
      <c r="W11" s="74">
        <v>19</v>
      </c>
      <c r="X11" s="74">
        <v>10</v>
      </c>
      <c r="Y11" s="74">
        <v>18</v>
      </c>
      <c r="Z11" s="74">
        <v>20</v>
      </c>
      <c r="AA11" s="74">
        <v>19</v>
      </c>
      <c r="AB11" s="74">
        <v>11</v>
      </c>
      <c r="AC11" s="74">
        <v>17</v>
      </c>
      <c r="AD11" s="74">
        <v>16</v>
      </c>
      <c r="AE11" s="74">
        <v>22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5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54" t="s" ph="1">
        <v>177</v>
      </c>
      <c r="D15" s="78">
        <v>3536</v>
      </c>
      <c r="E15" s="78">
        <v>6208</v>
      </c>
      <c r="F15" s="78">
        <v>4146</v>
      </c>
      <c r="G15" s="78">
        <v>2960</v>
      </c>
      <c r="H15" s="78">
        <v>4704</v>
      </c>
      <c r="I15" s="78">
        <v>5222</v>
      </c>
      <c r="J15" s="78">
        <v>1096</v>
      </c>
      <c r="K15" s="78">
        <v>4051</v>
      </c>
      <c r="L15" s="78">
        <v>5137</v>
      </c>
      <c r="M15" s="78">
        <v>6722</v>
      </c>
      <c r="N15" s="78">
        <v>3763</v>
      </c>
      <c r="O15" s="78">
        <v>3569</v>
      </c>
      <c r="P15" s="78">
        <v>5179</v>
      </c>
      <c r="Q15" s="78">
        <v>7189</v>
      </c>
      <c r="R15" s="78">
        <v>7341</v>
      </c>
      <c r="S15" s="78">
        <v>6390</v>
      </c>
      <c r="T15" s="78">
        <v>6513</v>
      </c>
      <c r="U15" s="78">
        <v>2849</v>
      </c>
      <c r="V15" s="78">
        <v>1719</v>
      </c>
      <c r="W15" s="71">
        <v>-817</v>
      </c>
      <c r="X15" s="78">
        <v>450</v>
      </c>
      <c r="Y15" s="106">
        <v>-9900</v>
      </c>
      <c r="Z15" s="78">
        <v>0</v>
      </c>
      <c r="AA15" s="78">
        <v>11</v>
      </c>
      <c r="AB15" s="78" ph="1">
        <v>6949</v>
      </c>
      <c r="AC15" s="78" ph="1">
        <v>2143</v>
      </c>
      <c r="AD15" s="78">
        <v>5.25</v>
      </c>
      <c r="AE15" s="78">
        <v>48.48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54" t="s" ph="1">
        <v>178</v>
      </c>
      <c r="D16" s="73" ph="1">
        <f>D15*7.0686*LOOKUP(D17,密度!$A$2:$A$50,密度!$L$2:$L$50)</f>
        <v>23669.857411199999</v>
      </c>
      <c r="E16" s="73" ph="1">
        <f>E15*7.0686*LOOKUP(E17,密度!$A$2:$A$50,密度!$L$2:$L$50)</f>
        <v>41556.129753599991</v>
      </c>
      <c r="F16" s="73" ph="1">
        <f>F15*9.0746*LOOKUP(F17,密度!$A$2:$A$50,密度!$L$2:$L$50)</f>
        <v>35403.5173956</v>
      </c>
      <c r="G16" s="73" ph="1">
        <f>G15*9.0746*LOOKUP(G17,密度!$A$2:$A$50,密度!$B$2:$B$50)</f>
        <v>21144.834355200001</v>
      </c>
      <c r="H16" s="73" ph="1">
        <f>H15*9.0746*LOOKUP(H17,密度!$A$2:$A$50,密度!$L$2:$L$50)</f>
        <v>40552.572480000003</v>
      </c>
      <c r="I16" s="73" ph="1">
        <f>I15*9.0746*LOOKUP(I17,密度!$A$2:$A$50,密度!$U$2:$U$50)</f>
        <v>48714.412913600005</v>
      </c>
      <c r="J16" s="73" ph="1">
        <f>J15*9.0746*LOOKUP(J17,密度!$A$2:$A$50,密度!$L$2:$L$50)</f>
        <v>9418.6362351999996</v>
      </c>
      <c r="K16" s="73" ph="1">
        <f>K15*9.0746*LOOKUP(K17,密度!$A$2:$A$50,密度!$C$2:$C$50)</f>
        <v>41018.152092679993</v>
      </c>
      <c r="L16" s="73" ph="1">
        <f>L15*9.0746*LOOKUP(L17,密度!$A$2:$A$50,密度!$E$2:$E$50)</f>
        <v>36892.076666280002</v>
      </c>
      <c r="M16" s="73" ph="1">
        <f>M15*9.0746*LOOKUP(M17,密度!$A$2:$A$50,密度!$M$2:$M$50)</f>
        <v>53697.825694359999</v>
      </c>
      <c r="N16" s="73" ph="1">
        <f>N15*9.0746*LOOKUP(N17,密度!$A$2:$A$50,密度!$M$2:$M$50)</f>
        <v>30060.237739939999</v>
      </c>
      <c r="O16" s="73" ph="1">
        <f>O15*9.0746*LOOKUP(O17,密度!$A$2:$A$50,密度!$G$2:$G$50)</f>
        <v>31350.855483200001</v>
      </c>
      <c r="P16" s="73" ph="1">
        <f ca="1">P15*9.0746*LOOKUP(P17,密度!$A$2:$A$51,密度!$Q$2:$Q$50)</f>
        <v>44779.078319519998</v>
      </c>
      <c r="Q16" s="73" ph="1">
        <f>Q15*9.0746*LOOKUP(Q17,密度!$A$2:$A$50,密度!$Q$2:$Q$50)</f>
        <v>62271.611769276009</v>
      </c>
      <c r="R16" s="73" ph="1">
        <f>MAX(R15*9.0746*LOOKUP(R17,密度!$A$2:$A$50,密度!$B$2:$B$50),0)</f>
        <v>52340.692948019998</v>
      </c>
      <c r="S16" s="73" ph="1">
        <f>S15*9.0746*LOOKUP(S17,密度!$A$2:$A$50,密度!$Q$2:$Q$50)</f>
        <v>55350.618890760008</v>
      </c>
      <c r="T16" s="73" ph="1">
        <f>T15*9.0746*LOOKUP(T17,密度!$A$2:$A$50,密度!$O$2:$O$50)</f>
        <v>55202.080393200005</v>
      </c>
      <c r="U16" s="73" ph="1">
        <f>U15*9.0746*LOOKUP(U17,密度!$A$2:$A$50,密度!$H$2:$H$50)</f>
        <v>23984.324790579998</v>
      </c>
      <c r="V16" s="73" ph="1">
        <f>MAX(5600*LOOKUP(V17,密度!$A$2:$A$50,密度!$Q$2:$Q$50)+V15*9.0476*LOOKUP(V17,密度!$A$2:$A$50,密度!$Q$2:$Q$50),0)</f>
        <v>20191.217002776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9982.8397239999995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79.087861379999993</v>
      </c>
      <c r="AB16" s="73" ph="1">
        <f>AB15*9.0746*LOOKUP(AB17,密度!$A$2:$A$50,密度!$L$2:$L$50)</f>
        <v>59591.128653</v>
      </c>
      <c r="AC16" s="73" ph="1">
        <f>AC15*9.0746*LOOKUP(AC17,密度!$A$2:$A$50,密度!$L$2:$L$50)</f>
        <v>18455.077542200001</v>
      </c>
      <c r="AD16" s="73" ph="1">
        <f>AD15*268.68*LOOKUP(AD17,密度!$A$2:$A$50,密度!B2:B50)+IF(AD15&lt;=0,0,1566*LOOKUP(AD17,密度!$A$2:$A$50,密度!B2:B50))</f>
        <v>2320.5339719999997</v>
      </c>
      <c r="AE16" s="73" ph="1">
        <f>AE15*268.68*LOOKUP(AE17,密度!$A$2:$A$50,密度!B2:B50)+IF(AE15&lt;=0,0,1566*LOOKUP(AE17,密度!$A$2:$A$50,密度!B2:B50))</f>
        <v>11375.616349439999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15</v>
      </c>
      <c r="E17" s="74">
        <v>15</v>
      </c>
      <c r="F17" s="74">
        <v>21</v>
      </c>
      <c r="G17" s="74">
        <v>16</v>
      </c>
      <c r="H17" s="74">
        <v>12</v>
      </c>
      <c r="I17" s="74">
        <v>15</v>
      </c>
      <c r="J17" s="74">
        <v>15</v>
      </c>
      <c r="K17" s="74">
        <v>15</v>
      </c>
      <c r="L17" s="74">
        <v>18</v>
      </c>
      <c r="M17" s="74">
        <v>18</v>
      </c>
      <c r="N17" s="74">
        <v>17</v>
      </c>
      <c r="O17" s="74">
        <v>18</v>
      </c>
      <c r="P17" s="74">
        <v>17</v>
      </c>
      <c r="Q17" s="74">
        <v>15</v>
      </c>
      <c r="R17" s="74">
        <v>18</v>
      </c>
      <c r="S17" s="74">
        <v>15</v>
      </c>
      <c r="T17" s="74">
        <v>16</v>
      </c>
      <c r="U17" s="74">
        <v>12</v>
      </c>
      <c r="V17" s="74">
        <v>15</v>
      </c>
      <c r="W17" s="74">
        <v>15</v>
      </c>
      <c r="X17" s="74">
        <v>34</v>
      </c>
      <c r="Y17" s="108">
        <v>34</v>
      </c>
      <c r="Z17" s="74">
        <v>13</v>
      </c>
      <c r="AA17" s="74">
        <v>10</v>
      </c>
      <c r="AB17" s="74">
        <v>17</v>
      </c>
      <c r="AC17" s="74">
        <v>13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5214</v>
      </c>
      <c r="E18" s="71">
        <v>5489</v>
      </c>
      <c r="F18" s="71">
        <v>4146</v>
      </c>
      <c r="G18" s="71">
        <v>3037</v>
      </c>
      <c r="H18" s="71">
        <v>4709</v>
      </c>
      <c r="I18" s="71">
        <v>5225</v>
      </c>
      <c r="J18" s="71">
        <v>1180</v>
      </c>
      <c r="K18" s="71">
        <v>4053</v>
      </c>
      <c r="L18" s="71">
        <v>5143</v>
      </c>
      <c r="M18" s="71">
        <v>4293</v>
      </c>
      <c r="N18" s="71">
        <v>6059</v>
      </c>
      <c r="O18" s="71">
        <v>3572</v>
      </c>
      <c r="P18" s="71">
        <v>3442</v>
      </c>
      <c r="Q18" s="71">
        <v>7196</v>
      </c>
      <c r="R18" s="71">
        <v>7356</v>
      </c>
      <c r="S18" s="71">
        <v>6398</v>
      </c>
      <c r="T18" s="71">
        <v>5658</v>
      </c>
      <c r="U18" s="71">
        <v>2849</v>
      </c>
      <c r="V18" s="71">
        <v>2627</v>
      </c>
      <c r="W18" s="71">
        <v>-817</v>
      </c>
      <c r="X18" s="71">
        <v>450</v>
      </c>
      <c r="Y18" s="109">
        <v>-9900</v>
      </c>
      <c r="Z18" s="71">
        <v>0</v>
      </c>
      <c r="AA18" s="71">
        <v>10</v>
      </c>
      <c r="AB18" s="71">
        <v>6954</v>
      </c>
      <c r="AC18" s="71">
        <v>2143</v>
      </c>
      <c r="AD18" s="71">
        <v>19.95</v>
      </c>
      <c r="AE18" s="71">
        <v>84.27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54" t="s" ph="1">
        <v>178</v>
      </c>
      <c r="D19" s="73" ph="1">
        <f>D18*7.0686*LOOKUP(D20,密度!$A$2:$A$50,密度!$L$2:$L$50)</f>
        <v>34754.906617199995</v>
      </c>
      <c r="E19" s="73" ph="1">
        <f>E18*7.0686*LOOKUP(E20,密度!$A$2:$A$50,密度!$L$2:$L$50)</f>
        <v>36587.971312200003</v>
      </c>
      <c r="F19" s="73" ph="1">
        <f>F18*9.0746*LOOKUP(F20,密度!$A$2:$A$50,密度!$L$2:$L$50)</f>
        <v>35365.894103999999</v>
      </c>
      <c r="G19" s="73" ph="1">
        <f>G18*9.0746*LOOKUP(G20,密度!$A$2:$A$50,密度!$B$2:$B$50)</f>
        <v>21631.49880098</v>
      </c>
      <c r="H19" s="73" ph="1">
        <f>H18*9.0746*LOOKUP(H20,密度!$A$2:$A$50,密度!$L$2:$L$50)</f>
        <v>40467.479955800001</v>
      </c>
      <c r="I19" s="73" ph="1">
        <f>I18*9.0746*LOOKUP(I20,密度!$A$2:$A$50,密度!$U$2:$U$50)</f>
        <v>48742.398980000005</v>
      </c>
      <c r="J19" s="73" ph="1">
        <f>J18*9.0746*LOOKUP(J20,密度!$A$2:$A$50,密度!$L$2:$L$50)</f>
        <v>10076.254348</v>
      </c>
      <c r="K19" s="73" ph="1">
        <f>K18*9.0746*LOOKUP(K20,密度!$A$2:$A$50,密度!$C$2:$C$50)</f>
        <v>40968.522197819999</v>
      </c>
      <c r="L19" s="73" ph="1">
        <f>L18*9.0746*LOOKUP(L20,密度!$A$2:$A$50,密度!$E$2:$E$50)</f>
        <v>36832.491027759999</v>
      </c>
      <c r="M19" s="73" ph="1">
        <f>M18*9.0746*LOOKUP(M20,密度!$A$2:$A$50,密度!$M$2:$M$50)</f>
        <v>34204.472348399999</v>
      </c>
      <c r="N19" s="73" ph="1">
        <f>N18*9.0746*LOOKUP(N20,密度!$A$2:$A$50,密度!$M$2:$M$50)</f>
        <v>48401.536132419998</v>
      </c>
      <c r="O19" s="73" ph="1">
        <f>O18*9.0746*LOOKUP(O20,密度!$A$2:$A$50,密度!$G$2:$G$50)</f>
        <v>31309.137732079998</v>
      </c>
      <c r="P19" s="73" ph="1">
        <f ca="1">P18*9.0746*LOOKUP(P20,密度!$A$2:$A$51,密度!$Q$2:$Q$50)</f>
        <v>29663.351760308</v>
      </c>
      <c r="Q19" s="73" ph="1">
        <f>Q18*9.0746*LOOKUP(Q20,密度!$A$2:$A$50,密度!$Q$2:$Q$50)</f>
        <v>62116.100530568001</v>
      </c>
      <c r="R19" s="73" ph="1">
        <f>MAX(R18*9.0746*LOOKUP(R20,密度!$A$2:$A$50,密度!$B$2:$B$50),0)</f>
        <v>52220.68227048</v>
      </c>
      <c r="S19" s="73" ph="1">
        <f>S18*9.0746*LOOKUP(S20,密度!$A$2:$A$50,密度!$Q$2:$Q$50)</f>
        <v>55273.025434508003</v>
      </c>
      <c r="T19" s="73" ph="1">
        <f>T18*9.0746*LOOKUP(T20,密度!$A$2:$A$50,密度!$O$2:$O$50)</f>
        <v>47750.000724000005</v>
      </c>
      <c r="U19" s="73" ph="1">
        <f>U18*9.0746*LOOKUP(U20,密度!$A$2:$A$50,密度!$H$2:$H$50)</f>
        <v>23855.057113579998</v>
      </c>
      <c r="V19" s="73" ph="1">
        <f>MAX(5600*LOOKUP(V20,密度!$A$2:$A$50,密度!$Q$2:$Q$50)+V18*9.0476*LOOKUP(V20,密度!$A$2:$A$50,密度!$Q$2:$Q$50),0)</f>
        <v>27958.672710851999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9961.5625999999993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70.990595800000008</v>
      </c>
      <c r="AB19" s="73" ph="1">
        <f>AB18*9.0746*LOOKUP(AB20,密度!$A$2:$A$50,密度!$L$2:$L$50)</f>
        <v>59381.587064399995</v>
      </c>
      <c r="AC19" s="73" ph="1">
        <f>AC18*9.0746*LOOKUP(AC20,密度!$A$2:$A$50,密度!$L$2:$L$50)</f>
        <v>18338.396335400001</v>
      </c>
      <c r="AD19" s="73" ph="1">
        <f>AD18*268.68*LOOKUP(AD20,密度!$A$2:$A$50,密度!B5:B53)+IF(AD18&lt;=0,0,1566*LOOKUP(AD20,密度!$A$2:$A$50,密度!B5:B53))</f>
        <v>5381.6309820000006</v>
      </c>
      <c r="AE19" s="73" ph="1">
        <f>AE18*268.68*LOOKUP(AE20,密度!$A$2:$A$50,密度!B5:B53)+IF(AE18&lt;=0,0,1566*LOOKUP(AE20,密度!$A$2:$A$50,密度!B5:B53))</f>
        <v>18809.354617199999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22</v>
      </c>
      <c r="G20" s="81">
        <v>19</v>
      </c>
      <c r="H20" s="81">
        <v>15</v>
      </c>
      <c r="I20" s="81">
        <v>19</v>
      </c>
      <c r="J20" s="81">
        <v>21</v>
      </c>
      <c r="K20" s="81">
        <v>18</v>
      </c>
      <c r="L20" s="81">
        <v>20</v>
      </c>
      <c r="M20" s="81">
        <v>22</v>
      </c>
      <c r="N20" s="81">
        <v>20</v>
      </c>
      <c r="O20" s="81">
        <v>20</v>
      </c>
      <c r="P20" s="81">
        <v>21</v>
      </c>
      <c r="Q20" s="81">
        <v>19</v>
      </c>
      <c r="R20" s="81">
        <v>22</v>
      </c>
      <c r="S20" s="81">
        <v>18</v>
      </c>
      <c r="T20" s="81">
        <v>21</v>
      </c>
      <c r="U20" s="81">
        <v>17</v>
      </c>
      <c r="V20" s="81">
        <v>18</v>
      </c>
      <c r="W20" s="81">
        <v>18</v>
      </c>
      <c r="X20" s="81">
        <v>36</v>
      </c>
      <c r="Y20" s="110">
        <v>36</v>
      </c>
      <c r="Z20" s="81">
        <v>30</v>
      </c>
      <c r="AA20" s="81">
        <v>22</v>
      </c>
      <c r="AB20" s="81">
        <v>21</v>
      </c>
      <c r="AC20" s="81">
        <v>19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645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54" t="s" ph="1">
        <v>177</v>
      </c>
      <c r="D24" s="71">
        <v>46.32</v>
      </c>
      <c r="E24" s="71">
        <v>4.95</v>
      </c>
      <c r="F24" s="71">
        <v>2657</v>
      </c>
      <c r="G24" s="71">
        <v>3877</v>
      </c>
      <c r="H24" s="71">
        <v>2550</v>
      </c>
      <c r="I24" s="71">
        <v>68</v>
      </c>
      <c r="J24" s="71">
        <v>475</v>
      </c>
      <c r="K24" s="71">
        <v>3602</v>
      </c>
      <c r="L24" s="71">
        <v>5537</v>
      </c>
      <c r="M24" s="71">
        <v>4864</v>
      </c>
      <c r="N24" s="71">
        <v>1989</v>
      </c>
      <c r="O24" s="71">
        <v>5715</v>
      </c>
      <c r="P24" s="71">
        <v>651</v>
      </c>
      <c r="Q24" s="90">
        <v>2867</v>
      </c>
      <c r="R24" s="71">
        <v>3005</v>
      </c>
      <c r="S24" s="71">
        <v>235</v>
      </c>
      <c r="T24" s="71">
        <v>160</v>
      </c>
      <c r="U24" s="71">
        <v>4704</v>
      </c>
      <c r="V24" s="71">
        <v>17</v>
      </c>
      <c r="W24" s="71">
        <v>3753</v>
      </c>
      <c r="X24" s="71">
        <v>6430</v>
      </c>
      <c r="Y24" s="71">
        <v>4906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13265.018020224001</v>
      </c>
      <c r="E25" s="91" ph="1">
        <f>E24*268.68*LOOKUP(E26,密度!$A$2:$A$50,密度!$C$2:$C$50)+IF(E24&lt;=0,0,1566*LOOKUP(E26,密度!$A$2:$A$50,密度!$C$2:$C$50))</f>
        <v>3211.3366974</v>
      </c>
      <c r="F25" s="91" ph="1">
        <f>F24*11.702*LOOKUP(F26,密度!$A$2:$A$50,密度!$Q$2:$Q$50)</f>
        <v>29649.5352704</v>
      </c>
      <c r="G25" s="91" ph="1">
        <f>G24*18.322*LOOKUP(G26,密度!$A$2:$A$50,密度!$B$2:$B$50)</f>
        <v>55918.2749568</v>
      </c>
      <c r="H25" s="91" ph="1">
        <f>H24*18.322*LOOKUP(H26,密度!$A$2:$A$50,密度!$B$2:$B$50)</f>
        <v>36816.226800000004</v>
      </c>
      <c r="I25" s="91" ph="1">
        <f>I24*18.322*LOOKUP(I26,密度!$A$2:$A$50,密度!$Q$2:$Q$50)</f>
        <v>1189.2575678400001</v>
      </c>
      <c r="J25" s="91" ph="1">
        <f>J24*18.322*LOOKUP(J26,密度!$A$2:$A$50,密度!$Q$2:$Q$50)</f>
        <v>8307.3138929999986</v>
      </c>
      <c r="K25" s="91" ph="1">
        <f>K24*18.322*LOOKUP(K26,密度!$A$2:$A$50,密度!$Q$2:$Q$50)</f>
        <v>62880.840163199995</v>
      </c>
      <c r="L25" s="91" ph="1">
        <f>L24*18.322*LOOKUP(L26,密度!$A$2:$A$50,密度!$Q$2:$Q$50)</f>
        <v>96741.684390399983</v>
      </c>
      <c r="M25" s="91" ph="1">
        <f>M24*18.322*LOOKUP(M26,密度!$A$2:$A$50,密度!$Q$2:$Q$50)</f>
        <v>84983.123148800005</v>
      </c>
      <c r="N25" s="91" ph="1">
        <f>N24*18.322*LOOKUP(N26,密度!$A$2:$A$50,密度!$Q$2:$Q$50)</f>
        <v>34722.3739824</v>
      </c>
      <c r="O25" s="91" ph="1">
        <f>O24*18.322*LOOKUP(O26,密度!$A$2:$A$50,密度!$C$2:$C$50)</f>
        <v>116699.551335</v>
      </c>
      <c r="P25" s="91" ph="1">
        <f>P24*11.702*LOOKUP(P26,密度!$A$2:$A$50,密度!$B$2:$B$50)</f>
        <v>6002.9855760000009</v>
      </c>
      <c r="Q25" s="92" ph="1">
        <f>Q24*18.322*LOOKUP(Q26,密度!$A$2:$A$50,密度!$B$2:$B$50)</f>
        <v>41350.965772800002</v>
      </c>
      <c r="R25" s="91" ph="1">
        <f>R24*35.891*LOOKUP(R26,密度!$A$2:$A$50,密度!$C$2:$C$50)</f>
        <v>120277.057816</v>
      </c>
      <c r="S25" s="91" ph="1">
        <f>S24*35.891*LOOKUP(S26,密度!$A$2:$A$50,密度!$B$2:$B$50)</f>
        <v>6639.5478720000001</v>
      </c>
      <c r="T25" s="91" ph="1">
        <f>T24*35.891*LOOKUP(T26,密度!$A$2:$A$50,密度!$Q$2:$Q$50)</f>
        <v>5476.1052159999999</v>
      </c>
      <c r="U25" s="91" ph="1">
        <f>U24*35.891</f>
        <v>168831.264</v>
      </c>
      <c r="V25" s="91" ph="1">
        <f>V24*47.051*LOOKUP(V26,密度!$A$2:$A$50,密度!$B$2:$B$50)</f>
        <v>628.45550190000006</v>
      </c>
      <c r="W25" s="91" ph="1">
        <f>W24*47.051*LOOKUP(W26,密度!$A$2:$A$50,密度!$B$2:$B$50)</f>
        <v>138864.40171920002</v>
      </c>
      <c r="X25" s="91" ph="1">
        <f>X24*47.051*LOOKUP(X26,密度!$A$2:$A$61,密度!$I$2:$I$61)</f>
        <v>308558.43480699998</v>
      </c>
      <c r="Y25" s="91" ph="1">
        <f>Y24*47.051*LOOKUP(Y26,密度!$A$2:$A$50,密度!$L$2:$L$50)</f>
        <v>218136.43466999999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16</v>
      </c>
      <c r="G26" s="74">
        <v>16</v>
      </c>
      <c r="H26" s="74">
        <v>15</v>
      </c>
      <c r="I26" s="74">
        <v>15</v>
      </c>
      <c r="J26" s="74">
        <v>15</v>
      </c>
      <c r="K26" s="74">
        <v>17</v>
      </c>
      <c r="L26" s="74">
        <v>16</v>
      </c>
      <c r="M26" s="74">
        <v>16</v>
      </c>
      <c r="N26" s="74">
        <v>17</v>
      </c>
      <c r="O26" s="74">
        <v>17</v>
      </c>
      <c r="P26" s="74">
        <v>15</v>
      </c>
      <c r="Q26" s="93">
        <v>16</v>
      </c>
      <c r="R26" s="74">
        <v>16</v>
      </c>
      <c r="S26" s="74">
        <v>16</v>
      </c>
      <c r="T26" s="74">
        <v>16</v>
      </c>
      <c r="U26" s="74">
        <v>17</v>
      </c>
      <c r="V26" s="74">
        <v>18</v>
      </c>
      <c r="W26" s="74">
        <v>17</v>
      </c>
      <c r="X26" s="74">
        <v>45</v>
      </c>
      <c r="Y26" s="74">
        <v>17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54" t="s" ph="1">
        <v>180</v>
      </c>
      <c r="D27" s="71">
        <v>24.78</v>
      </c>
      <c r="E27" s="71">
        <v>4.91</v>
      </c>
      <c r="F27" s="71">
        <v>1423</v>
      </c>
      <c r="G27" s="71">
        <v>3387</v>
      </c>
      <c r="H27" s="71">
        <v>2118</v>
      </c>
      <c r="I27" s="71">
        <v>64</v>
      </c>
      <c r="J27" s="71">
        <v>469</v>
      </c>
      <c r="K27" s="71">
        <v>3599</v>
      </c>
      <c r="L27" s="71">
        <v>5533</v>
      </c>
      <c r="M27" s="71">
        <v>4863</v>
      </c>
      <c r="N27" s="71">
        <v>1310</v>
      </c>
      <c r="O27" s="71">
        <v>5712</v>
      </c>
      <c r="P27" s="71">
        <v>647</v>
      </c>
      <c r="Q27" s="90">
        <v>3186</v>
      </c>
      <c r="R27" s="71">
        <v>2492</v>
      </c>
      <c r="S27" s="71">
        <v>231</v>
      </c>
      <c r="T27" s="71">
        <v>158</v>
      </c>
      <c r="U27" s="71">
        <v>4615</v>
      </c>
      <c r="V27" s="71">
        <v>937</v>
      </c>
      <c r="W27" s="71">
        <v>3444</v>
      </c>
      <c r="X27" s="71">
        <v>6661</v>
      </c>
      <c r="Y27" s="71">
        <v>3772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54" t="s" ph="1">
        <v>178</v>
      </c>
      <c r="D28" s="91" ph="1">
        <f>D27*268.68*LOOKUP(D29,密度!$A$2:$A$50,密度!$Q$2:$Q$50)+IF(D27&lt;=0,0,1566*LOOKUP(D29,密度!$A$2:$A$50,密度!$Q$2:$Q$50))</f>
        <v>7785.8859972959999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15825.676439479999</v>
      </c>
      <c r="G28" s="91" ph="1">
        <f>G27*18.322*LOOKUP(G29,密度!$A$2:$A$50,密度!$B$2:$B$50)</f>
        <v>48708.236328599996</v>
      </c>
      <c r="H28" s="91" ph="1">
        <f>H27*18.322*LOOKUP(H29,密度!$A$2:$A$50,密度!$B$2:$B$50)</f>
        <v>30458.826260400001</v>
      </c>
      <c r="I28" s="91" ph="1">
        <f>I27*18.322*LOOKUP(I29,密度!$A$2:$A$50,密度!$Q$2:$Q$50)</f>
        <v>1113.6140915200001</v>
      </c>
      <c r="J28" s="91" ph="1">
        <f>J27*18.322*LOOKUP(J29,密度!$A$2:$A$50,密度!$Q$2:$Q$50)</f>
        <v>8166.6324468399998</v>
      </c>
      <c r="K28" s="91" ph="1">
        <f>K27*18.322*LOOKUP(K29,密度!$A$2:$A$50,密度!$Q$2:$Q$50)</f>
        <v>62623.392427819999</v>
      </c>
      <c r="L28" s="91" ph="1">
        <f>L27*18.322*LOOKUP(L29,密度!$A$2:$A$50,密度!$Q$2:$Q$50)</f>
        <v>96345.367437879991</v>
      </c>
      <c r="M28" s="91" ph="1">
        <f>M27*18.322*LOOKUP(M29,密度!$A$2:$A$50,密度!$Q$2:$Q$50)</f>
        <v>84678.749656679996</v>
      </c>
      <c r="N28" s="91" ph="1">
        <f>N27*18.322*LOOKUP(N29,密度!$A$2:$A$50,密度!$Q$2:$Q$50)</f>
        <v>22831.251238600002</v>
      </c>
      <c r="O28" s="91" ph="1">
        <f>O27*18.322*LOOKUP(O29,密度!$A$2:$A$50,密度!$C$2:$C$50)</f>
        <v>116502.23988479999</v>
      </c>
      <c r="P28" s="91" ph="1">
        <f>P27*11.702*LOOKUP(P29,密度!$A$2:$A$50,密度!$B$2:$B$50)</f>
        <v>5948.6871258000001</v>
      </c>
      <c r="Q28" s="92" ph="1">
        <f>Q27*18.322*LOOKUP(Q29,密度!$A$2:$A$50,密度!$B$2:$B$50)</f>
        <v>45864.366944399997</v>
      </c>
      <c r="R28" s="91" ph="1">
        <f>R27*35.891*LOOKUP(R29,密度!$A$2:$A$50,密度!$C$2:$C$50)</f>
        <v>99565.022110399979</v>
      </c>
      <c r="S28" s="91" ph="1">
        <f>S27*35.891*LOOKUP(S29,密度!$A$2:$A$50,密度!$B$2:$B$50)</f>
        <v>6500.8327460999999</v>
      </c>
      <c r="T28" s="91" ph="1">
        <f>T27*35.891*LOOKUP(T29,密度!$A$2:$A$50,密度!$Q$2:$Q$50)</f>
        <v>5385.48115882</v>
      </c>
      <c r="U28" s="91" ph="1">
        <f>U27*35.891</f>
        <v>165636.965</v>
      </c>
      <c r="V28" s="91" ph="1">
        <f>V27*47.051*LOOKUP(V29,密度!$A$2:$A$50,密度!$B$2:$B$50)</f>
        <v>34603.719116300002</v>
      </c>
      <c r="W28" s="91" ph="1">
        <f>W27*47.051*LOOKUP(W29,密度!$A$2:$A$50,密度!$B$2:$B$50)</f>
        <v>127058.42126040001</v>
      </c>
      <c r="X28" s="91" ph="1">
        <f>X27*47.051*LOOKUP(X29,密度!$A$2:$A$61,密度!$I$2:$I$61)</f>
        <v>318954.0097847</v>
      </c>
      <c r="Y28" s="91" ph="1">
        <f>Y27*47.051*LOOKUP(Y29,密度!$A$2:$A$50,密度!$L$2:$L$50)</f>
        <v>167360.218796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54" t="s" ph="1">
        <v>179</v>
      </c>
      <c r="D29" s="74">
        <v>25</v>
      </c>
      <c r="E29" s="74">
        <v>25</v>
      </c>
      <c r="F29" s="74">
        <v>20</v>
      </c>
      <c r="G29" s="74">
        <v>19</v>
      </c>
      <c r="H29" s="74">
        <v>19</v>
      </c>
      <c r="I29" s="74">
        <v>21</v>
      </c>
      <c r="J29" s="74">
        <v>20</v>
      </c>
      <c r="K29" s="74">
        <v>21</v>
      </c>
      <c r="L29" s="74">
        <v>20</v>
      </c>
      <c r="M29" s="74">
        <v>20</v>
      </c>
      <c r="N29" s="74">
        <v>19</v>
      </c>
      <c r="O29" s="74">
        <v>19</v>
      </c>
      <c r="P29" s="74">
        <v>18</v>
      </c>
      <c r="Q29" s="93">
        <v>18</v>
      </c>
      <c r="R29" s="74">
        <v>19</v>
      </c>
      <c r="S29" s="74">
        <v>20</v>
      </c>
      <c r="T29" s="74">
        <v>21</v>
      </c>
      <c r="U29" s="74">
        <v>19</v>
      </c>
      <c r="V29" s="74">
        <v>19</v>
      </c>
      <c r="W29" s="74">
        <v>20</v>
      </c>
      <c r="X29" s="74">
        <v>47</v>
      </c>
      <c r="Y29" s="74">
        <v>19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54" t="s" ph="1">
        <v>5</v>
      </c>
      <c r="F32" s="155" t="s" ph="1">
        <v>43</v>
      </c>
      <c r="G32" s="97" t="s" ph="1">
        <v>4</v>
      </c>
      <c r="H32" s="154" t="s" ph="1">
        <v>5</v>
      </c>
      <c r="I32" s="155" t="s" ph="1">
        <v>43</v>
      </c>
      <c r="J32" s="97" t="s" ph="1">
        <v>4</v>
      </c>
      <c r="K32" s="154" t="s" ph="1">
        <v>5</v>
      </c>
      <c r="L32" s="155" t="s" ph="1">
        <v>43</v>
      </c>
      <c r="M32" s="97" t="s" ph="1">
        <v>4</v>
      </c>
      <c r="N32" s="154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4" t="s" ph="1">
        <v>5</v>
      </c>
      <c r="U32" s="99" t="s" ph="1">
        <v>43</v>
      </c>
      <c r="V32" s="97" t="s" ph="1">
        <v>4</v>
      </c>
      <c r="W32" s="154" t="s" ph="1">
        <v>5</v>
      </c>
      <c r="X32" s="99" t="s" ph="1">
        <v>43</v>
      </c>
      <c r="Y32" s="100" t="s" ph="1">
        <v>4</v>
      </c>
      <c r="Z32" s="154" t="s" ph="1">
        <v>5</v>
      </c>
      <c r="AA32" s="155" t="s" ph="1">
        <v>43</v>
      </c>
      <c r="AB32" s="97" t="s" ph="1">
        <v>85</v>
      </c>
      <c r="AC32" s="15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151740.5643998</v>
      </c>
      <c r="E33" s="213" ph="1">
        <f>M10+I10</f>
        <v>47471.1593306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7" ph="1">
        <f>N19</f>
        <v>48401.536132419998</v>
      </c>
      <c r="H33" s="213" ph="1">
        <f>M19</f>
        <v>34204.472348399999</v>
      </c>
      <c r="I33" s="226" ph="1">
        <v>0</v>
      </c>
      <c r="J33" s="224" ph="1">
        <f>F10+O28</f>
        <v>206702.44397129997</v>
      </c>
      <c r="K33" s="213" ph="1">
        <f>O10+K10+E28+R28</f>
        <v>179948.98104812001</v>
      </c>
      <c r="L33" s="228" ph="1">
        <f>K19</f>
        <v>40968.522197819999</v>
      </c>
      <c r="M33" s="224" ph="1">
        <f>G10+H10+W28+S28+V28+E10+R19+P28+Q28</f>
        <v>809098.66259948001</v>
      </c>
      <c r="N33" s="213" ph="1">
        <f>L10+P10++G28+H28+AD19+AE19</f>
        <v>221251.5909402</v>
      </c>
      <c r="O33" s="226" ph="1">
        <f>G19</f>
        <v>21631.49880098</v>
      </c>
      <c r="P33" s="224" ph="1">
        <f>L19</f>
        <v>36832.491027759999</v>
      </c>
      <c r="Q33" s="213" ph="1">
        <f>J10+N10</f>
        <v>144868.44425209999</v>
      </c>
      <c r="R33" s="226" ph="1">
        <f>BE23</f>
        <v>890</v>
      </c>
      <c r="S33" s="224" ph="1">
        <f>X28</f>
        <v>318954.0097847</v>
      </c>
      <c r="T33" s="213" ph="1">
        <f>X19</f>
        <v>9961.5625999999993</v>
      </c>
      <c r="U33" s="234" ph="1">
        <f>BE21</f>
        <v>730</v>
      </c>
      <c r="V33" s="245" ph="1">
        <f ca="1">P19+Q19+S19+M28+N28+J28+D10+AC10+D19+E19+H19+J19+O19+V19+W19+K28+L28</f>
        <v>1278443.5774413161</v>
      </c>
      <c r="W33" s="245" ph="1">
        <f>D28+F28+T28+I28</f>
        <v>30110.657687116</v>
      </c>
      <c r="X33" s="226" ph="1">
        <f>BE29+BE31</f>
        <v>10200</v>
      </c>
      <c r="Y33" s="247" ph="1">
        <f>+Q10+R10+S10+T10+U10+V10+W10+X10+Y10</f>
        <v>266566.03156259999</v>
      </c>
      <c r="Z33" s="232" ph="1">
        <f>T19+U19+Y28+Z10</f>
        <v>453272.77104957995</v>
      </c>
      <c r="AA33" s="234" ph="1">
        <f>BE19</f>
        <v>1440</v>
      </c>
      <c r="AB33" s="236" ph="1">
        <f>I19</f>
        <v>48742.398980000005</v>
      </c>
      <c r="AC33" s="238" ph="1">
        <f>AD10+AB19</f>
        <v>153512.1768244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56" t="s" ph="1">
        <v>185</v>
      </c>
      <c r="AA36" s="15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5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6" t="s" ph="1">
        <v>342</v>
      </c>
      <c r="AI37" s="156" t="s" ph="1">
        <v>209</v>
      </c>
      <c r="AJ37" s="156" t="s" ph="1">
        <v>210</v>
      </c>
      <c r="AK37" s="156" t="s" ph="1">
        <v>211</v>
      </c>
      <c r="AM37" s="156" t="s" ph="1">
        <v>210</v>
      </c>
      <c r="AN37" s="156" t="s" ph="1">
        <v>211</v>
      </c>
      <c r="AO37" s="156" t="s" ph="1">
        <v>212</v>
      </c>
      <c r="AP37" s="156" t="s" ph="1">
        <v>210</v>
      </c>
      <c r="AQ37" s="156" t="s" ph="1">
        <v>211</v>
      </c>
      <c r="AR37" s="156" t="s" ph="1">
        <v>212</v>
      </c>
      <c r="AS37" s="156" t="s" ph="1">
        <v>210</v>
      </c>
      <c r="AT37" s="156" t="s" ph="1">
        <v>211</v>
      </c>
      <c r="AU37" s="156" t="s" ph="1">
        <v>212</v>
      </c>
      <c r="AV37" s="156" t="s" ph="1">
        <v>210</v>
      </c>
      <c r="AW37" s="156" t="s" ph="1">
        <v>211</v>
      </c>
      <c r="AX37" s="156" t="s" ph="1">
        <v>212</v>
      </c>
      <c r="AY37" s="156" t="s" ph="1">
        <v>211</v>
      </c>
      <c r="AZ37" s="156" t="s" ph="1">
        <v>213</v>
      </c>
      <c r="BD37" s="156" t="s" ph="1">
        <v>305</v>
      </c>
      <c r="BE37" s="15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689" priority="100">
      <formula>ABS(D$7-D$10)&gt;=1000</formula>
    </cfRule>
  </conditionalFormatting>
  <conditionalFormatting sqref="E4 E6:E11">
    <cfRule type="expression" dxfId="1688" priority="99">
      <formula>ABS(E$7-E$10)&gt;=1000</formula>
    </cfRule>
  </conditionalFormatting>
  <conditionalFormatting sqref="F4:F11">
    <cfRule type="expression" dxfId="1687" priority="98">
      <formula>ABS(F$7-F$10)&gt;=1000</formula>
    </cfRule>
  </conditionalFormatting>
  <conditionalFormatting sqref="G4:G11">
    <cfRule type="expression" dxfId="1686" priority="97">
      <formula>ABS(G$7-G$10)&gt;=1000</formula>
    </cfRule>
  </conditionalFormatting>
  <conditionalFormatting sqref="H4:H11">
    <cfRule type="expression" dxfId="1685" priority="96">
      <formula>ABS(H$7-H$10)&gt;=1000</formula>
    </cfRule>
  </conditionalFormatting>
  <conditionalFormatting sqref="I4:I11">
    <cfRule type="expression" dxfId="1684" priority="95">
      <formula>ABS(I$7-I$10)&gt;=1000</formula>
    </cfRule>
  </conditionalFormatting>
  <conditionalFormatting sqref="J4:J11">
    <cfRule type="expression" dxfId="1683" priority="94">
      <formula>ABS(J$7-J$10)&gt;=1000</formula>
    </cfRule>
  </conditionalFormatting>
  <conditionalFormatting sqref="K4:K11">
    <cfRule type="expression" dxfId="1682" priority="93">
      <formula>ABS(K$7-K$10)&gt;=1000</formula>
    </cfRule>
  </conditionalFormatting>
  <conditionalFormatting sqref="L4:L11">
    <cfRule type="expression" dxfId="1681" priority="92">
      <formula>ABS(L$7-L$10)&gt;=1000</formula>
    </cfRule>
  </conditionalFormatting>
  <conditionalFormatting sqref="M4 M6:M11">
    <cfRule type="expression" dxfId="1680" priority="91">
      <formula>ABS(M$7-M$10)&gt;=1000</formula>
    </cfRule>
  </conditionalFormatting>
  <conditionalFormatting sqref="N4 N6:N11">
    <cfRule type="expression" dxfId="1679" priority="90">
      <formula>ABS(N$7-N$10)&gt;=1000</formula>
    </cfRule>
  </conditionalFormatting>
  <conditionalFormatting sqref="O4 O6:O11">
    <cfRule type="expression" dxfId="1678" priority="89">
      <formula>ABS(O$7-O$10)&gt;=1000</formula>
    </cfRule>
  </conditionalFormatting>
  <conditionalFormatting sqref="P4 P6:P11">
    <cfRule type="expression" dxfId="1677" priority="88">
      <formula>ABS(P$7-P$10)&gt;=1000</formula>
    </cfRule>
  </conditionalFormatting>
  <conditionalFormatting sqref="Q4:Q11">
    <cfRule type="expression" dxfId="1676" priority="87">
      <formula>ABS(Q$7-Q$10)&gt;=1000</formula>
    </cfRule>
  </conditionalFormatting>
  <conditionalFormatting sqref="R4:R11">
    <cfRule type="expression" dxfId="1675" priority="86">
      <formula>ABS(R$7-R$10)&gt;=1000</formula>
    </cfRule>
  </conditionalFormatting>
  <conditionalFormatting sqref="S4:S11">
    <cfRule type="expression" dxfId="1674" priority="85">
      <formula>ABS(S$7-S$10)&gt;=1000</formula>
    </cfRule>
  </conditionalFormatting>
  <conditionalFormatting sqref="T4:T9 T11">
    <cfRule type="expression" dxfId="1673" priority="84">
      <formula>ABS(T$7-T$10)&gt;=1000</formula>
    </cfRule>
  </conditionalFormatting>
  <conditionalFormatting sqref="U4:U9 U11">
    <cfRule type="expression" dxfId="1672" priority="83">
      <formula>ABS(U$7-U$10)&gt;=1000</formula>
    </cfRule>
  </conditionalFormatting>
  <conditionalFormatting sqref="V4:V9 V11">
    <cfRule type="expression" dxfId="1671" priority="82">
      <formula>ABS(V$7-V$10)&gt;=1000</formula>
    </cfRule>
  </conditionalFormatting>
  <conditionalFormatting sqref="W4:W9 W11">
    <cfRule type="expression" dxfId="1670" priority="81">
      <formula>ABS(W$7-W$10)&gt;=1000</formula>
    </cfRule>
  </conditionalFormatting>
  <conditionalFormatting sqref="X4:X9 X11">
    <cfRule type="expression" dxfId="1669" priority="80">
      <formula>ABS(X$7-X$10)&gt;=1000</formula>
    </cfRule>
  </conditionalFormatting>
  <conditionalFormatting sqref="Y4:Y9 Y11">
    <cfRule type="expression" dxfId="1668" priority="79">
      <formula>ABS(Y$7-Y$10)&gt;=1000</formula>
    </cfRule>
  </conditionalFormatting>
  <conditionalFormatting sqref="Z4:Z11">
    <cfRule type="expression" dxfId="1667" priority="78">
      <formula>ABS(Z$7-Z$10)&gt;=1000</formula>
    </cfRule>
  </conditionalFormatting>
  <conditionalFormatting sqref="AA4:AA11">
    <cfRule type="expression" dxfId="1666" priority="77">
      <formula>ABS(AA$7-AA$10)&gt;=1000</formula>
    </cfRule>
  </conditionalFormatting>
  <conditionalFormatting sqref="AB4:AB11">
    <cfRule type="expression" dxfId="1665" priority="76">
      <formula>ABS(AB$7-AB$10)&gt;=1000</formula>
    </cfRule>
  </conditionalFormatting>
  <conditionalFormatting sqref="AC4 AC6:AC11">
    <cfRule type="expression" dxfId="1664" priority="75">
      <formula>ABS(AC$7-AC$10)&gt;=1000</formula>
    </cfRule>
  </conditionalFormatting>
  <conditionalFormatting sqref="AD4 AD6:AD11">
    <cfRule type="expression" dxfId="1663" priority="74">
      <formula>ABS(AD$7-AD$10)&gt;=1000</formula>
    </cfRule>
  </conditionalFormatting>
  <conditionalFormatting sqref="AE4 AE6:AE11">
    <cfRule type="expression" dxfId="1662" priority="73">
      <formula>ABS(AE$7-AE$10)&gt;=1000</formula>
    </cfRule>
  </conditionalFormatting>
  <conditionalFormatting sqref="D13:D20">
    <cfRule type="expression" dxfId="1661" priority="72">
      <formula>ABS(D$16-D$19)&gt;=1000</formula>
    </cfRule>
  </conditionalFormatting>
  <conditionalFormatting sqref="E13:E20">
    <cfRule type="expression" dxfId="1660" priority="71">
      <formula>ABS(E$16-E$19)&gt;=1000</formula>
    </cfRule>
  </conditionalFormatting>
  <conditionalFormatting sqref="F13 F15:F20">
    <cfRule type="expression" dxfId="1659" priority="70">
      <formula>ABS(F$16-F$19)&gt;=1000</formula>
    </cfRule>
  </conditionalFormatting>
  <conditionalFormatting sqref="G13:G20">
    <cfRule type="expression" dxfId="1658" priority="69">
      <formula>ABS(G$16-G$19)&gt;=1000</formula>
    </cfRule>
  </conditionalFormatting>
  <conditionalFormatting sqref="H13 H15:H20">
    <cfRule type="expression" dxfId="1657" priority="68">
      <formula>ABS(H$16-H$19)&gt;=1000</formula>
    </cfRule>
  </conditionalFormatting>
  <conditionalFormatting sqref="I13:I20">
    <cfRule type="expression" dxfId="1656" priority="67">
      <formula>ABS(I$16-I$19)&gt;=1000</formula>
    </cfRule>
  </conditionalFormatting>
  <conditionalFormatting sqref="J13:J20">
    <cfRule type="expression" dxfId="1655" priority="66">
      <formula>ABS(J$16-J$19)&gt;=1000</formula>
    </cfRule>
  </conditionalFormatting>
  <conditionalFormatting sqref="L13:L20">
    <cfRule type="expression" dxfId="1654" priority="65">
      <formula>ABS(L$16-L$19)&gt;=1000</formula>
    </cfRule>
  </conditionalFormatting>
  <conditionalFormatting sqref="M13 M15 M17:M18 M20">
    <cfRule type="expression" dxfId="1653" priority="64">
      <formula>ABS(M$16-M$19)&gt;=1000</formula>
    </cfRule>
  </conditionalFormatting>
  <conditionalFormatting sqref="N13:N20">
    <cfRule type="expression" dxfId="1652" priority="63">
      <formula>ABS(N$16-N$19)&gt;=1000</formula>
    </cfRule>
  </conditionalFormatting>
  <conditionalFormatting sqref="O13:O20">
    <cfRule type="expression" dxfId="1651" priority="62">
      <formula>ABS(O$16-O$19)&gt;=1000</formula>
    </cfRule>
  </conditionalFormatting>
  <conditionalFormatting sqref="P13:P20">
    <cfRule type="expression" dxfId="1650" priority="61">
      <formula>ABS(P$16-P$19)&gt;=1000</formula>
    </cfRule>
  </conditionalFormatting>
  <conditionalFormatting sqref="Q13 Q15:Q20">
    <cfRule type="expression" dxfId="1649" priority="60">
      <formula>ABS(Q$16-Q$19)&gt;=1000</formula>
    </cfRule>
  </conditionalFormatting>
  <conditionalFormatting sqref="R13:R20">
    <cfRule type="expression" dxfId="1648" priority="59">
      <formula>ABS(R$16-R$19)&gt;=1000</formula>
    </cfRule>
  </conditionalFormatting>
  <conditionalFormatting sqref="S13:S20">
    <cfRule type="expression" dxfId="1647" priority="58">
      <formula>ABS(S$16-S$19)&gt;=1000</formula>
    </cfRule>
  </conditionalFormatting>
  <conditionalFormatting sqref="T13:T20">
    <cfRule type="expression" dxfId="1646" priority="57">
      <formula>ABS(T$16-T$19)&gt;=1000</formula>
    </cfRule>
  </conditionalFormatting>
  <conditionalFormatting sqref="U13:U20">
    <cfRule type="expression" dxfId="1645" priority="56">
      <formula>ABS(U$16-U$19)&gt;=1000</formula>
    </cfRule>
  </conditionalFormatting>
  <conditionalFormatting sqref="V13:V20">
    <cfRule type="expression" dxfId="1644" priority="55">
      <formula>ABS(V$16-V$19)&gt;=1000</formula>
    </cfRule>
  </conditionalFormatting>
  <conditionalFormatting sqref="W13 W20 W15:W18">
    <cfRule type="expression" dxfId="1643" priority="54">
      <formula>ABS(W$16-W$19)&gt;=1000</formula>
    </cfRule>
  </conditionalFormatting>
  <conditionalFormatting sqref="X13 X15:X20 Y19">
    <cfRule type="expression" dxfId="1642" priority="53">
      <formula>ABS(X$16-X$19)&gt;=1000</formula>
    </cfRule>
  </conditionalFormatting>
  <conditionalFormatting sqref="Y13 Y15:Y18 Y20">
    <cfRule type="expression" dxfId="1641" priority="52">
      <formula>ABS(Y$16-Y$19)&gt;=1000</formula>
    </cfRule>
  </conditionalFormatting>
  <conditionalFormatting sqref="Z13:Z20">
    <cfRule type="expression" dxfId="1640" priority="51">
      <formula>ABS(Z$16-Z$19)&gt;=1000</formula>
    </cfRule>
  </conditionalFormatting>
  <conditionalFormatting sqref="AA13:AA20">
    <cfRule type="expression" dxfId="1639" priority="50">
      <formula>ABS(AA$16-AA$19)&gt;=1000</formula>
    </cfRule>
  </conditionalFormatting>
  <conditionalFormatting sqref="AB13 AB15:AB20">
    <cfRule type="expression" dxfId="1638" priority="49">
      <formula>ABS(AB$16-AB$19)&gt;=1000</formula>
    </cfRule>
  </conditionalFormatting>
  <conditionalFormatting sqref="AC13 AC15:AC20">
    <cfRule type="expression" dxfId="1637" priority="48">
      <formula>ABS(AC$16-AC$19)&gt;=1000</formula>
    </cfRule>
  </conditionalFormatting>
  <conditionalFormatting sqref="AD13:AD20">
    <cfRule type="expression" dxfId="1636" priority="47">
      <formula>ABS(AD$16-AD$19)&gt;=1000</formula>
    </cfRule>
  </conditionalFormatting>
  <conditionalFormatting sqref="AE13:AE20">
    <cfRule type="expression" dxfId="1635" priority="46">
      <formula>ABS(AE$16-AE$19)&gt;=1000</formula>
    </cfRule>
  </conditionalFormatting>
  <conditionalFormatting sqref="D22:D29">
    <cfRule type="expression" dxfId="1634" priority="45">
      <formula>ABS(D$25-D$28)&gt;=1000</formula>
    </cfRule>
  </conditionalFormatting>
  <conditionalFormatting sqref="E22:E29">
    <cfRule type="expression" dxfId="1633" priority="44">
      <formula>ABS(E$25-E$28)&gt;=1000</formula>
    </cfRule>
  </conditionalFormatting>
  <conditionalFormatting sqref="F22:F29">
    <cfRule type="expression" dxfId="1632" priority="43">
      <formula>ABS(F$25-F$28)&gt;=1000</formula>
    </cfRule>
  </conditionalFormatting>
  <conditionalFormatting sqref="G22:G29">
    <cfRule type="expression" dxfId="1631" priority="42">
      <formula>ABS(G$25-G$28)&gt;=1000</formula>
    </cfRule>
  </conditionalFormatting>
  <conditionalFormatting sqref="H22:H29">
    <cfRule type="expression" dxfId="1630" priority="41">
      <formula>ABS(H$25-H$28)&gt;=1000</formula>
    </cfRule>
  </conditionalFormatting>
  <conditionalFormatting sqref="I22 I24:I29">
    <cfRule type="expression" dxfId="1629" priority="40">
      <formula>ABS(I$25-I$28)&gt;=1000</formula>
    </cfRule>
  </conditionalFormatting>
  <conditionalFormatting sqref="J22:J29 K22">
    <cfRule type="expression" dxfId="1628" priority="39">
      <formula>ABS(J$25-J$28)&gt;=1000</formula>
    </cfRule>
  </conditionalFormatting>
  <conditionalFormatting sqref="K23:K29 L25 L28">
    <cfRule type="expression" dxfId="1627" priority="38">
      <formula>ABS(K$25-K$28)&gt;=1000</formula>
    </cfRule>
  </conditionalFormatting>
  <conditionalFormatting sqref="L22 L26:L27 L29 L24">
    <cfRule type="expression" dxfId="1626" priority="37">
      <formula>ABS(L$25-L$28)&gt;=1000</formula>
    </cfRule>
  </conditionalFormatting>
  <conditionalFormatting sqref="M22:M29">
    <cfRule type="expression" dxfId="1625" priority="36">
      <formula>ABS(M$25-M$28)&gt;=1000</formula>
    </cfRule>
  </conditionalFormatting>
  <conditionalFormatting sqref="N22:N29">
    <cfRule type="expression" dxfId="1624" priority="35">
      <formula>ABS(N$25-N$28)&gt;=1000</formula>
    </cfRule>
  </conditionalFormatting>
  <conditionalFormatting sqref="O22:O29">
    <cfRule type="expression" dxfId="1623" priority="34">
      <formula>ABS(O$25-O$28)&gt;=1000</formula>
    </cfRule>
  </conditionalFormatting>
  <conditionalFormatting sqref="P22:P29">
    <cfRule type="expression" dxfId="1622" priority="33">
      <formula>ABS(P$25-P$28)&gt;=1000</formula>
    </cfRule>
  </conditionalFormatting>
  <conditionalFormatting sqref="Q22:Q29">
    <cfRule type="expression" dxfId="1621" priority="32">
      <formula>ABS(Q$25-Q$28)&gt;=1000</formula>
    </cfRule>
  </conditionalFormatting>
  <conditionalFormatting sqref="R22:R29">
    <cfRule type="expression" dxfId="1620" priority="31">
      <formula>ABS(R$25-R$28)&gt;=1000</formula>
    </cfRule>
  </conditionalFormatting>
  <conditionalFormatting sqref="S22:S29">
    <cfRule type="expression" dxfId="1619" priority="30">
      <formula>ABS(S$25-S$28)&gt;=1000</formula>
    </cfRule>
  </conditionalFormatting>
  <conditionalFormatting sqref="T22:T29">
    <cfRule type="expression" dxfId="1618" priority="29">
      <formula>ABS(T$25-T$28)&gt;=1000</formula>
    </cfRule>
  </conditionalFormatting>
  <conditionalFormatting sqref="U22:U29">
    <cfRule type="expression" dxfId="1617" priority="28">
      <formula>ABS(U$25-U$28)&gt;=1000</formula>
    </cfRule>
  </conditionalFormatting>
  <conditionalFormatting sqref="V22:V29">
    <cfRule type="expression" dxfId="1616" priority="27">
      <formula>ABS(V$25-V$28)&gt;=1000</formula>
    </cfRule>
  </conditionalFormatting>
  <conditionalFormatting sqref="W22:W29">
    <cfRule type="expression" dxfId="1615" priority="26">
      <formula>ABS(W$25-W$28)&gt;=1000</formula>
    </cfRule>
  </conditionalFormatting>
  <conditionalFormatting sqref="X22:X29">
    <cfRule type="expression" dxfId="1614" priority="25">
      <formula>ABS(X$25-X$28)&gt;=1000</formula>
    </cfRule>
  </conditionalFormatting>
  <conditionalFormatting sqref="Y22:Y29">
    <cfRule type="expression" dxfId="1613" priority="24">
      <formula>ABS(Y$25-Y$28)&gt;=1000</formula>
    </cfRule>
  </conditionalFormatting>
  <conditionalFormatting sqref="I23">
    <cfRule type="expression" dxfId="1612" priority="23">
      <formula>ABS(I$25-I$28)&gt;=1000</formula>
    </cfRule>
  </conditionalFormatting>
  <conditionalFormatting sqref="Q14">
    <cfRule type="expression" dxfId="1611" priority="22">
      <formula>ABS(Q$16-Q$19)&gt;=1000</formula>
    </cfRule>
  </conditionalFormatting>
  <conditionalFormatting sqref="W14">
    <cfRule type="expression" dxfId="1610" priority="21">
      <formula>ABS(W$16-W$19)&gt;=1000</formula>
    </cfRule>
  </conditionalFormatting>
  <conditionalFormatting sqref="X14">
    <cfRule type="expression" dxfId="1609" priority="20">
      <formula>ABS(X$16-X$19)&gt;=1000</formula>
    </cfRule>
  </conditionalFormatting>
  <conditionalFormatting sqref="T10:Y10">
    <cfRule type="expression" dxfId="1608" priority="19">
      <formula>ABS(T$7-T$10)&gt;=1000</formula>
    </cfRule>
  </conditionalFormatting>
  <conditionalFormatting sqref="W19">
    <cfRule type="expression" dxfId="1607" priority="18">
      <formula>ABS(W$16-W$19)&gt;=1000</formula>
    </cfRule>
  </conditionalFormatting>
  <conditionalFormatting sqref="AC5">
    <cfRule type="expression" dxfId="1606" priority="17">
      <formula>ABS(AC$7-AC$10)&gt;=1000</formula>
    </cfRule>
  </conditionalFormatting>
  <conditionalFormatting sqref="M14">
    <cfRule type="expression" dxfId="1605" priority="16">
      <formula>ABS(M$16-M$19)&gt;=1000</formula>
    </cfRule>
  </conditionalFormatting>
  <conditionalFormatting sqref="M16">
    <cfRule type="expression" dxfId="1604" priority="15">
      <formula>ABS(M$16-M$19)&gt;=1000</formula>
    </cfRule>
  </conditionalFormatting>
  <conditionalFormatting sqref="M19">
    <cfRule type="expression" dxfId="1603" priority="14">
      <formula>ABS(M$16-M$19)&gt;=1000</formula>
    </cfRule>
  </conditionalFormatting>
  <conditionalFormatting sqref="K13:K20">
    <cfRule type="expression" dxfId="1602" priority="13">
      <formula>ABS(K$16-K$19)&gt;=1000</formula>
    </cfRule>
  </conditionalFormatting>
  <conditionalFormatting sqref="E5">
    <cfRule type="expression" dxfId="1601" priority="12">
      <formula>ABS(E$7-E$10)&gt;=1000</formula>
    </cfRule>
  </conditionalFormatting>
  <conditionalFormatting sqref="AB14:AC14">
    <cfRule type="expression" dxfId="1600" priority="11">
      <formula>ABS(AB$16-AB$19)&gt;=1000</formula>
    </cfRule>
  </conditionalFormatting>
  <conditionalFormatting sqref="M5">
    <cfRule type="expression" dxfId="1599" priority="10">
      <formula>ABS(M$7-M$10)&gt;=1000</formula>
    </cfRule>
  </conditionalFormatting>
  <conditionalFormatting sqref="N5">
    <cfRule type="expression" dxfId="1598" priority="9">
      <formula>ABS(N$7-N$10)&gt;=1000</formula>
    </cfRule>
  </conditionalFormatting>
  <conditionalFormatting sqref="O5">
    <cfRule type="expression" dxfId="1597" priority="8">
      <formula>ABS(O$7-O$10)&gt;=1000</formula>
    </cfRule>
  </conditionalFormatting>
  <conditionalFormatting sqref="P5">
    <cfRule type="expression" dxfId="1596" priority="7">
      <formula>ABS(P$7-P$10)&gt;=1000</formula>
    </cfRule>
  </conditionalFormatting>
  <conditionalFormatting sqref="L23">
    <cfRule type="expression" dxfId="1595" priority="6">
      <formula>ABS(L$25-L$28)&gt;=1000</formula>
    </cfRule>
  </conditionalFormatting>
  <conditionalFormatting sqref="Y14">
    <cfRule type="expression" dxfId="1594" priority="5">
      <formula>ABS(Y$16-Y$19)&gt;=1000</formula>
    </cfRule>
  </conditionalFormatting>
  <conditionalFormatting sqref="F14">
    <cfRule type="expression" dxfId="1593" priority="4">
      <formula>ABS(F$16-F$19)&gt;=1000</formula>
    </cfRule>
  </conditionalFormatting>
  <conditionalFormatting sqref="H14">
    <cfRule type="expression" dxfId="1592" priority="3">
      <formula>ABS(H$16-H$19)&gt;=1000</formula>
    </cfRule>
  </conditionalFormatting>
  <conditionalFormatting sqref="AD5">
    <cfRule type="expression" dxfId="1591" priority="2">
      <formula>ABS(AD$7-AD$10)&gt;=1000</formula>
    </cfRule>
  </conditionalFormatting>
  <conditionalFormatting sqref="AE5">
    <cfRule type="expression" dxfId="15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0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7">
    <pageSetUpPr fitToPage="1"/>
  </sheetPr>
  <dimension ref="A1:CU223"/>
  <sheetViews>
    <sheetView view="pageBreakPreview" topLeftCell="A7" zoomScale="70" zoomScaleNormal="100" zoomScaleSheetLayoutView="70" workbookViewId="0">
      <selection activeCell="M15" sqref="M15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46037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2" t="s" ph="1">
        <v>177</v>
      </c>
      <c r="D6" s="71">
        <v>7087</v>
      </c>
      <c r="E6" s="71">
        <v>0</v>
      </c>
      <c r="F6" s="71">
        <v>2441</v>
      </c>
      <c r="G6" s="71">
        <v>6965</v>
      </c>
      <c r="H6" s="71">
        <v>6566</v>
      </c>
      <c r="I6" s="71">
        <v>0.11</v>
      </c>
      <c r="J6" s="71">
        <v>6.61</v>
      </c>
      <c r="K6" s="71">
        <v>7.43</v>
      </c>
      <c r="L6" s="71">
        <v>32.19</v>
      </c>
      <c r="M6" s="71">
        <v>1387</v>
      </c>
      <c r="N6" s="71">
        <v>5464</v>
      </c>
      <c r="O6" s="71">
        <v>3293</v>
      </c>
      <c r="P6" s="71">
        <v>2961</v>
      </c>
      <c r="Q6" s="71">
        <v>7316</v>
      </c>
      <c r="R6" s="71">
        <v>7129</v>
      </c>
      <c r="S6" s="71">
        <v>4446</v>
      </c>
      <c r="T6" s="71">
        <v>1461</v>
      </c>
      <c r="U6" s="71">
        <v>0</v>
      </c>
      <c r="V6" s="71">
        <v>0</v>
      </c>
      <c r="W6" s="71">
        <v>0</v>
      </c>
      <c r="X6" s="71">
        <v>2835</v>
      </c>
      <c r="Y6" s="71">
        <v>6677</v>
      </c>
      <c r="Z6" s="71">
        <v>6840</v>
      </c>
      <c r="AA6" s="71">
        <v>2884</v>
      </c>
      <c r="AB6" s="71">
        <v>2507</v>
      </c>
      <c r="AC6" s="71">
        <v>9292</v>
      </c>
      <c r="AD6" s="71">
        <v>4780</v>
      </c>
      <c r="AE6" s="71">
        <v>3450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224067.99512879999</v>
      </c>
      <c r="E7" s="73" ph="1">
        <f>E6*51.53*LOOKUP(E8,密度!$A$2:$A$50,密度!$B$2:$B$50)</f>
        <v>0</v>
      </c>
      <c r="F7" s="73" ph="1">
        <f>F6*33.183*LOOKUP(F8,密度!$A$2:$A$50,密度!$C$2:$C$50)</f>
        <v>90379.468607399991</v>
      </c>
      <c r="G7" s="73" ph="1">
        <f xml:space="preserve"> (G6+2)*51.53*LOOKUP(G8,密度!$A$2:$A$50,密度!$B$2:$B$50)</f>
        <v>282612.286272</v>
      </c>
      <c r="H7" s="73" ph="1">
        <f>(H6)*51.53*LOOKUP(H8,密度!$A$2:$A$50,密度!$B$2:$B$50)</f>
        <v>267191.82040599996</v>
      </c>
      <c r="I7" s="73" ph="1">
        <f>I6*290.8*1.0267</f>
        <v>32.842079599999998</v>
      </c>
      <c r="J7" s="73" ph="1">
        <f>J6*290.8*0.7892</f>
        <v>1516.9907696</v>
      </c>
      <c r="K7" s="73" ph="1">
        <f>K6*290.8*1.1126</f>
        <v>2403.9325143999999</v>
      </c>
      <c r="L7" s="73" ph="1">
        <f>L6*290.8*0.777</f>
        <v>7273.3820039999991</v>
      </c>
      <c r="M7" s="73" ph="1">
        <f>M6*33.183*LOOKUP(M8,密度!$A$2:$A$50,密度!$D$2:$D$50)</f>
        <v>47626.484770799994</v>
      </c>
      <c r="N7" s="73" ph="1">
        <f>N6*33.183*LOOKUP(N8,密度!$A$2:$A$50,密度!$E$2:$E$50)</f>
        <v>143689.69026</v>
      </c>
      <c r="O7" s="73" ph="1">
        <f>O6*20.428*LOOKUP(O8,密度!$A$2:$A$50,密度!$C$2:$C$50)</f>
        <v>74843.938890400008</v>
      </c>
      <c r="P7" s="73" ph="1">
        <f>P6*51.53*LOOKUP(P8,密度!$A$2:$A$50,密度!$B$2:$B$50)</f>
        <v>119882.36528100001</v>
      </c>
      <c r="Q7" s="73" ph="1">
        <f>Q6*1.5*1.5*3.1416*LOOKUP(W8,密度!$A$2:$A$50,密度!$L$2:$L$50)</f>
        <v>48921.328209599997</v>
      </c>
      <c r="R7" s="73" ph="1">
        <f>R6*1.5*1.5*3.1416*LOOKUP(R8,密度!$A$2:$A$50,密度!$L$2:$L$50)</f>
        <v>47418.91848539999</v>
      </c>
      <c r="S7" s="73" ph="1">
        <f>S6*1.5*1.5*3.1416*LOOKUP(S8,密度!$A$2:$A$50,密度!$L$2:$L$50)</f>
        <v>29792.791828799996</v>
      </c>
      <c r="T7" s="73" ph="1">
        <f>T6*1.5*1.5*3.1416*LOOKUP(T8,密度!$A$2:$A$50,密度!$L$2:$L$50)</f>
        <v>9810.8633699999991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19097.625392999998</v>
      </c>
      <c r="Y7" s="73" ph="1">
        <f>Y6*1.5*1.5*3.1416*LOOKUP(Y8,密度!$A$2:$A$50,密度!$L$2:$L$50)</f>
        <v>44601.204878999997</v>
      </c>
      <c r="Z7" s="73" ph="1">
        <f>Z6*33.183*LOOKUP(Z8,密度!$A$2:$A$50,密度!$L$2:$L$50)</f>
        <v>214488.27539999998</v>
      </c>
      <c r="AA7" s="73" ph="1">
        <f>AA6*33.183*LOOKUP(AA8,密度!$A$2:$A$50,密度!$D$2:$D$50)</f>
        <v>99030.124065599986</v>
      </c>
      <c r="AB7" s="73" ph="1">
        <f>AB6*20.428*LOOKUP(AB8,密度!$A$2:$A$50,密度!$D$2:$D$50)</f>
        <v>53261.51584</v>
      </c>
      <c r="AC7" s="73" ph="1">
        <f>AC6*51.53*LOOKUP(AC8,密度!$A$2:$A$50,密度!$Q$2:$Q$50)</f>
        <v>457049.75009040005</v>
      </c>
      <c r="AD7" s="73" ph="1">
        <f>AD6*20.428*LOOKUP(AD8,密度!$A$2:$A$50,密度!$V$2:$V$50)</f>
        <v>93818.123072000002</v>
      </c>
      <c r="AE7" s="73" ph="1">
        <f>AE6*20.428</f>
        <v>70476.600000000006</v>
      </c>
    </row>
    <row r="8" spans="1:99" ph="1">
      <c r="B8" s="191" ph="1"/>
      <c r="C8" s="68" t="s" ph="1">
        <v>179</v>
      </c>
      <c r="D8" s="74">
        <v>17</v>
      </c>
      <c r="E8" s="74">
        <v>15</v>
      </c>
      <c r="F8" s="74">
        <v>15</v>
      </c>
      <c r="G8" s="74">
        <v>16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17</v>
      </c>
      <c r="O8" s="74">
        <v>20</v>
      </c>
      <c r="P8" s="74">
        <v>18</v>
      </c>
      <c r="Q8" s="74">
        <v>19</v>
      </c>
      <c r="R8" s="74">
        <v>21</v>
      </c>
      <c r="S8" s="74">
        <v>14</v>
      </c>
      <c r="T8" s="74">
        <v>12</v>
      </c>
      <c r="U8" s="74">
        <v>16</v>
      </c>
      <c r="V8" s="74">
        <v>22</v>
      </c>
      <c r="W8" s="74">
        <v>16</v>
      </c>
      <c r="X8" s="74">
        <v>9</v>
      </c>
      <c r="Y8" s="74">
        <v>17</v>
      </c>
      <c r="Z8" s="74">
        <v>17</v>
      </c>
      <c r="AA8" s="74">
        <v>16</v>
      </c>
      <c r="AB8" s="74">
        <v>10</v>
      </c>
      <c r="AC8" s="74">
        <v>14</v>
      </c>
      <c r="AD8" s="74">
        <v>21</v>
      </c>
      <c r="AE8" s="74">
        <v>19</v>
      </c>
    </row>
    <row r="9" spans="1:99" ph="1">
      <c r="B9" s="191" ph="1">
        <v>0.66666666666666663</v>
      </c>
      <c r="C9" s="162" t="s" ph="1">
        <v>180</v>
      </c>
      <c r="D9" s="71">
        <v>7087</v>
      </c>
      <c r="E9" s="71">
        <v>0</v>
      </c>
      <c r="F9" s="71">
        <v>2439</v>
      </c>
      <c r="G9" s="71">
        <v>6727</v>
      </c>
      <c r="H9" s="71">
        <v>7423</v>
      </c>
      <c r="I9" s="71">
        <v>0.11</v>
      </c>
      <c r="J9" s="71">
        <v>6.6</v>
      </c>
      <c r="K9" s="71">
        <v>7.4</v>
      </c>
      <c r="L9" s="71">
        <v>29.83</v>
      </c>
      <c r="M9" s="71">
        <v>1387</v>
      </c>
      <c r="N9" s="71">
        <v>5426</v>
      </c>
      <c r="O9" s="71">
        <v>3293</v>
      </c>
      <c r="P9" s="71">
        <v>2824</v>
      </c>
      <c r="Q9" s="71">
        <v>7320</v>
      </c>
      <c r="R9" s="71">
        <v>7132</v>
      </c>
      <c r="S9" s="71">
        <v>7075</v>
      </c>
      <c r="T9" s="71">
        <v>4200</v>
      </c>
      <c r="U9" s="71">
        <v>1658</v>
      </c>
      <c r="V9" s="71">
        <v>0</v>
      </c>
      <c r="W9" s="71">
        <v>0</v>
      </c>
      <c r="X9" s="71">
        <v>0</v>
      </c>
      <c r="Y9" s="71">
        <v>5954</v>
      </c>
      <c r="Z9" s="71">
        <v>4537</v>
      </c>
      <c r="AA9" s="71">
        <v>2882</v>
      </c>
      <c r="AB9" s="71">
        <v>2391</v>
      </c>
      <c r="AC9" s="71">
        <v>9294</v>
      </c>
      <c r="AD9" s="71">
        <v>4780</v>
      </c>
      <c r="AE9" s="71">
        <v>3456</v>
      </c>
    </row>
    <row r="10" spans="1:99" s="72" customFormat="1" ht="22.5" ph="1">
      <c r="B10" s="191" ph="1"/>
      <c r="C10" s="162" t="s" ph="1">
        <v>178</v>
      </c>
      <c r="D10" s="73" ph="1">
        <f>D9*33.183*LOOKUP(D11,密度!$A$2:$A$50,密度!$Q$2:$Q$50)</f>
        <v>224067.99512879999</v>
      </c>
      <c r="E10" s="73" ph="1">
        <f>E9*51.53*LOOKUP(E11,密度!$A$2:$A$50,密度!$B$2:$B$50)</f>
        <v>0</v>
      </c>
      <c r="F10" s="73" ph="1">
        <f>F9*33.183*LOOKUP(F11,密度!$A$2:$A$50,密度!$C$2:$C$50)</f>
        <v>90256.857422400004</v>
      </c>
      <c r="G10" s="73" ph="1">
        <f xml:space="preserve"> (G9+2)*51.53*LOOKUP(G11,密度!$A$2:$A$50,密度!$B$2:$B$50)</f>
        <v>272680.558968</v>
      </c>
      <c r="H10" s="73" ph="1">
        <f>(H9)*51.53*LOOKUP(H11,密度!$A$2:$A$50,密度!$B$2:$B$50)</f>
        <v>301415.66571999999</v>
      </c>
      <c r="I10" s="73" ph="1">
        <f>I9*290.8*1.0267</f>
        <v>32.842079599999998</v>
      </c>
      <c r="J10" s="73" ph="1">
        <f>J9*290.8*0.7892</f>
        <v>1514.695776</v>
      </c>
      <c r="K10" s="73" ph="1">
        <f>K9*290.8*1.1126</f>
        <v>2394.2261920000001</v>
      </c>
      <c r="L10" s="73" ph="1">
        <f>L9*290.8*0.777</f>
        <v>6740.1362280000003</v>
      </c>
      <c r="M10" s="73" ph="1">
        <f>M9*33.183*LOOKUP(M11,密度!$A$2:$A$50,密度!$D$2:$D$50)</f>
        <v>47470.0003794</v>
      </c>
      <c r="N10" s="73" ph="1">
        <f>N9*33.183*LOOKUP(N11,密度!$A$2:$A$50,密度!$E$2:$E$50)</f>
        <v>142294.2721074</v>
      </c>
      <c r="O10" s="73" ph="1">
        <f>O9*20.428*LOOKUP(O11,密度!$A$2:$A$50,密度!$C$2:$C$50)</f>
        <v>74796.85030760002</v>
      </c>
      <c r="P10" s="73" ph="1">
        <f>P9*51.53*LOOKUP(P11,密度!$A$2:$A$50,密度!$B$2:$B$50)</f>
        <v>114219.213128</v>
      </c>
      <c r="Q10" s="73" ph="1">
        <f>Q9*1.5*1.5*3.1416*LOOKUP(W11,密度!$A$2:$A$50,密度!$L$2:$L$50)</f>
        <v>48637.622880000003</v>
      </c>
      <c r="R10" s="73" ph="1">
        <f>R9*1.5*1.5*3.1416*LOOKUP(R11,密度!$A$2:$A$50,密度!$L$2:$L$50)</f>
        <v>47287.633377599996</v>
      </c>
      <c r="S10" s="73" ph="1">
        <f>S9*1.5*1.5*3.1416*LOOKUP(S11,密度!$A$2:$A$50,密度!$L$2:$L$50)</f>
        <v>47359.796714999997</v>
      </c>
      <c r="T10" s="73" ph="1">
        <f>T9*1.5*1.5*3.1416*LOOKUP(T11,密度!$A$2:$A$50,密度!$L$2:$L$50)</f>
        <v>28174.025879999997</v>
      </c>
      <c r="U10" s="73" ph="1">
        <f>U9*1.5*1.5*3.1416*LOOKUP(U11,密度!$A$2:$A$50,密度!$L$2:$L$50)</f>
        <v>11075.153165999998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39729.603513599999</v>
      </c>
      <c r="Z10" s="73" ph="1">
        <f>Z9*33.183*LOOKUP(Z11,密度!$A$2:$A$50,密度!$L$2:$L$50)</f>
        <v>141969.84855299999</v>
      </c>
      <c r="AA10" s="73" ph="1">
        <f>AA9*33.183*LOOKUP(AA11,密度!$A$2:$A$50,密度!$D$2:$D$50)</f>
        <v>98636.294948400013</v>
      </c>
      <c r="AB10" s="73" ph="1">
        <f>AB9*20.428*LOOKUP(AB11,密度!$A$2:$A$50,密度!$D$2:$D$50)</f>
        <v>50797.081920000004</v>
      </c>
      <c r="AC10" s="73" ph="1">
        <f>AC9*51.53*LOOKUP(AC11,密度!$A$2:$A$50,密度!$Q$2:$Q$50)</f>
        <v>455936.45783820003</v>
      </c>
      <c r="AD10" s="73" ph="1">
        <f>AD9*20.428*LOOKUP(AD11,密度!$A$2:$A$50,密度!$V$2:$V$50)</f>
        <v>94130.589760000003</v>
      </c>
      <c r="AE10" s="73" ph="1">
        <f>AE9*20.428</f>
        <v>70599.168000000005</v>
      </c>
    </row>
    <row r="11" spans="1:99" ph="1">
      <c r="A11" s="64" t="s" ph="1">
        <v>162</v>
      </c>
      <c r="B11" s="191" ph="1"/>
      <c r="C11" s="162" t="s" ph="1">
        <v>179</v>
      </c>
      <c r="D11" s="74">
        <v>17</v>
      </c>
      <c r="E11" s="74">
        <v>19</v>
      </c>
      <c r="F11" s="74">
        <v>16</v>
      </c>
      <c r="G11" s="74">
        <v>17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19</v>
      </c>
      <c r="O11" s="74">
        <v>21</v>
      </c>
      <c r="P11" s="74">
        <v>19</v>
      </c>
      <c r="Q11" s="74">
        <v>20</v>
      </c>
      <c r="R11" s="74">
        <v>24</v>
      </c>
      <c r="S11" s="74">
        <v>15</v>
      </c>
      <c r="T11" s="74">
        <v>13</v>
      </c>
      <c r="U11" s="74">
        <v>17</v>
      </c>
      <c r="V11" s="74">
        <v>22</v>
      </c>
      <c r="W11" s="74">
        <v>22</v>
      </c>
      <c r="X11" s="74">
        <v>12</v>
      </c>
      <c r="Y11" s="74">
        <v>18</v>
      </c>
      <c r="Z11" s="74">
        <v>19</v>
      </c>
      <c r="AA11" s="74">
        <v>20</v>
      </c>
      <c r="AB11" s="74">
        <v>10</v>
      </c>
      <c r="AC11" s="74">
        <v>18</v>
      </c>
      <c r="AD11" s="74">
        <v>16</v>
      </c>
      <c r="AE11" s="74">
        <v>20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2" t="s" ph="1">
        <v>177</v>
      </c>
      <c r="D15" s="78">
        <v>3003</v>
      </c>
      <c r="E15" s="78">
        <v>6208</v>
      </c>
      <c r="F15" s="78">
        <v>4140</v>
      </c>
      <c r="G15" s="78">
        <v>3156</v>
      </c>
      <c r="H15" s="78">
        <v>4708</v>
      </c>
      <c r="I15" s="78">
        <v>5221</v>
      </c>
      <c r="J15" s="78">
        <v>1416</v>
      </c>
      <c r="K15" s="78">
        <v>4053</v>
      </c>
      <c r="L15" s="78">
        <v>5136</v>
      </c>
      <c r="M15" s="78">
        <v>6895</v>
      </c>
      <c r="N15" s="78">
        <v>3337</v>
      </c>
      <c r="O15" s="78">
        <v>3572</v>
      </c>
      <c r="P15" s="78">
        <v>3440</v>
      </c>
      <c r="Q15" s="78">
        <v>7195</v>
      </c>
      <c r="R15" s="78">
        <v>7368</v>
      </c>
      <c r="S15" s="78">
        <v>6395</v>
      </c>
      <c r="T15" s="78">
        <v>4805</v>
      </c>
      <c r="U15" s="78">
        <v>2850</v>
      </c>
      <c r="V15" s="78">
        <v>2628</v>
      </c>
      <c r="W15" s="71">
        <v>-817</v>
      </c>
      <c r="X15" s="78">
        <v>449</v>
      </c>
      <c r="Y15" s="106">
        <v>-9900</v>
      </c>
      <c r="Z15" s="78">
        <v>0</v>
      </c>
      <c r="AA15" s="78">
        <v>10</v>
      </c>
      <c r="AB15" s="78" ph="1">
        <v>6952</v>
      </c>
      <c r="AC15" s="78" ph="1">
        <v>2142</v>
      </c>
      <c r="AD15" s="78">
        <v>5.37</v>
      </c>
      <c r="AE15" s="78">
        <v>47.14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2" t="s" ph="1">
        <v>178</v>
      </c>
      <c r="D16" s="73" ph="1">
        <f>D15*7.0686*LOOKUP(D17,密度!$A$2:$A$50,密度!$L$2:$L$50)</f>
        <v>20038.293475199996</v>
      </c>
      <c r="E16" s="73" ph="1">
        <f>E15*7.0686*LOOKUP(E17,密度!$A$2:$A$50,密度!$L$2:$L$50)</f>
        <v>41424.484147199997</v>
      </c>
      <c r="F16" s="73" ph="1">
        <f>F15*9.0746*LOOKUP(F17,密度!$A$2:$A$50,密度!$L$2:$L$50)</f>
        <v>35352.282203999996</v>
      </c>
      <c r="G16" s="73" ph="1">
        <f>G15*9.0746*LOOKUP(G17,密度!$A$2:$A$50,密度!$B$2:$B$50)</f>
        <v>22522.053728639999</v>
      </c>
      <c r="H16" s="73" ph="1">
        <f>H15*9.0746*LOOKUP(H17,密度!$A$2:$A$50,密度!$L$2:$L$50)</f>
        <v>40587.055959999998</v>
      </c>
      <c r="I16" s="73" ph="1">
        <f>I15*9.0746*LOOKUP(I17,密度!$A$2:$A$50,密度!$U$2:$U$50)</f>
        <v>48705.084224800004</v>
      </c>
      <c r="J16" s="73" ph="1">
        <f>J15*9.0746*LOOKUP(J17,密度!$A$2:$A$50,密度!$L$2:$L$50)</f>
        <v>12142.903752</v>
      </c>
      <c r="K16" s="73" ph="1">
        <f>K15*9.0746*LOOKUP(K17,密度!$A$2:$A$50,密度!$C$2:$C$50)</f>
        <v>41038.402970039999</v>
      </c>
      <c r="L16" s="73" ph="1">
        <f>L15*9.0746*LOOKUP(L17,密度!$A$2:$A$50,密度!$E$2:$E$50)</f>
        <v>36884.895027840001</v>
      </c>
      <c r="M16" s="73" ph="1">
        <f>M15*9.0746*LOOKUP(M17,密度!$A$2:$A$50,密度!$M$2:$M$50)</f>
        <v>55079.813770099994</v>
      </c>
      <c r="N16" s="73" ph="1">
        <f>N15*9.0746*LOOKUP(N17,密度!$A$2:$A$50,密度!$M$2:$M$50)</f>
        <v>26657.191958060001</v>
      </c>
      <c r="O16" s="73" ph="1">
        <f>O15*9.0746*LOOKUP(O17,密度!$A$2:$A$50,密度!$G$2:$G$50)</f>
        <v>31309.137732079998</v>
      </c>
      <c r="P16" s="73" ph="1">
        <f ca="1">P15*9.0746*LOOKUP(P17,密度!$A$2:$A$51,密度!$Q$2:$Q$50)</f>
        <v>29718.538214240001</v>
      </c>
      <c r="Q16" s="73" ph="1">
        <f>Q15*9.0746*LOOKUP(Q17,密度!$A$2:$A$50,密度!$Q$2:$Q$50)</f>
        <v>62158.396061470004</v>
      </c>
      <c r="R16" s="73" ph="1">
        <f>MAX(R15*9.0746*LOOKUP(R17,密度!$A$2:$A$50,密度!$B$2:$B$50),0)</f>
        <v>52479.711282719996</v>
      </c>
      <c r="S16" s="73" ph="1">
        <f>S15*9.0746*LOOKUP(S17,密度!$A$2:$A$50,密度!$Q$2:$Q$50)</f>
        <v>55292.953437600001</v>
      </c>
      <c r="T16" s="73" ph="1">
        <f>T15*9.0746*LOOKUP(T17,密度!$A$2:$A$50,密度!$O$2:$O$50)</f>
        <v>40725.625102000005</v>
      </c>
      <c r="U16" s="73" ph="1">
        <f>U15*9.0746*LOOKUP(U17,密度!$A$2:$A$50,密度!$H$2:$H$50)</f>
        <v>23941.018077000001</v>
      </c>
      <c r="V16" s="73" ph="1">
        <f>MAX(5600*LOOKUP(V17,密度!$A$2:$A$50,密度!$Q$2:$Q$50)+V15*9.0476*LOOKUP(V17,密度!$A$2:$A$50,密度!$Q$2:$Q$50),0)</f>
        <v>27990.49401984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9995.7242478000007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71.589519400000015</v>
      </c>
      <c r="AB16" s="73" ph="1">
        <f>AB15*9.0746*LOOKUP(AB17,密度!$A$2:$A$50,密度!$L$2:$L$50)</f>
        <v>59553.768524799998</v>
      </c>
      <c r="AC16" s="73" ph="1">
        <f>AC15*9.0746*LOOKUP(AC17,密度!$A$2:$A$50,密度!$L$2:$L$50)</f>
        <v>18407.590160399999</v>
      </c>
      <c r="AD16" s="73" ph="1">
        <f>AD15*268.68*LOOKUP(AD17,密度!$A$2:$A$50,密度!B2:B50)+IF(AD15&lt;=0,0,1566*LOOKUP(AD17,密度!$A$2:$A$50,密度!B2:B50))</f>
        <v>2345.6695233599999</v>
      </c>
      <c r="AE16" s="73" ph="1">
        <f>AE15*268.68*LOOKUP(AE17,密度!$A$2:$A$50,密度!B2:B50)+IF(AE15&lt;=0,0,1566*LOOKUP(AE17,密度!$A$2:$A$50,密度!B2:B50))</f>
        <v>11094.93602592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18</v>
      </c>
      <c r="E17" s="74">
        <v>18</v>
      </c>
      <c r="F17" s="74">
        <v>21</v>
      </c>
      <c r="G17" s="74">
        <v>17</v>
      </c>
      <c r="H17" s="74">
        <v>12</v>
      </c>
      <c r="I17" s="74">
        <v>17</v>
      </c>
      <c r="J17" s="74">
        <v>17</v>
      </c>
      <c r="K17" s="74">
        <v>15</v>
      </c>
      <c r="L17" s="74">
        <v>18</v>
      </c>
      <c r="M17" s="74">
        <v>18</v>
      </c>
      <c r="N17" s="74">
        <v>19</v>
      </c>
      <c r="O17" s="74">
        <v>20</v>
      </c>
      <c r="P17" s="74">
        <v>18</v>
      </c>
      <c r="Q17" s="74">
        <v>18</v>
      </c>
      <c r="R17" s="74">
        <v>19</v>
      </c>
      <c r="S17" s="74">
        <v>17</v>
      </c>
      <c r="T17" s="74">
        <v>18</v>
      </c>
      <c r="U17" s="74">
        <v>14</v>
      </c>
      <c r="V17" s="74">
        <v>17</v>
      </c>
      <c r="W17" s="74">
        <v>15</v>
      </c>
      <c r="X17" s="74">
        <v>32</v>
      </c>
      <c r="Y17" s="108">
        <v>32</v>
      </c>
      <c r="Z17" s="74">
        <v>16</v>
      </c>
      <c r="AA17" s="74">
        <v>14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4391</v>
      </c>
      <c r="E18" s="71">
        <v>5883</v>
      </c>
      <c r="F18" s="71">
        <v>4140</v>
      </c>
      <c r="G18" s="71">
        <v>3219</v>
      </c>
      <c r="H18" s="71">
        <v>4137</v>
      </c>
      <c r="I18" s="71">
        <v>5222</v>
      </c>
      <c r="J18" s="71">
        <v>2205</v>
      </c>
      <c r="K18" s="71">
        <v>4054</v>
      </c>
      <c r="L18" s="71">
        <v>5140</v>
      </c>
      <c r="M18" s="71">
        <v>5611</v>
      </c>
      <c r="N18" s="71">
        <v>1725</v>
      </c>
      <c r="O18" s="71">
        <v>3573</v>
      </c>
      <c r="P18" s="71">
        <v>1628</v>
      </c>
      <c r="Q18" s="71">
        <v>7199</v>
      </c>
      <c r="R18" s="71">
        <v>7356</v>
      </c>
      <c r="S18" s="71">
        <v>6400</v>
      </c>
      <c r="T18" s="71">
        <v>4025</v>
      </c>
      <c r="U18" s="71">
        <v>2850</v>
      </c>
      <c r="V18" s="71">
        <v>2629</v>
      </c>
      <c r="W18" s="71">
        <v>-817</v>
      </c>
      <c r="X18" s="71">
        <v>449</v>
      </c>
      <c r="Y18" s="109">
        <v>-9900</v>
      </c>
      <c r="Z18" s="71">
        <v>0</v>
      </c>
      <c r="AA18" s="71">
        <v>10</v>
      </c>
      <c r="AB18" s="71">
        <v>6955</v>
      </c>
      <c r="AC18" s="71">
        <v>2143</v>
      </c>
      <c r="AD18" s="71">
        <v>13.7</v>
      </c>
      <c r="AE18" s="71">
        <v>84.58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2" t="s" ph="1">
        <v>178</v>
      </c>
      <c r="D19" s="73" ph="1">
        <f>D18*7.0686*LOOKUP(D20,密度!$A$2:$A$50,密度!$L$2:$L$50)</f>
        <v>29300.0821344</v>
      </c>
      <c r="E19" s="73" ph="1">
        <f>E18*7.0686*LOOKUP(E20,密度!$A$2:$A$50,密度!$L$2:$L$50)</f>
        <v>39255.837667199994</v>
      </c>
      <c r="F19" s="73" ph="1">
        <f>F18*9.0746*LOOKUP(F20,密度!$A$2:$A$50,密度!$L$2:$L$50)</f>
        <v>35540.126423999995</v>
      </c>
      <c r="G19" s="73" ph="1">
        <f>G18*9.0746*LOOKUP(G20,密度!$A$2:$A$50,密度!$B$2:$B$50)</f>
        <v>22927.82174526</v>
      </c>
      <c r="H19" s="73" ph="1">
        <f>H18*9.0746*LOOKUP(H20,密度!$A$2:$A$50,密度!$L$2:$L$50)</f>
        <v>35589.455949599993</v>
      </c>
      <c r="I19" s="73" ph="1">
        <f>I18*9.0746*LOOKUP(I20,密度!$A$2:$A$50,密度!$U$2:$U$50)</f>
        <v>48714.412913600005</v>
      </c>
      <c r="J19" s="73" ph="1">
        <f>J18*9.0746*LOOKUP(J20,密度!$A$2:$A$50,密度!$L$2:$L$50)</f>
        <v>18868.951899</v>
      </c>
      <c r="K19" s="73" ph="1">
        <f>K18*9.0746*LOOKUP(K20,密度!$A$2:$A$50,密度!$C$2:$C$50)</f>
        <v>40930.805437840005</v>
      </c>
      <c r="L19" s="73" ph="1">
        <f>L18*9.0746*LOOKUP(L20,密度!$A$2:$A$50,密度!$E$2:$E$50)</f>
        <v>36811.006004800001</v>
      </c>
      <c r="M19" s="73" ph="1">
        <f>M18*9.0746*LOOKUP(M20,密度!$A$2:$A$50,密度!$M$2:$M$50)</f>
        <v>44761.645105460004</v>
      </c>
      <c r="N19" s="73" ph="1">
        <f>N18*9.0746*LOOKUP(N20,密度!$A$2:$A$50,密度!$M$2:$M$50)</f>
        <v>13779.938905499999</v>
      </c>
      <c r="O19" s="73" ph="1">
        <f>O18*9.0746*LOOKUP(O20,密度!$A$2:$A$50,密度!$G$2:$G$50)</f>
        <v>31285.47934242</v>
      </c>
      <c r="P19" s="73" ph="1">
        <f ca="1">P18*9.0746*LOOKUP(P20,密度!$A$2:$A$51,密度!$Q$2:$Q$50)</f>
        <v>14040.390270544</v>
      </c>
      <c r="Q19" s="73" ph="1">
        <f>Q18*9.0746*LOOKUP(Q20,密度!$A$2:$A$50,密度!$Q$2:$Q$50)</f>
        <v>62192.952501254003</v>
      </c>
      <c r="R19" s="73" ph="1">
        <f>MAX(R18*9.0746*LOOKUP(R20,密度!$A$2:$A$50,密度!$B$2:$B$50),0)</f>
        <v>52340.837234159997</v>
      </c>
      <c r="S19" s="73" ph="1">
        <f>S18*9.0746*LOOKUP(S20,密度!$A$2:$A$50,密度!$Q$2:$Q$50)</f>
        <v>55245.003251200003</v>
      </c>
      <c r="T19" s="73" ph="1">
        <f>T18*9.0746*LOOKUP(T20,密度!$A$2:$A$50,密度!$O$2:$O$50)</f>
        <v>33968.496449999999</v>
      </c>
      <c r="U19" s="73" ph="1">
        <f>U18*9.0746*LOOKUP(U20,密度!$A$2:$A$50,密度!$H$2:$H$50)</f>
        <v>23915.155467</v>
      </c>
      <c r="V19" s="73" ph="1">
        <f>MAX(5600*LOOKUP(V20,密度!$A$2:$A$50,密度!$Q$2:$Q$50)+V18*9.0476*LOOKUP(V20,密度!$A$2:$A$50,密度!$Q$2:$Q$50),0)</f>
        <v>27999.114573119998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9952.2435719999994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59453.240105999997</v>
      </c>
      <c r="AC19" s="73" ph="1">
        <f>AC18*9.0746*LOOKUP(AC20,密度!$A$2:$A$50,密度!$L$2:$L$50)</f>
        <v>18377.290070999999</v>
      </c>
      <c r="AD19" s="73" ph="1">
        <f>AD18*268.68*LOOKUP(AD20,密度!$A$2:$A$50,密度!B5:B53)+IF(AD18&lt;=0,0,1566*LOOKUP(AD20,密度!$A$2:$A$50,密度!B5:B53))</f>
        <v>4076.8537319999996</v>
      </c>
      <c r="AE19" s="73" ph="1">
        <f>AE18*268.68*LOOKUP(AE20,密度!$A$2:$A$50,密度!B5:B53)+IF(AE18&lt;=0,0,1566*LOOKUP(AE20,密度!$A$2:$A$50,密度!B5:B53))</f>
        <v>18874.071568799998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18</v>
      </c>
      <c r="E20" s="81">
        <v>18</v>
      </c>
      <c r="F20" s="81">
        <v>16</v>
      </c>
      <c r="G20" s="81">
        <v>19</v>
      </c>
      <c r="H20" s="81">
        <v>14</v>
      </c>
      <c r="I20" s="81">
        <v>20</v>
      </c>
      <c r="J20" s="81">
        <v>19</v>
      </c>
      <c r="K20" s="81">
        <v>20</v>
      </c>
      <c r="L20" s="81">
        <v>20</v>
      </c>
      <c r="M20" s="81">
        <v>21</v>
      </c>
      <c r="N20" s="81">
        <v>20</v>
      </c>
      <c r="O20" s="81">
        <v>21</v>
      </c>
      <c r="P20" s="81">
        <v>20</v>
      </c>
      <c r="Q20" s="81">
        <v>18</v>
      </c>
      <c r="R20" s="81">
        <v>20</v>
      </c>
      <c r="S20" s="81">
        <v>19</v>
      </c>
      <c r="T20" s="81">
        <v>20</v>
      </c>
      <c r="U20" s="81">
        <v>15</v>
      </c>
      <c r="V20" s="81">
        <v>17</v>
      </c>
      <c r="W20" s="81">
        <v>17</v>
      </c>
      <c r="X20" s="81">
        <v>36</v>
      </c>
      <c r="Y20" s="110">
        <v>36</v>
      </c>
      <c r="Z20" s="81">
        <v>21</v>
      </c>
      <c r="AA20" s="81">
        <v>20</v>
      </c>
      <c r="AB20" s="81">
        <v>20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645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2" t="s" ph="1">
        <v>177</v>
      </c>
      <c r="D24" s="71">
        <v>57.23</v>
      </c>
      <c r="E24" s="71">
        <v>4.95</v>
      </c>
      <c r="F24" s="71">
        <v>2781</v>
      </c>
      <c r="G24" s="71">
        <v>3865</v>
      </c>
      <c r="H24" s="71">
        <v>3108</v>
      </c>
      <c r="I24" s="71">
        <v>68</v>
      </c>
      <c r="J24" s="71">
        <v>475</v>
      </c>
      <c r="K24" s="71">
        <v>3603</v>
      </c>
      <c r="L24" s="71">
        <v>5540</v>
      </c>
      <c r="M24" s="71">
        <v>4156</v>
      </c>
      <c r="N24" s="71">
        <v>590</v>
      </c>
      <c r="O24" s="71">
        <v>5716</v>
      </c>
      <c r="P24" s="71">
        <v>652</v>
      </c>
      <c r="Q24" s="90">
        <v>3602</v>
      </c>
      <c r="R24" s="71">
        <v>2495</v>
      </c>
      <c r="S24" s="71">
        <v>233</v>
      </c>
      <c r="T24" s="71">
        <v>160</v>
      </c>
      <c r="U24" s="71">
        <v>4708</v>
      </c>
      <c r="V24" s="71">
        <v>944</v>
      </c>
      <c r="W24" s="71">
        <v>2819</v>
      </c>
      <c r="X24" s="71">
        <v>6674</v>
      </c>
      <c r="Y24" s="71">
        <v>4813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16040.195846135999</v>
      </c>
      <c r="E25" s="91" ph="1">
        <f>E24*268.68*LOOKUP(E26,密度!$A$2:$A$50,密度!$C$2:$C$50)+IF(E24&lt;=0,0,1566*LOOKUP(E26,密度!$A$2:$A$50,密度!$C$2:$C$50))</f>
        <v>3211.3366974</v>
      </c>
      <c r="F25" s="91" ph="1">
        <f>F24*11.702*LOOKUP(F26,密度!$A$2:$A$50,密度!$Q$2:$Q$50)</f>
        <v>31007.220033599999</v>
      </c>
      <c r="G25" s="91" ph="1">
        <f>G24*18.322*LOOKUP(G26,密度!$A$2:$A$50,密度!$B$2:$B$50)</f>
        <v>55688.546391999997</v>
      </c>
      <c r="H25" s="91" ph="1">
        <f>H24*18.322*LOOKUP(H26,密度!$A$2:$A$50,密度!$B$2:$B$50)</f>
        <v>44872.483487999998</v>
      </c>
      <c r="I25" s="91" ph="1">
        <f>I24*18.322*LOOKUP(I26,密度!$A$2:$A$50,密度!$Q$2:$Q$50)</f>
        <v>1187.0897087999999</v>
      </c>
      <c r="J25" s="91" ph="1">
        <f>J24*18.322*LOOKUP(J26,密度!$A$2:$A$50,密度!$Q$2:$Q$50)</f>
        <v>8307.3138929999986</v>
      </c>
      <c r="K25" s="91" ph="1">
        <f>K24*18.322*LOOKUP(K26,密度!$A$2:$A$50,密度!$Q$2:$Q$50)</f>
        <v>63013.162013640002</v>
      </c>
      <c r="L25" s="91" ph="1">
        <f>L24*18.322*LOOKUP(L26,密度!$A$2:$A$50,密度!$Q$2:$Q$50)</f>
        <v>96794.099967999995</v>
      </c>
      <c r="M25" s="91" ph="1">
        <f>M24*18.322*LOOKUP(M26,密度!$A$2:$A$50,密度!$Q$2:$Q$50)</f>
        <v>72552.129849600009</v>
      </c>
      <c r="N25" s="91" ph="1">
        <f>N24*18.322*LOOKUP(N26,密度!$A$2:$A$50,密度!$Q$2:$Q$50)</f>
        <v>10291.2090598</v>
      </c>
      <c r="O25" s="91" ph="1">
        <f>O24*18.322*LOOKUP(O26,密度!$A$2:$A$50,密度!$C$2:$C$50)</f>
        <v>116657.13407279998</v>
      </c>
      <c r="P25" s="91" ph="1">
        <f>P24*11.702*LOOKUP(P26,密度!$A$2:$A$50,密度!$B$2:$B$50)</f>
        <v>5988.5546696000001</v>
      </c>
      <c r="Q25" s="92" ph="1">
        <f>Q24*18.322*LOOKUP(Q26,密度!$A$2:$A$50,密度!$B$2:$B$50)</f>
        <v>51852.934630799995</v>
      </c>
      <c r="R25" s="91" ph="1">
        <f>R24*35.891*LOOKUP(R26,密度!$A$2:$A$50,密度!$C$2:$C$50)</f>
        <v>99801.296152499999</v>
      </c>
      <c r="S25" s="91" ph="1">
        <f>S24*35.891*LOOKUP(S26,密度!$A$2:$A$50,密度!$B$2:$B$50)</f>
        <v>6576.350999199999</v>
      </c>
      <c r="T25" s="91" ph="1">
        <f>T24*35.891*LOOKUP(T26,密度!$A$2:$A$50,密度!$Q$2:$Q$50)</f>
        <v>5481.5032223999997</v>
      </c>
      <c r="U25" s="91" ph="1">
        <f>U24*35.891</f>
        <v>168974.82799999998</v>
      </c>
      <c r="V25" s="91" ph="1">
        <f>V24*47.051*LOOKUP(V26,密度!$A$2:$A$50,密度!$B$2:$B$50)</f>
        <v>34897.7643408</v>
      </c>
      <c r="W25" s="91" ph="1">
        <f>W24*47.051*LOOKUP(W26,密度!$A$2:$A$50,密度!$B$2:$B$50)</f>
        <v>104212.70940329999</v>
      </c>
      <c r="X25" s="91" ph="1">
        <f>X24*47.051*LOOKUP(X26,密度!$A$2:$A$61,密度!$I$2:$I$61)</f>
        <v>319576.49921980005</v>
      </c>
      <c r="Y25" s="91" ph="1">
        <f>Y24*47.051*LOOKUP(Y26,密度!$A$2:$A$50,密度!$L$2:$L$50)</f>
        <v>213774.90107200001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17</v>
      </c>
      <c r="G26" s="74">
        <v>17</v>
      </c>
      <c r="H26" s="74">
        <v>15</v>
      </c>
      <c r="I26" s="74">
        <v>17</v>
      </c>
      <c r="J26" s="74">
        <v>15</v>
      </c>
      <c r="K26" s="74">
        <v>15</v>
      </c>
      <c r="L26" s="74">
        <v>16</v>
      </c>
      <c r="M26" s="74">
        <v>17</v>
      </c>
      <c r="N26" s="74">
        <v>18</v>
      </c>
      <c r="O26" s="74">
        <v>18</v>
      </c>
      <c r="P26" s="74">
        <v>19</v>
      </c>
      <c r="Q26" s="93">
        <v>18</v>
      </c>
      <c r="R26" s="74">
        <v>17</v>
      </c>
      <c r="S26" s="74">
        <v>17</v>
      </c>
      <c r="T26" s="74">
        <v>15</v>
      </c>
      <c r="U26" s="74">
        <v>17</v>
      </c>
      <c r="V26" s="74">
        <v>18</v>
      </c>
      <c r="W26" s="74">
        <v>18</v>
      </c>
      <c r="X26" s="74">
        <v>47</v>
      </c>
      <c r="Y26" s="74">
        <v>18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2" t="s" ph="1">
        <v>180</v>
      </c>
      <c r="D27" s="71">
        <v>22.11</v>
      </c>
      <c r="E27" s="71">
        <v>4.93</v>
      </c>
      <c r="F27" s="71">
        <v>1758</v>
      </c>
      <c r="G27" s="71">
        <v>3422</v>
      </c>
      <c r="H27" s="71">
        <v>2683</v>
      </c>
      <c r="I27" s="71">
        <v>65</v>
      </c>
      <c r="J27" s="71">
        <v>472</v>
      </c>
      <c r="K27" s="71">
        <v>3603</v>
      </c>
      <c r="L27" s="71">
        <v>5533</v>
      </c>
      <c r="M27" s="71">
        <v>4022</v>
      </c>
      <c r="N27" s="71">
        <v>588</v>
      </c>
      <c r="O27" s="71">
        <v>5715</v>
      </c>
      <c r="P27" s="71">
        <v>648</v>
      </c>
      <c r="Q27" s="90">
        <v>3881</v>
      </c>
      <c r="R27" s="71">
        <v>2010</v>
      </c>
      <c r="S27" s="71">
        <v>230</v>
      </c>
      <c r="T27" s="71">
        <v>158</v>
      </c>
      <c r="U27" s="71">
        <v>4487</v>
      </c>
      <c r="V27" s="71">
        <v>941</v>
      </c>
      <c r="W27" s="71">
        <v>2524</v>
      </c>
      <c r="X27" s="71">
        <v>7270</v>
      </c>
      <c r="Y27" s="71">
        <v>5485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2" t="s" ph="1">
        <v>178</v>
      </c>
      <c r="D28" s="91" ph="1">
        <f>D27*268.68*LOOKUP(D29,密度!$A$2:$A$50,密度!$Q$2:$Q$50)+IF(D27&lt;=0,0,1566*LOOKUP(D29,密度!$A$2:$A$50,密度!$Q$2:$Q$50))</f>
        <v>7106.7178217519995</v>
      </c>
      <c r="E28" s="91" ph="1">
        <f>E27*268.68*LOOKUP(E29,密度!$A$2:$A$50,密度!$C$2:$C$50)+IF(E27&lt;=0,0,1566*LOOKUP(E29,密度!$A$2:$A$50,密度!$C$2:$C$50))</f>
        <v>3205.3779123599998</v>
      </c>
      <c r="F28" s="91" ph="1">
        <f>F27*11.702*LOOKUP(F29,密度!$A$2:$A$50,密度!$Q$2:$Q$50)</f>
        <v>19584.86015316</v>
      </c>
      <c r="G28" s="91" ph="1">
        <f>G27*18.322*LOOKUP(G29,密度!$A$2:$A$50,密度!$B$2:$B$50)</f>
        <v>49211.569151600001</v>
      </c>
      <c r="H28" s="91" ph="1">
        <f>H27*18.322*LOOKUP(H29,密度!$A$2:$A$50,密度!$B$2:$B$50)</f>
        <v>38657.793006399996</v>
      </c>
      <c r="I28" s="91" ph="1">
        <f>I27*18.322*LOOKUP(I29,密度!$A$2:$A$50,密度!$Q$2:$Q$50)</f>
        <v>1133.7772692999999</v>
      </c>
      <c r="J28" s="91" ph="1">
        <f>J27*18.322*LOOKUP(J29,密度!$A$2:$A$50,密度!$Q$2:$Q$50)</f>
        <v>8232.9672478400007</v>
      </c>
      <c r="K28" s="91" ph="1">
        <f>K27*18.322*LOOKUP(K29,密度!$A$2:$A$50,密度!$Q$2:$Q$50)</f>
        <v>62738.543083079996</v>
      </c>
      <c r="L28" s="91" ph="1">
        <f>L27*18.322*LOOKUP(L29,密度!$A$2:$A$50,密度!$Q$2:$Q$50)</f>
        <v>96590.696452799981</v>
      </c>
      <c r="M28" s="91" ph="1">
        <f>M27*18.322*LOOKUP(M29,密度!$A$2:$A$50,密度!$Q$2:$Q$50)</f>
        <v>70212.864835200002</v>
      </c>
      <c r="N28" s="91" ph="1">
        <f>N27*18.322*LOOKUP(N29,密度!$A$2:$A$50,密度!$Q$2:$Q$50)</f>
        <v>10231.329465839999</v>
      </c>
      <c r="O28" s="91" ph="1">
        <f>O27*18.322*LOOKUP(O29,密度!$A$2:$A$50,密度!$C$2:$C$50)</f>
        <v>116500.60189799999</v>
      </c>
      <c r="P28" s="91" ph="1">
        <f>P27*11.702*LOOKUP(P29,密度!$A$2:$A$50,密度!$B$2:$B$50)</f>
        <v>5963.1894143999998</v>
      </c>
      <c r="Q28" s="92" ph="1">
        <f>Q27*18.322*LOOKUP(Q29,密度!$A$2:$A$50,密度!$B$2:$B$50)</f>
        <v>55755.533456199999</v>
      </c>
      <c r="R28" s="91" ph="1">
        <f>R27*35.891*LOOKUP(R29,密度!$A$2:$A$50,密度!$C$2:$C$50)</f>
        <v>80307.261012000003</v>
      </c>
      <c r="S28" s="91" ph="1">
        <f>S27*35.891*LOOKUP(S29,密度!$A$2:$A$50,密度!$B$2:$B$50)</f>
        <v>6485.8985009999997</v>
      </c>
      <c r="T28" s="91" ph="1">
        <f>T27*35.891*LOOKUP(T29,密度!$A$2:$A$50,密度!$Q$2:$Q$50)</f>
        <v>5398.6373637799998</v>
      </c>
      <c r="U28" s="91" ph="1">
        <f>U27*35.891</f>
        <v>161042.91699999999</v>
      </c>
      <c r="V28" s="91" ph="1">
        <f>V27*47.051*LOOKUP(V29,密度!$A$2:$A$50,密度!$B$2:$B$50)</f>
        <v>34716.020443100002</v>
      </c>
      <c r="W28" s="91" ph="1">
        <f>W27*47.051*LOOKUP(W29,密度!$A$2:$A$50,密度!$B$2:$B$50)</f>
        <v>93010.266236800002</v>
      </c>
      <c r="X28" s="91" ph="1">
        <f>X27*47.051*LOOKUP(X29,密度!$A$2:$A$61,密度!$I$2:$I$61)</f>
        <v>348867.77932300005</v>
      </c>
      <c r="Y28" s="91" ph="1">
        <f>Y27*47.051*LOOKUP(Y29,密度!$A$2:$A$50,密度!$L$2:$L$50)</f>
        <v>243106.40036999999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2" t="s" ph="1">
        <v>179</v>
      </c>
      <c r="D29" s="74">
        <v>25</v>
      </c>
      <c r="E29" s="74">
        <v>25</v>
      </c>
      <c r="F29" s="74">
        <v>18</v>
      </c>
      <c r="G29" s="74">
        <v>19</v>
      </c>
      <c r="H29" s="74">
        <v>17</v>
      </c>
      <c r="I29" s="74">
        <v>18</v>
      </c>
      <c r="J29" s="74">
        <v>18</v>
      </c>
      <c r="K29" s="74">
        <v>20</v>
      </c>
      <c r="L29" s="74">
        <v>17</v>
      </c>
      <c r="M29" s="74">
        <v>17</v>
      </c>
      <c r="N29" s="74">
        <v>21</v>
      </c>
      <c r="O29" s="74">
        <v>20</v>
      </c>
      <c r="P29" s="74">
        <v>17</v>
      </c>
      <c r="Q29" s="93">
        <v>20</v>
      </c>
      <c r="R29" s="74">
        <v>19</v>
      </c>
      <c r="S29" s="74">
        <v>18</v>
      </c>
      <c r="T29" s="74">
        <v>18</v>
      </c>
      <c r="U29" s="74">
        <v>19</v>
      </c>
      <c r="V29" s="74">
        <v>20</v>
      </c>
      <c r="W29" s="74">
        <v>21</v>
      </c>
      <c r="X29" s="74">
        <v>45</v>
      </c>
      <c r="Y29" s="74">
        <v>20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149433.37686840002</v>
      </c>
      <c r="E33" s="213" ph="1">
        <f>M10+I10</f>
        <v>47502.842459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7" ph="1">
        <f>N19</f>
        <v>13779.938905499999</v>
      </c>
      <c r="H33" s="213" ph="1">
        <f>M19</f>
        <v>44761.645105460004</v>
      </c>
      <c r="I33" s="226" ph="1">
        <v>0</v>
      </c>
      <c r="J33" s="224" ph="1">
        <f>F10+O28</f>
        <v>206757.4593204</v>
      </c>
      <c r="K33" s="213" ph="1">
        <f>O10+K10+E28+R28</f>
        <v>160703.71542396001</v>
      </c>
      <c r="L33" s="228" ph="1">
        <f>K19</f>
        <v>40930.805437840005</v>
      </c>
      <c r="M33" s="224" ph="1">
        <f>G10+H10+W28+S28+V28+E10+R19+P28+Q28</f>
        <v>822367.96997366019</v>
      </c>
      <c r="N33" s="213" ph="1">
        <f>L10+P10++G28+H28+AD19+AE19</f>
        <v>231779.63681479997</v>
      </c>
      <c r="O33" s="226" ph="1">
        <f>G19</f>
        <v>22927.82174526</v>
      </c>
      <c r="P33" s="224" ph="1">
        <f>L19</f>
        <v>36811.006004800001</v>
      </c>
      <c r="Q33" s="213" ph="1">
        <f>J10+N10</f>
        <v>143808.96788340001</v>
      </c>
      <c r="R33" s="226" ph="1">
        <f>BE23</f>
        <v>890</v>
      </c>
      <c r="S33" s="224" ph="1">
        <f>X28</f>
        <v>348867.77932300005</v>
      </c>
      <c r="T33" s="213" ph="1">
        <f>X19</f>
        <v>9952.2435719999994</v>
      </c>
      <c r="U33" s="234" ph="1">
        <f>BE21</f>
        <v>730</v>
      </c>
      <c r="V33" s="245" ph="1">
        <f ca="1">P19+Q19+S19+M28+N28+J28+D10+AC10+D19+E19+H19+J19+O19+V19+W19+K28+L28</f>
        <v>1241788.1216404978</v>
      </c>
      <c r="W33" s="245" ph="1">
        <f>D28+F28+T28+I28</f>
        <v>33223.992607991997</v>
      </c>
      <c r="X33" s="226" ph="1">
        <f>BE29+BE31</f>
        <v>10200</v>
      </c>
      <c r="Y33" s="247" ph="1">
        <f>+Q10+R10+S10+T10+U10+V10+W10+X10+Y10</f>
        <v>222263.8355322</v>
      </c>
      <c r="Z33" s="232" ph="1">
        <f>T19+U19+Y28+Z10</f>
        <v>442959.90084000002</v>
      </c>
      <c r="AA33" s="234" ph="1">
        <f>BE19</f>
        <v>1440</v>
      </c>
      <c r="AB33" s="236" ph="1">
        <f>I19</f>
        <v>48714.412913600005</v>
      </c>
      <c r="AC33" s="238" ph="1">
        <f>AD10+AB19</f>
        <v>153583.82986599999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0" t="s" ph="1">
        <v>185</v>
      </c>
      <c r="AA36" s="160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59" priority="100">
      <formula>ABS(D$7-D$10)&gt;=1000</formula>
    </cfRule>
  </conditionalFormatting>
  <conditionalFormatting sqref="E4 E6:E11">
    <cfRule type="expression" dxfId="1558" priority="99">
      <formula>ABS(E$7-E$10)&gt;=1000</formula>
    </cfRule>
  </conditionalFormatting>
  <conditionalFormatting sqref="F4:F11">
    <cfRule type="expression" dxfId="1557" priority="98">
      <formula>ABS(F$7-F$10)&gt;=1000</formula>
    </cfRule>
  </conditionalFormatting>
  <conditionalFormatting sqref="G4:G11">
    <cfRule type="expression" dxfId="1556" priority="97">
      <formula>ABS(G$7-G$10)&gt;=1000</formula>
    </cfRule>
  </conditionalFormatting>
  <conditionalFormatting sqref="H4:H11">
    <cfRule type="expression" dxfId="1555" priority="96">
      <formula>ABS(H$7-H$10)&gt;=1000</formula>
    </cfRule>
  </conditionalFormatting>
  <conditionalFormatting sqref="I4:I11">
    <cfRule type="expression" dxfId="1554" priority="95">
      <formula>ABS(I$7-I$10)&gt;=1000</formula>
    </cfRule>
  </conditionalFormatting>
  <conditionalFormatting sqref="J4:J11">
    <cfRule type="expression" dxfId="1553" priority="94">
      <formula>ABS(J$7-J$10)&gt;=1000</formula>
    </cfRule>
  </conditionalFormatting>
  <conditionalFormatting sqref="K4:K11">
    <cfRule type="expression" dxfId="1552" priority="93">
      <formula>ABS(K$7-K$10)&gt;=1000</formula>
    </cfRule>
  </conditionalFormatting>
  <conditionalFormatting sqref="L4:L11">
    <cfRule type="expression" dxfId="1551" priority="92">
      <formula>ABS(L$7-L$10)&gt;=1000</formula>
    </cfRule>
  </conditionalFormatting>
  <conditionalFormatting sqref="M4 M6:M11">
    <cfRule type="expression" dxfId="1550" priority="91">
      <formula>ABS(M$7-M$10)&gt;=1000</formula>
    </cfRule>
  </conditionalFormatting>
  <conditionalFormatting sqref="N4 N6:N11">
    <cfRule type="expression" dxfId="1549" priority="90">
      <formula>ABS(N$7-N$10)&gt;=1000</formula>
    </cfRule>
  </conditionalFormatting>
  <conditionalFormatting sqref="O4 O6:O11">
    <cfRule type="expression" dxfId="1548" priority="89">
      <formula>ABS(O$7-O$10)&gt;=1000</formula>
    </cfRule>
  </conditionalFormatting>
  <conditionalFormatting sqref="P4 P6:P11">
    <cfRule type="expression" dxfId="1547" priority="88">
      <formula>ABS(P$7-P$10)&gt;=1000</formula>
    </cfRule>
  </conditionalFormatting>
  <conditionalFormatting sqref="Q4:Q11">
    <cfRule type="expression" dxfId="1546" priority="87">
      <formula>ABS(Q$7-Q$10)&gt;=1000</formula>
    </cfRule>
  </conditionalFormatting>
  <conditionalFormatting sqref="R4:R11">
    <cfRule type="expression" dxfId="1545" priority="86">
      <formula>ABS(R$7-R$10)&gt;=1000</formula>
    </cfRule>
  </conditionalFormatting>
  <conditionalFormatting sqref="S4:S11">
    <cfRule type="expression" dxfId="1544" priority="85">
      <formula>ABS(S$7-S$10)&gt;=1000</formula>
    </cfRule>
  </conditionalFormatting>
  <conditionalFormatting sqref="T4:T9 T11">
    <cfRule type="expression" dxfId="1543" priority="84">
      <formula>ABS(T$7-T$10)&gt;=1000</formula>
    </cfRule>
  </conditionalFormatting>
  <conditionalFormatting sqref="U4:U9 U11">
    <cfRule type="expression" dxfId="1542" priority="83">
      <formula>ABS(U$7-U$10)&gt;=1000</formula>
    </cfRule>
  </conditionalFormatting>
  <conditionalFormatting sqref="V4:V9 V11">
    <cfRule type="expression" dxfId="1541" priority="82">
      <formula>ABS(V$7-V$10)&gt;=1000</formula>
    </cfRule>
  </conditionalFormatting>
  <conditionalFormatting sqref="W4:W9 W11">
    <cfRule type="expression" dxfId="1540" priority="81">
      <formula>ABS(W$7-W$10)&gt;=1000</formula>
    </cfRule>
  </conditionalFormatting>
  <conditionalFormatting sqref="X4:X9 X11">
    <cfRule type="expression" dxfId="1539" priority="80">
      <formula>ABS(X$7-X$10)&gt;=1000</formula>
    </cfRule>
  </conditionalFormatting>
  <conditionalFormatting sqref="Y4:Y9 Y11">
    <cfRule type="expression" dxfId="1538" priority="79">
      <formula>ABS(Y$7-Y$10)&gt;=1000</formula>
    </cfRule>
  </conditionalFormatting>
  <conditionalFormatting sqref="Z4:Z11">
    <cfRule type="expression" dxfId="1537" priority="78">
      <formula>ABS(Z$7-Z$10)&gt;=1000</formula>
    </cfRule>
  </conditionalFormatting>
  <conditionalFormatting sqref="AA4:AA11">
    <cfRule type="expression" dxfId="1536" priority="77">
      <formula>ABS(AA$7-AA$10)&gt;=1000</formula>
    </cfRule>
  </conditionalFormatting>
  <conditionalFormatting sqref="AB4:AB11">
    <cfRule type="expression" dxfId="1535" priority="76">
      <formula>ABS(AB$7-AB$10)&gt;=1000</formula>
    </cfRule>
  </conditionalFormatting>
  <conditionalFormatting sqref="AC4 AC6:AC11">
    <cfRule type="expression" dxfId="1534" priority="75">
      <formula>ABS(AC$7-AC$10)&gt;=1000</formula>
    </cfRule>
  </conditionalFormatting>
  <conditionalFormatting sqref="AD4 AD6:AD11">
    <cfRule type="expression" dxfId="1533" priority="74">
      <formula>ABS(AD$7-AD$10)&gt;=1000</formula>
    </cfRule>
  </conditionalFormatting>
  <conditionalFormatting sqref="AE4 AE6:AE11">
    <cfRule type="expression" dxfId="1532" priority="73">
      <formula>ABS(AE$7-AE$10)&gt;=1000</formula>
    </cfRule>
  </conditionalFormatting>
  <conditionalFormatting sqref="D13:D20">
    <cfRule type="expression" dxfId="1531" priority="72">
      <formula>ABS(D$16-D$19)&gt;=1000</formula>
    </cfRule>
  </conditionalFormatting>
  <conditionalFormatting sqref="E13:E20">
    <cfRule type="expression" dxfId="1530" priority="71">
      <formula>ABS(E$16-E$19)&gt;=1000</formula>
    </cfRule>
  </conditionalFormatting>
  <conditionalFormatting sqref="F13 F15:F20">
    <cfRule type="expression" dxfId="1529" priority="70">
      <formula>ABS(F$16-F$19)&gt;=1000</formula>
    </cfRule>
  </conditionalFormatting>
  <conditionalFormatting sqref="G13:G20">
    <cfRule type="expression" dxfId="1528" priority="69">
      <formula>ABS(G$16-G$19)&gt;=1000</formula>
    </cfRule>
  </conditionalFormatting>
  <conditionalFormatting sqref="H13 H15:H20">
    <cfRule type="expression" dxfId="1527" priority="68">
      <formula>ABS(H$16-H$19)&gt;=1000</formula>
    </cfRule>
  </conditionalFormatting>
  <conditionalFormatting sqref="I13:I20">
    <cfRule type="expression" dxfId="1526" priority="67">
      <formula>ABS(I$16-I$19)&gt;=1000</formula>
    </cfRule>
  </conditionalFormatting>
  <conditionalFormatting sqref="J13:J20">
    <cfRule type="expression" dxfId="1525" priority="66">
      <formula>ABS(J$16-J$19)&gt;=1000</formula>
    </cfRule>
  </conditionalFormatting>
  <conditionalFormatting sqref="L13:L20">
    <cfRule type="expression" dxfId="1524" priority="65">
      <formula>ABS(L$16-L$19)&gt;=1000</formula>
    </cfRule>
  </conditionalFormatting>
  <conditionalFormatting sqref="M13 M15 M17:M18 M20">
    <cfRule type="expression" dxfId="1523" priority="64">
      <formula>ABS(M$16-M$19)&gt;=1000</formula>
    </cfRule>
  </conditionalFormatting>
  <conditionalFormatting sqref="N13:N20">
    <cfRule type="expression" dxfId="1522" priority="63">
      <formula>ABS(N$16-N$19)&gt;=1000</formula>
    </cfRule>
  </conditionalFormatting>
  <conditionalFormatting sqref="O13:O20">
    <cfRule type="expression" dxfId="1521" priority="62">
      <formula>ABS(O$16-O$19)&gt;=1000</formula>
    </cfRule>
  </conditionalFormatting>
  <conditionalFormatting sqref="P13:P20">
    <cfRule type="expression" dxfId="1520" priority="61">
      <formula>ABS(P$16-P$19)&gt;=1000</formula>
    </cfRule>
  </conditionalFormatting>
  <conditionalFormatting sqref="Q13 Q15:Q20">
    <cfRule type="expression" dxfId="1519" priority="60">
      <formula>ABS(Q$16-Q$19)&gt;=1000</formula>
    </cfRule>
  </conditionalFormatting>
  <conditionalFormatting sqref="R13:R20">
    <cfRule type="expression" dxfId="1518" priority="59">
      <formula>ABS(R$16-R$19)&gt;=1000</formula>
    </cfRule>
  </conditionalFormatting>
  <conditionalFormatting sqref="S13:S20">
    <cfRule type="expression" dxfId="1517" priority="58">
      <formula>ABS(S$16-S$19)&gt;=1000</formula>
    </cfRule>
  </conditionalFormatting>
  <conditionalFormatting sqref="T13:T20">
    <cfRule type="expression" dxfId="1516" priority="57">
      <formula>ABS(T$16-T$19)&gt;=1000</formula>
    </cfRule>
  </conditionalFormatting>
  <conditionalFormatting sqref="U13:U20">
    <cfRule type="expression" dxfId="1515" priority="56">
      <formula>ABS(U$16-U$19)&gt;=1000</formula>
    </cfRule>
  </conditionalFormatting>
  <conditionalFormatting sqref="V13:V20">
    <cfRule type="expression" dxfId="1514" priority="55">
      <formula>ABS(V$16-V$19)&gt;=1000</formula>
    </cfRule>
  </conditionalFormatting>
  <conditionalFormatting sqref="W13 W20 W15:W18">
    <cfRule type="expression" dxfId="1513" priority="54">
      <formula>ABS(W$16-W$19)&gt;=1000</formula>
    </cfRule>
  </conditionalFormatting>
  <conditionalFormatting sqref="X13 X15:X20 Y19">
    <cfRule type="expression" dxfId="1512" priority="53">
      <formula>ABS(X$16-X$19)&gt;=1000</formula>
    </cfRule>
  </conditionalFormatting>
  <conditionalFormatting sqref="Y13 Y15:Y18 Y20">
    <cfRule type="expression" dxfId="1511" priority="52">
      <formula>ABS(Y$16-Y$19)&gt;=1000</formula>
    </cfRule>
  </conditionalFormatting>
  <conditionalFormatting sqref="Z13:Z20">
    <cfRule type="expression" dxfId="1510" priority="51">
      <formula>ABS(Z$16-Z$19)&gt;=1000</formula>
    </cfRule>
  </conditionalFormatting>
  <conditionalFormatting sqref="AA13:AA20">
    <cfRule type="expression" dxfId="1509" priority="50">
      <formula>ABS(AA$16-AA$19)&gt;=1000</formula>
    </cfRule>
  </conditionalFormatting>
  <conditionalFormatting sqref="AB13 AB15:AB20">
    <cfRule type="expression" dxfId="1508" priority="49">
      <formula>ABS(AB$16-AB$19)&gt;=1000</formula>
    </cfRule>
  </conditionalFormatting>
  <conditionalFormatting sqref="AC13 AC15:AC20">
    <cfRule type="expression" dxfId="1507" priority="48">
      <formula>ABS(AC$16-AC$19)&gt;=1000</formula>
    </cfRule>
  </conditionalFormatting>
  <conditionalFormatting sqref="AD13:AD20">
    <cfRule type="expression" dxfId="1506" priority="47">
      <formula>ABS(AD$16-AD$19)&gt;=1000</formula>
    </cfRule>
  </conditionalFormatting>
  <conditionalFormatting sqref="AE13:AE20">
    <cfRule type="expression" dxfId="1505" priority="46">
      <formula>ABS(AE$16-AE$19)&gt;=1000</formula>
    </cfRule>
  </conditionalFormatting>
  <conditionalFormatting sqref="D22:D29">
    <cfRule type="expression" dxfId="1504" priority="45">
      <formula>ABS(D$25-D$28)&gt;=1000</formula>
    </cfRule>
  </conditionalFormatting>
  <conditionalFormatting sqref="E22:E29">
    <cfRule type="expression" dxfId="1503" priority="44">
      <formula>ABS(E$25-E$28)&gt;=1000</formula>
    </cfRule>
  </conditionalFormatting>
  <conditionalFormatting sqref="F22:F29">
    <cfRule type="expression" dxfId="1502" priority="43">
      <formula>ABS(F$25-F$28)&gt;=1000</formula>
    </cfRule>
  </conditionalFormatting>
  <conditionalFormatting sqref="G22:G29">
    <cfRule type="expression" dxfId="1501" priority="42">
      <formula>ABS(G$25-G$28)&gt;=1000</formula>
    </cfRule>
  </conditionalFormatting>
  <conditionalFormatting sqref="H22:H29">
    <cfRule type="expression" dxfId="1500" priority="41">
      <formula>ABS(H$25-H$28)&gt;=1000</formula>
    </cfRule>
  </conditionalFormatting>
  <conditionalFormatting sqref="I22 I24:I29">
    <cfRule type="expression" dxfId="1499" priority="40">
      <formula>ABS(I$25-I$28)&gt;=1000</formula>
    </cfRule>
  </conditionalFormatting>
  <conditionalFormatting sqref="J22:J29 K22">
    <cfRule type="expression" dxfId="1498" priority="39">
      <formula>ABS(J$25-J$28)&gt;=1000</formula>
    </cfRule>
  </conditionalFormatting>
  <conditionalFormatting sqref="K23:K29 L25 L28">
    <cfRule type="expression" dxfId="1497" priority="38">
      <formula>ABS(K$25-K$28)&gt;=1000</formula>
    </cfRule>
  </conditionalFormatting>
  <conditionalFormatting sqref="L22 L26:L27 L29 L24">
    <cfRule type="expression" dxfId="1496" priority="37">
      <formula>ABS(L$25-L$28)&gt;=1000</formula>
    </cfRule>
  </conditionalFormatting>
  <conditionalFormatting sqref="M22:M29">
    <cfRule type="expression" dxfId="1495" priority="36">
      <formula>ABS(M$25-M$28)&gt;=1000</formula>
    </cfRule>
  </conditionalFormatting>
  <conditionalFormatting sqref="N22:N29">
    <cfRule type="expression" dxfId="1494" priority="35">
      <formula>ABS(N$25-N$28)&gt;=1000</formula>
    </cfRule>
  </conditionalFormatting>
  <conditionalFormatting sqref="O22:O29">
    <cfRule type="expression" dxfId="1493" priority="34">
      <formula>ABS(O$25-O$28)&gt;=1000</formula>
    </cfRule>
  </conditionalFormatting>
  <conditionalFormatting sqref="P22:P29">
    <cfRule type="expression" dxfId="1492" priority="33">
      <formula>ABS(P$25-P$28)&gt;=1000</formula>
    </cfRule>
  </conditionalFormatting>
  <conditionalFormatting sqref="Q22:Q29">
    <cfRule type="expression" dxfId="1491" priority="32">
      <formula>ABS(Q$25-Q$28)&gt;=1000</formula>
    </cfRule>
  </conditionalFormatting>
  <conditionalFormatting sqref="R22:R29">
    <cfRule type="expression" dxfId="1490" priority="31">
      <formula>ABS(R$25-R$28)&gt;=1000</formula>
    </cfRule>
  </conditionalFormatting>
  <conditionalFormatting sqref="S22:S29">
    <cfRule type="expression" dxfId="1489" priority="30">
      <formula>ABS(S$25-S$28)&gt;=1000</formula>
    </cfRule>
  </conditionalFormatting>
  <conditionalFormatting sqref="T22:T29">
    <cfRule type="expression" dxfId="1488" priority="29">
      <formula>ABS(T$25-T$28)&gt;=1000</formula>
    </cfRule>
  </conditionalFormatting>
  <conditionalFormatting sqref="U22:U29">
    <cfRule type="expression" dxfId="1487" priority="28">
      <formula>ABS(U$25-U$28)&gt;=1000</formula>
    </cfRule>
  </conditionalFormatting>
  <conditionalFormatting sqref="V22:V29">
    <cfRule type="expression" dxfId="1486" priority="27">
      <formula>ABS(V$25-V$28)&gt;=1000</formula>
    </cfRule>
  </conditionalFormatting>
  <conditionalFormatting sqref="W22:W29">
    <cfRule type="expression" dxfId="1485" priority="26">
      <formula>ABS(W$25-W$28)&gt;=1000</formula>
    </cfRule>
  </conditionalFormatting>
  <conditionalFormatting sqref="X22:X29">
    <cfRule type="expression" dxfId="1484" priority="25">
      <formula>ABS(X$25-X$28)&gt;=1000</formula>
    </cfRule>
  </conditionalFormatting>
  <conditionalFormatting sqref="Y22:Y29">
    <cfRule type="expression" dxfId="1483" priority="24">
      <formula>ABS(Y$25-Y$28)&gt;=1000</formula>
    </cfRule>
  </conditionalFormatting>
  <conditionalFormatting sqref="I23">
    <cfRule type="expression" dxfId="1482" priority="23">
      <formula>ABS(I$25-I$28)&gt;=1000</formula>
    </cfRule>
  </conditionalFormatting>
  <conditionalFormatting sqref="Q14">
    <cfRule type="expression" dxfId="1481" priority="22">
      <formula>ABS(Q$16-Q$19)&gt;=1000</formula>
    </cfRule>
  </conditionalFormatting>
  <conditionalFormatting sqref="W14">
    <cfRule type="expression" dxfId="1480" priority="21">
      <formula>ABS(W$16-W$19)&gt;=1000</formula>
    </cfRule>
  </conditionalFormatting>
  <conditionalFormatting sqref="X14">
    <cfRule type="expression" dxfId="1479" priority="20">
      <formula>ABS(X$16-X$19)&gt;=1000</formula>
    </cfRule>
  </conditionalFormatting>
  <conditionalFormatting sqref="T10:Y10">
    <cfRule type="expression" dxfId="1478" priority="19">
      <formula>ABS(T$7-T$10)&gt;=1000</formula>
    </cfRule>
  </conditionalFormatting>
  <conditionalFormatting sqref="W19">
    <cfRule type="expression" dxfId="1477" priority="18">
      <formula>ABS(W$16-W$19)&gt;=1000</formula>
    </cfRule>
  </conditionalFormatting>
  <conditionalFormatting sqref="AC5">
    <cfRule type="expression" dxfId="1476" priority="17">
      <formula>ABS(AC$7-AC$10)&gt;=1000</formula>
    </cfRule>
  </conditionalFormatting>
  <conditionalFormatting sqref="M14">
    <cfRule type="expression" dxfId="1475" priority="16">
      <formula>ABS(M$16-M$19)&gt;=1000</formula>
    </cfRule>
  </conditionalFormatting>
  <conditionalFormatting sqref="M16">
    <cfRule type="expression" dxfId="1474" priority="15">
      <formula>ABS(M$16-M$19)&gt;=1000</formula>
    </cfRule>
  </conditionalFormatting>
  <conditionalFormatting sqref="M19">
    <cfRule type="expression" dxfId="1473" priority="14">
      <formula>ABS(M$16-M$19)&gt;=1000</formula>
    </cfRule>
  </conditionalFormatting>
  <conditionalFormatting sqref="K13:K20">
    <cfRule type="expression" dxfId="1472" priority="13">
      <formula>ABS(K$16-K$19)&gt;=1000</formula>
    </cfRule>
  </conditionalFormatting>
  <conditionalFormatting sqref="E5">
    <cfRule type="expression" dxfId="1471" priority="12">
      <formula>ABS(E$7-E$10)&gt;=1000</formula>
    </cfRule>
  </conditionalFormatting>
  <conditionalFormatting sqref="AB14:AC14">
    <cfRule type="expression" dxfId="1470" priority="11">
      <formula>ABS(AB$16-AB$19)&gt;=1000</formula>
    </cfRule>
  </conditionalFormatting>
  <conditionalFormatting sqref="M5">
    <cfRule type="expression" dxfId="1469" priority="10">
      <formula>ABS(M$7-M$10)&gt;=1000</formula>
    </cfRule>
  </conditionalFormatting>
  <conditionalFormatting sqref="N5">
    <cfRule type="expression" dxfId="1468" priority="9">
      <formula>ABS(N$7-N$10)&gt;=1000</formula>
    </cfRule>
  </conditionalFormatting>
  <conditionalFormatting sqref="O5">
    <cfRule type="expression" dxfId="1467" priority="8">
      <formula>ABS(O$7-O$10)&gt;=1000</formula>
    </cfRule>
  </conditionalFormatting>
  <conditionalFormatting sqref="P5">
    <cfRule type="expression" dxfId="1466" priority="7">
      <formula>ABS(P$7-P$10)&gt;=1000</formula>
    </cfRule>
  </conditionalFormatting>
  <conditionalFormatting sqref="L23">
    <cfRule type="expression" dxfId="1465" priority="6">
      <formula>ABS(L$25-L$28)&gt;=1000</formula>
    </cfRule>
  </conditionalFormatting>
  <conditionalFormatting sqref="Y14">
    <cfRule type="expression" dxfId="1464" priority="5">
      <formula>ABS(Y$16-Y$19)&gt;=1000</formula>
    </cfRule>
  </conditionalFormatting>
  <conditionalFormatting sqref="F14">
    <cfRule type="expression" dxfId="1463" priority="4">
      <formula>ABS(F$16-F$19)&gt;=1000</formula>
    </cfRule>
  </conditionalFormatting>
  <conditionalFormatting sqref="H14">
    <cfRule type="expression" dxfId="1462" priority="3">
      <formula>ABS(H$16-H$19)&gt;=1000</formula>
    </cfRule>
  </conditionalFormatting>
  <conditionalFormatting sqref="AD5">
    <cfRule type="expression" dxfId="1461" priority="2">
      <formula>ABS(AD$7-AD$10)&gt;=1000</formula>
    </cfRule>
  </conditionalFormatting>
  <conditionalFormatting sqref="AE5">
    <cfRule type="expression" dxfId="14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40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8">
    <pageSetUpPr fitToPage="1"/>
  </sheetPr>
  <dimension ref="A1:CU223"/>
  <sheetViews>
    <sheetView view="pageBreakPreview" topLeftCell="A7" zoomScale="70" zoomScaleNormal="100" zoomScaleSheetLayoutView="70" workbookViewId="0">
      <selection activeCell="AA19" sqref="AA1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46038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4" t="s" ph="1">
        <v>177</v>
      </c>
      <c r="D6" s="71">
        <v>7087</v>
      </c>
      <c r="E6" s="71">
        <v>0</v>
      </c>
      <c r="F6" s="71">
        <v>2441</v>
      </c>
      <c r="G6" s="71">
        <v>6145</v>
      </c>
      <c r="H6" s="71">
        <v>8290</v>
      </c>
      <c r="I6" s="71">
        <v>0.08</v>
      </c>
      <c r="J6" s="71">
        <v>6.57</v>
      </c>
      <c r="K6" s="71">
        <v>7.4</v>
      </c>
      <c r="L6" s="71">
        <v>35.020000000000003</v>
      </c>
      <c r="M6" s="71">
        <v>1388</v>
      </c>
      <c r="N6" s="71">
        <v>5426</v>
      </c>
      <c r="O6" s="71">
        <v>3294</v>
      </c>
      <c r="P6" s="71">
        <v>3139</v>
      </c>
      <c r="Q6" s="71">
        <v>2662</v>
      </c>
      <c r="R6" s="71">
        <v>7133</v>
      </c>
      <c r="S6" s="71">
        <v>7076</v>
      </c>
      <c r="T6" s="71">
        <v>6628</v>
      </c>
      <c r="U6" s="71">
        <v>1659</v>
      </c>
      <c r="V6" s="71">
        <v>0</v>
      </c>
      <c r="W6" s="71">
        <v>0</v>
      </c>
      <c r="X6" s="71">
        <v>0</v>
      </c>
      <c r="Y6" s="71">
        <v>0</v>
      </c>
      <c r="Z6" s="71">
        <v>4511</v>
      </c>
      <c r="AA6" s="71">
        <v>2884</v>
      </c>
      <c r="AB6" s="71">
        <v>2391</v>
      </c>
      <c r="AC6" s="71">
        <v>9292</v>
      </c>
      <c r="AD6" s="71">
        <v>4780</v>
      </c>
      <c r="AE6" s="71">
        <v>3460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223882.21247121002</v>
      </c>
      <c r="E7" s="73" ph="1">
        <f>E6*51.53*LOOKUP(E8,密度!$A$2:$A$50,密度!$B$2:$B$50)</f>
        <v>0</v>
      </c>
      <c r="F7" s="73" ph="1">
        <f>F6*33.183*LOOKUP(F8,密度!$A$2:$A$50,密度!$C$2:$C$50)</f>
        <v>90330.868785599989</v>
      </c>
      <c r="G7" s="73" ph="1">
        <f xml:space="preserve"> (G6+2)*51.53*LOOKUP(G8,密度!$A$2:$A$50,密度!$B$2:$B$50)</f>
        <v>249096.06122400003</v>
      </c>
      <c r="H7" s="73" ph="1">
        <f>(H6)*51.53*LOOKUP(H8,密度!$A$2:$A$50,密度!$B$2:$B$50)</f>
        <v>337005.22093000001</v>
      </c>
      <c r="I7" s="73" ph="1">
        <f>I6*290.8*1.0267</f>
        <v>23.885148800000003</v>
      </c>
      <c r="J7" s="73" ph="1">
        <f>J6*290.8*0.7892</f>
        <v>1507.8107952000003</v>
      </c>
      <c r="K7" s="73" ph="1">
        <f>K6*290.8*1.1126</f>
        <v>2394.2261920000001</v>
      </c>
      <c r="L7" s="73" ph="1">
        <f>L6*290.8*0.777</f>
        <v>7912.8250320000006</v>
      </c>
      <c r="M7" s="73" ph="1">
        <f>M6*33.183*LOOKUP(M8,密度!$A$2:$A$50,密度!$D$2:$D$50)</f>
        <v>47619.370335600004</v>
      </c>
      <c r="N7" s="73" ph="1">
        <f>N6*33.183*LOOKUP(N8,密度!$A$2:$A$50,密度!$E$2:$E$50)</f>
        <v>142492.32816120001</v>
      </c>
      <c r="O7" s="73" ph="1">
        <f>O6*20.428*LOOKUP(O8,密度!$A$2:$A$50,密度!$C$2:$C$50)</f>
        <v>74907.040982400009</v>
      </c>
      <c r="P7" s="73" ph="1">
        <f>P6*51.53*LOOKUP(P8,密度!$A$2:$A$50,密度!$B$2:$B$50)</f>
        <v>126959.67068300002</v>
      </c>
      <c r="Q7" s="73" ph="1">
        <f>Q6*1.5*1.5*3.1416*LOOKUP(W8,密度!$A$2:$A$50,密度!$L$2:$L$50)</f>
        <v>17725.249634399999</v>
      </c>
      <c r="R7" s="73" ph="1">
        <f>R6*1.5*1.5*3.1416*LOOKUP(R8,密度!$A$2:$A$50,密度!$L$2:$L$50)</f>
        <v>47344.684048199997</v>
      </c>
      <c r="S7" s="73" ph="1">
        <f>S6*1.5*1.5*3.1416*LOOKUP(S8,密度!$A$2:$A$50,密度!$L$2:$L$50)</f>
        <v>47416.508092799995</v>
      </c>
      <c r="T7" s="73" ph="1">
        <f>T6*1.5*1.5*3.1416*LOOKUP(T8,密度!$A$2:$A$50,密度!$L$2:$L$50)</f>
        <v>44414.445398399999</v>
      </c>
      <c r="U7" s="73" ph="1">
        <f>U6*1.5*1.5*3.1416*LOOKUP(U8,密度!$A$2:$A$50,密度!$L$2:$L$50)</f>
        <v>11070.1061856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141605.33329800001</v>
      </c>
      <c r="AA7" s="73" ph="1">
        <f>AA6*33.183*LOOKUP(AA8,密度!$A$2:$A$50,密度!$D$2:$D$50)</f>
        <v>98867.434453199981</v>
      </c>
      <c r="AB7" s="73" ph="1">
        <f>AB6*20.428*LOOKUP(AB8,密度!$A$2:$A$50,密度!$D$2:$D$50)</f>
        <v>50797.081920000004</v>
      </c>
      <c r="AC7" s="73" ph="1">
        <f>AC6*51.53*LOOKUP(AC8,密度!$A$2:$A$50,密度!$Q$2:$Q$50)</f>
        <v>457049.75009040005</v>
      </c>
      <c r="AD7" s="73" ph="1">
        <f>AD6*20.428*LOOKUP(AD8,密度!$A$2:$A$50,密度!$V$2:$V$50)</f>
        <v>94130.589760000003</v>
      </c>
      <c r="AE7" s="73" ph="1">
        <f>AE6*20.428</f>
        <v>70680.88</v>
      </c>
    </row>
    <row r="8" spans="1:99" ph="1">
      <c r="B8" s="191" ph="1"/>
      <c r="C8" s="68" t="s" ph="1">
        <v>179</v>
      </c>
      <c r="D8" s="74">
        <v>18</v>
      </c>
      <c r="E8" s="74">
        <v>18</v>
      </c>
      <c r="F8" s="74">
        <v>16</v>
      </c>
      <c r="G8" s="74">
        <v>17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18</v>
      </c>
      <c r="O8" s="74">
        <v>19</v>
      </c>
      <c r="P8" s="74">
        <v>19</v>
      </c>
      <c r="Q8" s="74">
        <v>20</v>
      </c>
      <c r="R8" s="74">
        <v>23</v>
      </c>
      <c r="S8" s="74">
        <v>14</v>
      </c>
      <c r="T8" s="74">
        <v>14</v>
      </c>
      <c r="U8" s="74">
        <v>18</v>
      </c>
      <c r="V8" s="74">
        <v>22</v>
      </c>
      <c r="W8" s="74">
        <v>20</v>
      </c>
      <c r="X8" s="74">
        <v>9</v>
      </c>
      <c r="Y8" s="74">
        <v>18</v>
      </c>
      <c r="Z8" s="74">
        <v>16</v>
      </c>
      <c r="AA8" s="74">
        <v>18</v>
      </c>
      <c r="AB8" s="74">
        <v>10</v>
      </c>
      <c r="AC8" s="74">
        <v>15</v>
      </c>
      <c r="AD8" s="74">
        <v>15</v>
      </c>
      <c r="AE8" s="74">
        <v>19</v>
      </c>
    </row>
    <row r="9" spans="1:99" ph="1">
      <c r="B9" s="191" ph="1">
        <v>0.66666666666666663</v>
      </c>
      <c r="C9" s="164" t="s" ph="1">
        <v>180</v>
      </c>
      <c r="D9" s="71">
        <v>7087</v>
      </c>
      <c r="E9" s="71">
        <v>0</v>
      </c>
      <c r="F9" s="71">
        <v>2440</v>
      </c>
      <c r="G9" s="71">
        <v>5870</v>
      </c>
      <c r="H9" s="71">
        <v>8359</v>
      </c>
      <c r="I9" s="71">
        <v>7.0000000000000007E-2</v>
      </c>
      <c r="J9" s="71">
        <v>6.58</v>
      </c>
      <c r="K9" s="71">
        <v>7.43</v>
      </c>
      <c r="L9" s="71">
        <v>18.43</v>
      </c>
      <c r="M9" s="71">
        <v>1387</v>
      </c>
      <c r="N9" s="71">
        <v>5427</v>
      </c>
      <c r="O9" s="71">
        <v>2380</v>
      </c>
      <c r="P9" s="71">
        <v>2981</v>
      </c>
      <c r="Q9" s="71">
        <v>0</v>
      </c>
      <c r="R9" s="71">
        <v>4784</v>
      </c>
      <c r="S9" s="71">
        <v>7080</v>
      </c>
      <c r="T9" s="71">
        <v>6630</v>
      </c>
      <c r="U9" s="71">
        <v>7001</v>
      </c>
      <c r="V9" s="71">
        <v>3060</v>
      </c>
      <c r="W9" s="71">
        <v>0</v>
      </c>
      <c r="X9" s="71">
        <v>0</v>
      </c>
      <c r="Y9" s="71">
        <v>0</v>
      </c>
      <c r="Z9" s="71">
        <v>2986</v>
      </c>
      <c r="AA9" s="71">
        <v>2882</v>
      </c>
      <c r="AB9" s="71">
        <v>2315</v>
      </c>
      <c r="AC9" s="71">
        <v>8917</v>
      </c>
      <c r="AD9" s="71">
        <v>4780</v>
      </c>
      <c r="AE9" s="71">
        <v>3453</v>
      </c>
    </row>
    <row r="10" spans="1:99" s="72" customFormat="1" ht="22.5" ph="1">
      <c r="B10" s="191" ph="1"/>
      <c r="C10" s="164" t="s" ph="1">
        <v>178</v>
      </c>
      <c r="D10" s="73" ph="1">
        <f>D9*33.183*LOOKUP(D11,密度!$A$2:$A$50,密度!$Q$2:$Q$50)</f>
        <v>223498.88875998001</v>
      </c>
      <c r="E10" s="73" ph="1">
        <f>E9*51.53*LOOKUP(E11,密度!$A$2:$A$50,密度!$B$2:$B$50)</f>
        <v>0</v>
      </c>
      <c r="F10" s="73" ph="1">
        <f>F9*33.183*LOOKUP(F11,密度!$A$2:$A$50,密度!$C$2:$C$50)</f>
        <v>90237.18654000001</v>
      </c>
      <c r="G10" s="73" ph="1">
        <f xml:space="preserve"> (G9+2)*51.53*LOOKUP(G11,密度!$A$2:$A$50,密度!$B$2:$B$50)</f>
        <v>237740.37451200001</v>
      </c>
      <c r="H10" s="73" ph="1">
        <f>(H9)*51.53*LOOKUP(H11,密度!$A$2:$A$50,密度!$B$2:$B$50)</f>
        <v>339077.95334400004</v>
      </c>
      <c r="I10" s="73" ph="1">
        <f>I9*290.8*1.0267</f>
        <v>20.8995052</v>
      </c>
      <c r="J10" s="73" ph="1">
        <f>J9*290.8*0.7892</f>
        <v>1510.1057888000003</v>
      </c>
      <c r="K10" s="73" ph="1">
        <f>K9*290.8*1.1126</f>
        <v>2403.9325143999999</v>
      </c>
      <c r="L10" s="73" ph="1">
        <f>L9*290.8*0.777</f>
        <v>4164.287988</v>
      </c>
      <c r="M10" s="73" ph="1">
        <f>M9*33.183*LOOKUP(M11,密度!$A$2:$A$50,密度!$D$2:$D$50)</f>
        <v>47470.0003794</v>
      </c>
      <c r="N10" s="73" ph="1">
        <f>N9*33.183*LOOKUP(N11,密度!$A$2:$A$50,密度!$E$2:$E$50)</f>
        <v>142320.4966323</v>
      </c>
      <c r="O10" s="73" ph="1">
        <f>O9*20.428*LOOKUP(O11,密度!$A$2:$A$50,密度!$C$2:$C$50)</f>
        <v>54059.065816000002</v>
      </c>
      <c r="P10" s="73" ph="1">
        <f>P9*51.53*LOOKUP(P11,密度!$A$2:$A$50,密度!$B$2:$B$50)</f>
        <v>120169.83053899999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31719.579091199997</v>
      </c>
      <c r="S10" s="73" ph="1">
        <f>S9*1.5*1.5*3.1416*LOOKUP(S11,密度!$A$2:$A$50,密度!$L$2:$L$50)</f>
        <v>47393.266536000003</v>
      </c>
      <c r="T10" s="73" ph="1">
        <f>T9*1.5*1.5*3.1416*LOOKUP(T11,密度!$A$2:$A$50,密度!$L$2:$L$50)</f>
        <v>44380.982645999997</v>
      </c>
      <c r="U10" s="73" ph="1">
        <f>U9*1.5*1.5*3.1416*LOOKUP(U11,密度!$A$2:$A$50,密度!$L$2:$L$50)</f>
        <v>46617.007021199992</v>
      </c>
      <c r="V10" s="73" ph="1">
        <f>V9*1.5*1.5*3.1416*LOOKUP(V11,密度!$A$2:$A$50,密度!$L$2:$L$50)</f>
        <v>20440.270619999999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93634.793909999993</v>
      </c>
      <c r="AA10" s="73" ph="1">
        <f>AA9*33.183*LOOKUP(AA11,密度!$A$2:$A$50,密度!$D$2:$D$50)</f>
        <v>98636.294948400013</v>
      </c>
      <c r="AB10" s="73" ph="1">
        <f>AB9*20.428*LOOKUP(AB11,密度!$A$2:$A$50,密度!$D$2:$D$50)</f>
        <v>49182.452799999999</v>
      </c>
      <c r="AC10" s="73" ph="1">
        <f>AC9*51.53*LOOKUP(AC11,密度!$A$2:$A$50,密度!$Q$2:$Q$50)</f>
        <v>437804.93992799998</v>
      </c>
      <c r="AD10" s="73" ph="1">
        <f>AD9*20.428*LOOKUP(AD11,密度!$A$2:$A$50,密度!$V$2:$V$50)</f>
        <v>93818.123072000002</v>
      </c>
      <c r="AE10" s="73" ph="1">
        <f>AE9*20.428</f>
        <v>70537.884000000005</v>
      </c>
    </row>
    <row r="11" spans="1:99" ph="1">
      <c r="A11" s="64" t="s" ph="1">
        <v>162</v>
      </c>
      <c r="B11" s="191" ph="1"/>
      <c r="C11" s="164" t="s" ph="1">
        <v>179</v>
      </c>
      <c r="D11" s="74">
        <v>20</v>
      </c>
      <c r="E11" s="74">
        <v>18</v>
      </c>
      <c r="F11" s="74">
        <v>17</v>
      </c>
      <c r="G11" s="74">
        <v>18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19</v>
      </c>
      <c r="O11" s="74">
        <v>21</v>
      </c>
      <c r="P11" s="74">
        <v>22</v>
      </c>
      <c r="Q11" s="74">
        <v>22</v>
      </c>
      <c r="R11" s="74">
        <v>24</v>
      </c>
      <c r="S11" s="74">
        <v>15</v>
      </c>
      <c r="T11" s="74">
        <v>15</v>
      </c>
      <c r="U11" s="74">
        <v>20</v>
      </c>
      <c r="V11" s="74">
        <v>17</v>
      </c>
      <c r="W11" s="74">
        <v>21</v>
      </c>
      <c r="X11" s="74">
        <v>12</v>
      </c>
      <c r="Y11" s="74">
        <v>18</v>
      </c>
      <c r="Z11" s="74">
        <v>17</v>
      </c>
      <c r="AA11" s="74">
        <v>20</v>
      </c>
      <c r="AB11" s="74">
        <v>10</v>
      </c>
      <c r="AC11" s="74">
        <v>17</v>
      </c>
      <c r="AD11" s="74">
        <v>21</v>
      </c>
      <c r="AE11" s="74">
        <v>21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4" t="s" ph="1">
        <v>177</v>
      </c>
      <c r="D15" s="78">
        <v>3269</v>
      </c>
      <c r="E15" s="78">
        <v>5880</v>
      </c>
      <c r="F15" s="78">
        <v>4137</v>
      </c>
      <c r="G15" s="78">
        <v>3358</v>
      </c>
      <c r="H15" s="78">
        <v>4138</v>
      </c>
      <c r="I15" s="78">
        <v>5221</v>
      </c>
      <c r="J15" s="78">
        <v>3181</v>
      </c>
      <c r="K15" s="78">
        <v>4054</v>
      </c>
      <c r="L15" s="78">
        <v>5137</v>
      </c>
      <c r="M15" s="78">
        <v>6326</v>
      </c>
      <c r="N15" s="78">
        <v>2086</v>
      </c>
      <c r="O15" s="78">
        <v>3573</v>
      </c>
      <c r="P15" s="78">
        <v>0</v>
      </c>
      <c r="Q15" s="78">
        <v>7199</v>
      </c>
      <c r="R15" s="78">
        <v>7350</v>
      </c>
      <c r="S15" s="78">
        <v>6401</v>
      </c>
      <c r="T15" s="78">
        <v>3433</v>
      </c>
      <c r="U15" s="78">
        <v>4677</v>
      </c>
      <c r="V15" s="78">
        <v>2629</v>
      </c>
      <c r="W15" s="71">
        <v>-817</v>
      </c>
      <c r="X15" s="78">
        <v>449</v>
      </c>
      <c r="Y15" s="106">
        <v>-9900</v>
      </c>
      <c r="Z15" s="78">
        <v>0</v>
      </c>
      <c r="AA15" s="78">
        <v>10</v>
      </c>
      <c r="AB15" s="78" ph="1">
        <v>6953</v>
      </c>
      <c r="AC15" s="78" ph="1">
        <v>2143</v>
      </c>
      <c r="AD15" s="78">
        <v>47.12</v>
      </c>
      <c r="AE15" s="78">
        <v>5.74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4" t="s" ph="1">
        <v>178</v>
      </c>
      <c r="D16" s="73" ph="1">
        <f>D15*7.0686*LOOKUP(D17,密度!$A$2:$A$50,密度!$L$2:$L$50)</f>
        <v>21813.247209600002</v>
      </c>
      <c r="E16" s="73" ph="1">
        <f>E15*7.0686*LOOKUP(E17,密度!$A$2:$A$50,密度!$L$2:$L$50)</f>
        <v>39235.819391999998</v>
      </c>
      <c r="F16" s="73" ph="1">
        <f>F15*9.0746*LOOKUP(F17,密度!$A$2:$A$50,密度!$L$2:$L$50)</f>
        <v>35214.039747599993</v>
      </c>
      <c r="G16" s="73" ph="1">
        <f>G15*9.0746*LOOKUP(G17,密度!$A$2:$A$50,密度!$B$2:$B$50)</f>
        <v>23942.248592759999</v>
      </c>
      <c r="H16" s="73" ph="1">
        <f>H15*9.0746*LOOKUP(H17,密度!$A$2:$A$50,密度!$L$2:$L$50)</f>
        <v>35673.160059999995</v>
      </c>
      <c r="I16" s="73" ph="1">
        <f>I15*9.0746*LOOKUP(I17,密度!$A$2:$A$50,密度!$U$2:$U$50)</f>
        <v>48705.084224800004</v>
      </c>
      <c r="J16" s="73" ph="1">
        <f>J15*9.0746*LOOKUP(J17,密度!$A$2:$A$50,密度!$L$2:$L$50)</f>
        <v>27249.789654399996</v>
      </c>
      <c r="K16" s="73" ph="1">
        <f>K15*9.0746*LOOKUP(K17,密度!$A$2:$A$50,密度!$C$2:$C$50)</f>
        <v>40930.805437840005</v>
      </c>
      <c r="L16" s="73" ph="1">
        <f>L15*9.0746*LOOKUP(L17,密度!$A$2:$A$50,密度!$E$2:$E$50)</f>
        <v>36840.798824060003</v>
      </c>
      <c r="M16" s="73" ph="1">
        <f>M15*9.0746*LOOKUP(M17,密度!$A$2:$A$50,密度!$M$2:$M$50)</f>
        <v>50534.431023880003</v>
      </c>
      <c r="N16" s="73" ph="1">
        <f>N15*9.0746*LOOKUP(N17,密度!$A$2:$A$50,密度!$M$2:$M$50)</f>
        <v>16663.740612680002</v>
      </c>
      <c r="O16" s="73" ph="1">
        <f>O15*9.0746*LOOKUP(O17,密度!$A$2:$A$50,密度!$G$2:$G$50)</f>
        <v>31317.90288822</v>
      </c>
      <c r="P16" s="73" ph="1">
        <f ca="1">P15*9.0746*LOOKUP(P17,密度!$A$2:$A$51,密度!$Q$2:$Q$50)</f>
        <v>0</v>
      </c>
      <c r="Q16" s="73" ph="1">
        <f>Q15*9.0746*LOOKUP(Q17,密度!$A$2:$A$50,密度!$Q$2:$Q$50)</f>
        <v>62192.952501254003</v>
      </c>
      <c r="R16" s="73" ph="1">
        <f>MAX(R15*9.0746*LOOKUP(R17,密度!$A$2:$A$50,密度!$B$2:$B$50),0)</f>
        <v>52298.144870999997</v>
      </c>
      <c r="S16" s="73" ph="1">
        <f>S15*9.0746*LOOKUP(S17,密度!$A$2:$A$50,密度!$Q$2:$Q$50)</f>
        <v>55253.635282958006</v>
      </c>
      <c r="T16" s="73" ph="1">
        <f>T15*9.0746*LOOKUP(T17,密度!$A$2:$A$50,密度!$O$2:$O$50)</f>
        <v>29096.997081200003</v>
      </c>
      <c r="U16" s="73" ph="1">
        <f>U15*9.0746*LOOKUP(U17,密度!$A$2:$A$50,密度!$H$2:$H$50)</f>
        <v>39246.028813740006</v>
      </c>
      <c r="V16" s="73" ph="1">
        <f>MAX(5600*LOOKUP(V17,密度!$A$2:$A$50,密度!$Q$2:$Q$50)+V15*9.0476*LOOKUP(V17,密度!$A$2:$A$50,密度!$Q$2:$Q$50),0)</f>
        <v>27975.899522203999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9962.8721816399993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71.362654400000011</v>
      </c>
      <c r="AB16" s="73" ph="1">
        <f>AB15*9.0746*LOOKUP(AB17,密度!$A$2:$A$50,密度!$L$2:$L$50)</f>
        <v>59499.239253399996</v>
      </c>
      <c r="AC16" s="73" ph="1">
        <f>AC15*9.0746*LOOKUP(AC17,密度!$A$2:$A$50,密度!$L$2:$L$50)</f>
        <v>18396.736938800001</v>
      </c>
      <c r="AD16" s="73" ph="1">
        <f>AD15*268.68*LOOKUP(AD17,密度!$A$2:$A$50,密度!B2:B50)+IF(AD15&lt;=0,0,1566*LOOKUP(AD17,密度!$A$2:$A$50,密度!B2:B50))</f>
        <v>11090.74676736</v>
      </c>
      <c r="AE16" s="73" ph="1">
        <f>AE15*268.68*LOOKUP(AE17,密度!$A$2:$A$50,密度!B2:B50)+IF(AE15&lt;=0,0,1566*LOOKUP(AE17,密度!$A$2:$A$50,密度!B2:B50))</f>
        <v>2423.1708067199997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18</v>
      </c>
      <c r="E17" s="74">
        <v>18</v>
      </c>
      <c r="F17" s="74">
        <v>24</v>
      </c>
      <c r="G17" s="74">
        <v>18</v>
      </c>
      <c r="H17" s="74">
        <v>12</v>
      </c>
      <c r="I17" s="74">
        <v>16</v>
      </c>
      <c r="J17" s="74">
        <v>18</v>
      </c>
      <c r="K17" s="74">
        <v>20</v>
      </c>
      <c r="L17" s="74">
        <v>19</v>
      </c>
      <c r="M17" s="74">
        <v>15</v>
      </c>
      <c r="N17" s="74">
        <v>18</v>
      </c>
      <c r="O17" s="74">
        <v>20</v>
      </c>
      <c r="P17" s="74">
        <v>18</v>
      </c>
      <c r="Q17" s="74">
        <v>18</v>
      </c>
      <c r="R17" s="74">
        <v>20</v>
      </c>
      <c r="S17" s="74">
        <v>19</v>
      </c>
      <c r="T17" s="74">
        <v>19</v>
      </c>
      <c r="U17" s="74">
        <v>15</v>
      </c>
      <c r="V17" s="74">
        <v>18</v>
      </c>
      <c r="W17" s="74">
        <v>16</v>
      </c>
      <c r="X17" s="74">
        <v>35</v>
      </c>
      <c r="Y17" s="108">
        <v>35</v>
      </c>
      <c r="Z17" s="74">
        <v>19</v>
      </c>
      <c r="AA17" s="74">
        <v>17</v>
      </c>
      <c r="AB17" s="74">
        <v>19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2912</v>
      </c>
      <c r="E18" s="71">
        <v>5882</v>
      </c>
      <c r="F18" s="71">
        <v>4152</v>
      </c>
      <c r="G18" s="71">
        <v>3420</v>
      </c>
      <c r="H18" s="71">
        <v>4828</v>
      </c>
      <c r="I18" s="71">
        <v>5222</v>
      </c>
      <c r="J18" s="71">
        <v>4086</v>
      </c>
      <c r="K18" s="71">
        <v>4055</v>
      </c>
      <c r="L18" s="71">
        <v>5138</v>
      </c>
      <c r="M18" s="71">
        <v>4195</v>
      </c>
      <c r="N18" s="71">
        <v>2938</v>
      </c>
      <c r="O18" s="71">
        <v>3575</v>
      </c>
      <c r="P18" s="71">
        <v>0</v>
      </c>
      <c r="Q18" s="71">
        <v>7202</v>
      </c>
      <c r="R18" s="71">
        <v>7353</v>
      </c>
      <c r="S18" s="71">
        <v>6405</v>
      </c>
      <c r="T18" s="71">
        <v>3433</v>
      </c>
      <c r="U18" s="71">
        <v>6499</v>
      </c>
      <c r="V18" s="71">
        <v>2629</v>
      </c>
      <c r="W18" s="71">
        <v>-817</v>
      </c>
      <c r="X18" s="71">
        <v>449</v>
      </c>
      <c r="Y18" s="109">
        <v>-9900</v>
      </c>
      <c r="Z18" s="71">
        <v>0</v>
      </c>
      <c r="AA18" s="71">
        <v>0</v>
      </c>
      <c r="AB18" s="71">
        <v>6954</v>
      </c>
      <c r="AC18" s="71">
        <v>2144</v>
      </c>
      <c r="AD18" s="71">
        <v>84.52</v>
      </c>
      <c r="AE18" s="71">
        <v>19.45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4" t="s" ph="1">
        <v>178</v>
      </c>
      <c r="D19" s="73" ph="1">
        <f>D18*7.0686*LOOKUP(D20,密度!$A$2:$A$50,密度!$L$2:$L$50)</f>
        <v>19410.488697600002</v>
      </c>
      <c r="E19" s="73" ph="1">
        <f>E18*7.0686*LOOKUP(E20,密度!$A$2:$A$50,密度!$L$2:$L$50)</f>
        <v>39207.587403599995</v>
      </c>
      <c r="F19" s="73" ph="1">
        <f>F18*9.0746*LOOKUP(F20,密度!$A$2:$A$50,密度!$L$2:$L$50)</f>
        <v>35567.785804799998</v>
      </c>
      <c r="G19" s="73" ph="1">
        <f>G18*9.0746*LOOKUP(G20,密度!$A$2:$A$50,密度!$B$2:$B$50)</f>
        <v>24384.303212399998</v>
      </c>
      <c r="H19" s="73" ph="1">
        <f>H18*9.0746*LOOKUP(H20,密度!$A$2:$A$50,密度!$L$2:$L$50)</f>
        <v>41490.123853599995</v>
      </c>
      <c r="I19" s="73" ph="1">
        <f>I18*9.0746*LOOKUP(I20,密度!$A$2:$A$50,密度!$U$2:$U$50)</f>
        <v>48714.412913600005</v>
      </c>
      <c r="J19" s="73" ph="1">
        <f>J18*9.0746*LOOKUP(J20,密度!$A$2:$A$50,密度!$L$2:$L$50)</f>
        <v>34928.244295199998</v>
      </c>
      <c r="K19" s="73" ph="1">
        <f>K18*9.0746*LOOKUP(K20,密度!$A$2:$A$50,密度!$C$2:$C$50)</f>
        <v>40940.901837800004</v>
      </c>
      <c r="L19" s="73" ph="1">
        <f>L18*9.0746*LOOKUP(L20,密度!$A$2:$A$50,密度!$E$2:$E$50)</f>
        <v>36899.258304720002</v>
      </c>
      <c r="M19" s="73" ph="1">
        <f>M18*9.0746*LOOKUP(M20,密度!$A$2:$A$50,密度!$M$2:$M$50)</f>
        <v>33465.532207700002</v>
      </c>
      <c r="N19" s="73" ph="1">
        <f>N18*9.0746*LOOKUP(N20,密度!$A$2:$A$50,密度!$M$2:$M$50)</f>
        <v>23469.832176439999</v>
      </c>
      <c r="O19" s="73" ph="1">
        <f>O18*9.0746*LOOKUP(O20,密度!$A$2:$A$50,密度!$G$2:$G$50)</f>
        <v>31335.4332005</v>
      </c>
      <c r="P19" s="73" ph="1">
        <f ca="1">P18*9.0746*LOOKUP(P20,密度!$A$2:$A$51,密度!$Q$2:$Q$50)</f>
        <v>0</v>
      </c>
      <c r="Q19" s="73" ph="1">
        <f>Q18*9.0746*LOOKUP(Q20,密度!$A$2:$A$50,密度!$Q$2:$Q$50)</f>
        <v>62167.892721116004</v>
      </c>
      <c r="R19" s="73" ph="1">
        <f>MAX(R18*9.0746*LOOKUP(R20,密度!$A$2:$A$50,密度!$B$2:$B$50),0)</f>
        <v>52319.491052580008</v>
      </c>
      <c r="S19" s="73" ph="1">
        <f>S18*9.0746*LOOKUP(S20,密度!$A$2:$A$50,密度!$Q$2:$Q$50)</f>
        <v>55288.163409990004</v>
      </c>
      <c r="T19" s="73" ph="1">
        <f>T18*9.0746*LOOKUP(T20,密度!$A$2:$A$50,密度!$O$2:$O$50)</f>
        <v>28972.384674000001</v>
      </c>
      <c r="U19" s="73" ph="1">
        <f>U18*9.0746*LOOKUP(U20,密度!$A$2:$A$50,密度!$H$2:$H$50)</f>
        <v>54358.018271180001</v>
      </c>
      <c r="V19" s="73" ph="1">
        <f>MAX(5600*LOOKUP(V20,密度!$A$2:$A$50,密度!$Q$2:$Q$50)+V18*9.0476*LOOKUP(V20,密度!$A$2:$A$50,密度!$Q$2:$Q$50),0)</f>
        <v>27928.000113351998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9941.6149623599995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0</v>
      </c>
      <c r="AB19" s="73" ph="1">
        <f>AB18*9.0746*LOOKUP(AB20,密度!$A$2:$A$50,密度!$L$2:$L$50)</f>
        <v>59444.691832799996</v>
      </c>
      <c r="AC19" s="73" ph="1">
        <f>AC18*9.0746*LOOKUP(AC20,密度!$A$2:$A$50,密度!$L$2:$L$50)</f>
        <v>18366.409625599998</v>
      </c>
      <c r="AD19" s="73" ph="1">
        <f>AD18*268.68*LOOKUP(AD20,密度!$A$2:$A$50,密度!B5:B53)+IF(AD18&lt;=0,0,1566*LOOKUP(AD20,密度!$A$2:$A$50,密度!B5:B53))</f>
        <v>18861.545707199999</v>
      </c>
      <c r="AE19" s="73" ph="1">
        <f>AE18*268.68*LOOKUP(AE20,密度!$A$2:$A$50,密度!B5:B53)+IF(AE18&lt;=0,0,1566*LOOKUP(AE20,密度!$A$2:$A$50,密度!B5:B53))</f>
        <v>5277.2488020000001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18</v>
      </c>
      <c r="G20" s="81">
        <v>18</v>
      </c>
      <c r="H20" s="81">
        <v>15</v>
      </c>
      <c r="I20" s="81">
        <v>20</v>
      </c>
      <c r="J20" s="81">
        <v>20</v>
      </c>
      <c r="K20" s="81">
        <v>20</v>
      </c>
      <c r="L20" s="81">
        <v>18</v>
      </c>
      <c r="M20" s="81">
        <v>21</v>
      </c>
      <c r="N20" s="81">
        <v>19</v>
      </c>
      <c r="O20" s="81">
        <v>20</v>
      </c>
      <c r="P20" s="81">
        <v>20</v>
      </c>
      <c r="Q20" s="81">
        <v>19</v>
      </c>
      <c r="R20" s="81">
        <v>20</v>
      </c>
      <c r="S20" s="81">
        <v>19</v>
      </c>
      <c r="T20" s="81">
        <v>20</v>
      </c>
      <c r="U20" s="81">
        <v>18</v>
      </c>
      <c r="V20" s="81">
        <v>20</v>
      </c>
      <c r="W20" s="81">
        <v>21</v>
      </c>
      <c r="X20" s="81">
        <v>37</v>
      </c>
      <c r="Y20" s="110">
        <v>37</v>
      </c>
      <c r="Z20" s="81">
        <v>21</v>
      </c>
      <c r="AA20" s="81">
        <v>20</v>
      </c>
      <c r="AB20" s="81">
        <v>20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645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4" t="s" ph="1">
        <v>177</v>
      </c>
      <c r="D24" s="71">
        <v>50.63</v>
      </c>
      <c r="E24" s="71">
        <v>4.95</v>
      </c>
      <c r="F24" s="71">
        <v>3308</v>
      </c>
      <c r="G24" s="71">
        <v>3849</v>
      </c>
      <c r="H24" s="71">
        <v>3126</v>
      </c>
      <c r="I24" s="71">
        <v>67</v>
      </c>
      <c r="J24" s="71">
        <v>474</v>
      </c>
      <c r="K24" s="71">
        <v>3606</v>
      </c>
      <c r="L24" s="71">
        <v>5542</v>
      </c>
      <c r="M24" s="71">
        <v>2564</v>
      </c>
      <c r="N24" s="71">
        <v>590</v>
      </c>
      <c r="O24" s="71">
        <v>5718</v>
      </c>
      <c r="P24" s="71">
        <v>652</v>
      </c>
      <c r="Q24" s="90">
        <v>4020</v>
      </c>
      <c r="R24" s="71">
        <v>2012</v>
      </c>
      <c r="S24" s="71">
        <v>232</v>
      </c>
      <c r="T24" s="71">
        <v>159</v>
      </c>
      <c r="U24" s="71">
        <v>4660</v>
      </c>
      <c r="V24" s="71">
        <v>1888</v>
      </c>
      <c r="W24" s="71">
        <v>1882</v>
      </c>
      <c r="X24" s="71">
        <v>7268</v>
      </c>
      <c r="Y24" s="71">
        <v>6958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14361.353165016</v>
      </c>
      <c r="E25" s="91" ph="1">
        <f>E24*268.68*LOOKUP(E26,密度!$A$2:$A$50,密度!$C$2:$C$50)+IF(E24&lt;=0,0,1566*LOOKUP(E26,密度!$A$2:$A$50,密度!$C$2:$C$50))</f>
        <v>3211.3366974</v>
      </c>
      <c r="F25" s="91" ph="1">
        <f>F24*11.702*LOOKUP(F26,密度!$A$2:$A$50,密度!$Q$2:$Q$50)</f>
        <v>36852.512734160002</v>
      </c>
      <c r="G25" s="91" ph="1">
        <f>G24*18.322*LOOKUP(G26,密度!$A$2:$A$50,密度!$B$2:$B$50)</f>
        <v>55408.646694599993</v>
      </c>
      <c r="H25" s="91" ph="1">
        <f>H24*18.322*LOOKUP(H26,密度!$A$2:$A$50,密度!$B$2:$B$50)</f>
        <v>45040.723420800001</v>
      </c>
      <c r="I25" s="91" ph="1">
        <f>I24*18.322*LOOKUP(I26,密度!$A$2:$A$50,密度!$Q$2:$Q$50)</f>
        <v>1168.6627237399998</v>
      </c>
      <c r="J25" s="91" ph="1">
        <f>J24*18.322*LOOKUP(J26,密度!$A$2:$A$50,密度!$Q$2:$Q$50)</f>
        <v>8267.852702279999</v>
      </c>
      <c r="K25" s="91" ph="1">
        <f>K24*18.322*LOOKUP(K26,密度!$A$2:$A$50,密度!$Q$2:$Q$50)</f>
        <v>62846.940432359996</v>
      </c>
      <c r="L25" s="91" ph="1">
        <f>L24*18.322*LOOKUP(L26,密度!$A$2:$A$50,密度!$Q$2:$Q$50)</f>
        <v>96588.39264451999</v>
      </c>
      <c r="M25" s="91" ph="1">
        <f>M24*18.322*LOOKUP(M26,密度!$A$2:$A$50,密度!$Q$2:$Q$50)</f>
        <v>44723.152592079998</v>
      </c>
      <c r="N25" s="91" ph="1">
        <f>N24*18.322*LOOKUP(N26,密度!$A$2:$A$50,密度!$Q$2:$Q$50)</f>
        <v>10291.2090598</v>
      </c>
      <c r="O25" s="91" ph="1">
        <f>O24*18.322*LOOKUP(O26,密度!$A$2:$A$50,密度!$C$2:$C$50)</f>
        <v>116624.61618719999</v>
      </c>
      <c r="P25" s="91" ph="1">
        <f>P24*11.702*LOOKUP(P26,密度!$A$2:$A$50,密度!$B$2:$B$50)</f>
        <v>5988.5546696000001</v>
      </c>
      <c r="Q25" s="92" ph="1">
        <f>Q24*18.322*LOOKUP(Q26,密度!$A$2:$A$50,密度!$B$2:$B$50)</f>
        <v>57811.369956000002</v>
      </c>
      <c r="R25" s="91" ph="1">
        <f>R24*35.891*LOOKUP(R26,密度!$A$2:$A$50,密度!$C$2:$C$50)</f>
        <v>80387.168734399995</v>
      </c>
      <c r="S25" s="91" ph="1">
        <f>S24*35.891*LOOKUP(S26,密度!$A$2:$A$50,密度!$B$2:$B$50)</f>
        <v>6542.297618399999</v>
      </c>
      <c r="T25" s="91" ph="1">
        <f>T24*35.891*LOOKUP(T26,密度!$A$2:$A$50,密度!$Q$2:$Q$50)</f>
        <v>5432.8059546900004</v>
      </c>
      <c r="U25" s="91" ph="1">
        <f>U24*35.891</f>
        <v>167252.06</v>
      </c>
      <c r="V25" s="91" ph="1">
        <f>V24*47.051*LOOKUP(V26,密度!$A$2:$A$50,密度!$B$2:$B$50)</f>
        <v>69724.462851200005</v>
      </c>
      <c r="W25" s="91" ph="1">
        <f>W24*47.051*LOOKUP(W26,密度!$A$2:$A$50,密度!$B$2:$B$50)</f>
        <v>69573.720857399996</v>
      </c>
      <c r="X25" s="91" ph="1">
        <f>X24*47.051*LOOKUP(X26,密度!$A$2:$A$61,密度!$I$2:$I$61)</f>
        <v>351062.98136879998</v>
      </c>
      <c r="Y25" s="91" ph="1">
        <f>Y24*47.051*LOOKUP(Y26,密度!$A$2:$A$50,密度!$L$2:$L$50)</f>
        <v>309047.52995200001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18</v>
      </c>
      <c r="G26" s="74">
        <v>18</v>
      </c>
      <c r="H26" s="74">
        <v>17</v>
      </c>
      <c r="I26" s="74">
        <v>18</v>
      </c>
      <c r="J26" s="74">
        <v>18</v>
      </c>
      <c r="K26" s="74">
        <v>19</v>
      </c>
      <c r="L26" s="74">
        <v>19</v>
      </c>
      <c r="M26" s="74">
        <v>18</v>
      </c>
      <c r="N26" s="74">
        <v>18</v>
      </c>
      <c r="O26" s="74">
        <v>19</v>
      </c>
      <c r="P26" s="74">
        <v>19</v>
      </c>
      <c r="Q26" s="93">
        <v>19</v>
      </c>
      <c r="R26" s="74">
        <v>19</v>
      </c>
      <c r="S26" s="74">
        <v>18</v>
      </c>
      <c r="T26" s="74">
        <v>18</v>
      </c>
      <c r="U26" s="74">
        <v>19</v>
      </c>
      <c r="V26" s="74">
        <v>19</v>
      </c>
      <c r="W26" s="74">
        <v>18</v>
      </c>
      <c r="X26" s="74">
        <v>39</v>
      </c>
      <c r="Y26" s="74">
        <v>18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4" t="s" ph="1">
        <v>180</v>
      </c>
      <c r="D27" s="71">
        <v>13.28</v>
      </c>
      <c r="E27" s="71">
        <v>4.9400000000000004</v>
      </c>
      <c r="F27" s="71">
        <v>355</v>
      </c>
      <c r="G27" s="71">
        <v>3344</v>
      </c>
      <c r="H27" s="71">
        <v>2899</v>
      </c>
      <c r="I27" s="71">
        <v>66</v>
      </c>
      <c r="J27" s="71">
        <v>2708</v>
      </c>
      <c r="K27" s="71">
        <v>3606</v>
      </c>
      <c r="L27" s="71">
        <v>5542</v>
      </c>
      <c r="M27" s="71">
        <v>1870</v>
      </c>
      <c r="N27" s="71">
        <v>589</v>
      </c>
      <c r="O27" s="71">
        <v>5717</v>
      </c>
      <c r="P27" s="71">
        <v>651</v>
      </c>
      <c r="Q27" s="90">
        <v>4465</v>
      </c>
      <c r="R27" s="71">
        <v>2011</v>
      </c>
      <c r="S27" s="71">
        <v>231</v>
      </c>
      <c r="T27" s="71">
        <v>824</v>
      </c>
      <c r="U27" s="71">
        <v>4614</v>
      </c>
      <c r="V27" s="71">
        <v>3166</v>
      </c>
      <c r="W27" s="71">
        <v>1574</v>
      </c>
      <c r="X27" s="71">
        <v>7379</v>
      </c>
      <c r="Y27" s="71">
        <v>7682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4" t="s" ph="1">
        <v>178</v>
      </c>
      <c r="D28" s="91" ph="1">
        <f>D27*268.68*LOOKUP(D29,密度!$A$2:$A$50,密度!$Q$2:$Q$50)+IF(D27&lt;=0,0,1566*LOOKUP(D29,密度!$A$2:$A$50,密度!$Q$2:$Q$50))</f>
        <v>4860.6298104960006</v>
      </c>
      <c r="E28" s="91" ph="1">
        <f>E27*268.68*LOOKUP(E29,密度!$A$2:$A$50,密度!$C$2:$C$50)+IF(E27&lt;=0,0,1566*LOOKUP(E29,密度!$A$2:$A$50,密度!$C$2:$C$50))</f>
        <v>3208.3573048799999</v>
      </c>
      <c r="F28" s="91" ph="1">
        <f>F27*11.702*LOOKUP(F29,密度!$A$2:$A$50,密度!$Q$2:$Q$50)</f>
        <v>3948.0780998</v>
      </c>
      <c r="G28" s="91" ph="1">
        <f>G27*18.322*LOOKUP(G29,密度!$A$2:$A$50,密度!$B$2:$B$50)</f>
        <v>48040.840988799995</v>
      </c>
      <c r="H28" s="91" ph="1">
        <f>H27*18.322*LOOKUP(H29,密度!$A$2:$A$50,密度!$B$2:$B$50)</f>
        <v>41647.846299799996</v>
      </c>
      <c r="I28" s="91" ph="1">
        <f>I27*18.322*LOOKUP(I29,密度!$A$2:$A$50,密度!$Q$2:$Q$50)</f>
        <v>1150.2767799599999</v>
      </c>
      <c r="J28" s="91" ph="1">
        <f>J27*18.322*LOOKUP(J29,密度!$A$2:$A$50,密度!$Q$2:$Q$50)</f>
        <v>47234.905311759998</v>
      </c>
      <c r="K28" s="91" ph="1">
        <f>K27*18.322*LOOKUP(K29,密度!$A$2:$A$50,密度!$Q$2:$Q$50)</f>
        <v>62898.474355320002</v>
      </c>
      <c r="L28" s="91" ph="1">
        <f>L27*18.322*LOOKUP(L29,密度!$A$2:$A$50,密度!$Q$2:$Q$50)</f>
        <v>96432.020237559991</v>
      </c>
      <c r="M28" s="91" ph="1">
        <f>M27*18.322*LOOKUP(M29,密度!$A$2:$A$50,密度!$Q$2:$Q$50)</f>
        <v>32617.8999014</v>
      </c>
      <c r="N28" s="91" ph="1">
        <f>N27*18.322*LOOKUP(N29,密度!$A$2:$A$50,密度!$Q$2:$Q$50)</f>
        <v>10256.175930039999</v>
      </c>
      <c r="O28" s="91" ph="1">
        <f>O27*18.322*LOOKUP(O29,密度!$A$2:$A$50,密度!$C$2:$C$50)</f>
        <v>116541.3720124</v>
      </c>
      <c r="P28" s="91" ph="1">
        <f>P27*11.702*LOOKUP(P29,密度!$A$2:$A$50,密度!$B$2:$B$50)</f>
        <v>5985.4641713999999</v>
      </c>
      <c r="Q28" s="92" ph="1">
        <f>Q27*18.322*LOOKUP(Q29,密度!$A$2:$A$50,密度!$B$2:$B$50)</f>
        <v>64210.887277000002</v>
      </c>
      <c r="R28" s="91" ph="1">
        <f>R27*35.891*LOOKUP(R29,密度!$A$2:$A$50,密度!$C$2:$C$50)</f>
        <v>80347.214873199991</v>
      </c>
      <c r="S28" s="91" ph="1">
        <f>S27*35.891*LOOKUP(S29,密度!$A$2:$A$50,密度!$B$2:$B$50)</f>
        <v>6514.0980596999998</v>
      </c>
      <c r="T28" s="91" ph="1">
        <f>T27*35.891*LOOKUP(T29,密度!$A$2:$A$50,密度!$Q$2:$Q$50)</f>
        <v>28154.918909839998</v>
      </c>
      <c r="U28" s="91" ph="1">
        <f>U27*35.891</f>
        <v>165601.07399999999</v>
      </c>
      <c r="V28" s="91" ph="1">
        <f>V27*47.051*LOOKUP(V29,密度!$A$2:$A$50,密度!$B$2:$B$50)</f>
        <v>116921.42446340002</v>
      </c>
      <c r="W28" s="91" ph="1">
        <f>W27*47.051*LOOKUP(W29,密度!$A$2:$A$50,密度!$B$2:$B$50)</f>
        <v>58069.092643400007</v>
      </c>
      <c r="X28" s="91" ph="1">
        <f>X27*47.051*LOOKUP(X29,密度!$A$2:$A$61,密度!$I$2:$I$61)</f>
        <v>352536.04466660006</v>
      </c>
      <c r="Y28" s="91" ph="1">
        <f>Y27*47.051*LOOKUP(Y29,密度!$A$2:$A$50,密度!$L$2:$L$50)</f>
        <v>340120.48086199997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4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20</v>
      </c>
      <c r="I29" s="74">
        <v>19</v>
      </c>
      <c r="J29" s="74">
        <v>18</v>
      </c>
      <c r="K29" s="74">
        <v>18</v>
      </c>
      <c r="L29" s="74">
        <v>21</v>
      </c>
      <c r="M29" s="74">
        <v>18</v>
      </c>
      <c r="N29" s="74">
        <v>20</v>
      </c>
      <c r="O29" s="74">
        <v>20</v>
      </c>
      <c r="P29" s="74">
        <v>18</v>
      </c>
      <c r="Q29" s="93">
        <v>19</v>
      </c>
      <c r="R29" s="74">
        <v>19</v>
      </c>
      <c r="S29" s="74">
        <v>18</v>
      </c>
      <c r="T29" s="74">
        <v>18</v>
      </c>
      <c r="U29" s="74">
        <v>19</v>
      </c>
      <c r="V29" s="74">
        <v>19</v>
      </c>
      <c r="W29" s="74">
        <v>20</v>
      </c>
      <c r="X29" s="74">
        <v>49</v>
      </c>
      <c r="Y29" s="74">
        <v>21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4" t="s" ph="1">
        <v>5</v>
      </c>
      <c r="F32" s="165" t="s" ph="1">
        <v>43</v>
      </c>
      <c r="G32" s="97" t="s" ph="1">
        <v>4</v>
      </c>
      <c r="H32" s="164" t="s" ph="1">
        <v>5</v>
      </c>
      <c r="I32" s="165" t="s" ph="1">
        <v>43</v>
      </c>
      <c r="J32" s="97" t="s" ph="1">
        <v>4</v>
      </c>
      <c r="K32" s="164" t="s" ph="1">
        <v>5</v>
      </c>
      <c r="L32" s="165" t="s" ph="1">
        <v>43</v>
      </c>
      <c r="M32" s="97" t="s" ph="1">
        <v>4</v>
      </c>
      <c r="N32" s="164" t="s" ph="1">
        <v>5</v>
      </c>
      <c r="O32" s="16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4" t="s" ph="1">
        <v>5</v>
      </c>
      <c r="U32" s="99" t="s" ph="1">
        <v>43</v>
      </c>
      <c r="V32" s="97" t="s" ph="1">
        <v>4</v>
      </c>
      <c r="W32" s="164" t="s" ph="1">
        <v>5</v>
      </c>
      <c r="X32" s="99" t="s" ph="1">
        <v>43</v>
      </c>
      <c r="Y32" s="100" t="s" ph="1">
        <v>4</v>
      </c>
      <c r="Z32" s="164" t="s" ph="1">
        <v>5</v>
      </c>
      <c r="AA32" s="165" t="s" ph="1">
        <v>43</v>
      </c>
      <c r="AB32" s="97" t="s" ph="1">
        <v>85</v>
      </c>
      <c r="AC32" s="16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147818.74774840003</v>
      </c>
      <c r="E33" s="213" ph="1">
        <f>M10+I10</f>
        <v>47490.899884600003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7" ph="1">
        <f>N19</f>
        <v>23469.832176439999</v>
      </c>
      <c r="H33" s="213" ph="1">
        <f>M19</f>
        <v>33465.532207700002</v>
      </c>
      <c r="I33" s="226" ph="1">
        <v>0</v>
      </c>
      <c r="J33" s="224" ph="1">
        <f>F10+O28</f>
        <v>206778.55855240001</v>
      </c>
      <c r="K33" s="213" ph="1">
        <f>O10+K10+E28+R28</f>
        <v>140018.57050848001</v>
      </c>
      <c r="L33" s="228" ph="1">
        <f>K19</f>
        <v>40940.901837800004</v>
      </c>
      <c r="M33" s="224" ph="1">
        <f>G10+H10+W28+S28+V28+E10+R19+P28+Q28</f>
        <v>880838.78552348004</v>
      </c>
      <c r="N33" s="213" ph="1">
        <f>L10+P10++G28+H28+AD19+AE19</f>
        <v>238161.60032479998</v>
      </c>
      <c r="O33" s="226" ph="1">
        <f>G19</f>
        <v>24384.303212399998</v>
      </c>
      <c r="P33" s="224" ph="1">
        <f>L19</f>
        <v>36899.258304720002</v>
      </c>
      <c r="Q33" s="213" ph="1">
        <f>J10+N10</f>
        <v>143830.60242109999</v>
      </c>
      <c r="R33" s="226" ph="1">
        <f>BE23</f>
        <v>890</v>
      </c>
      <c r="S33" s="224" ph="1">
        <f>X28</f>
        <v>352536.04466660006</v>
      </c>
      <c r="T33" s="213" ph="1">
        <f>X19</f>
        <v>9941.6149623599995</v>
      </c>
      <c r="U33" s="234" ph="1">
        <f>BE21</f>
        <v>730</v>
      </c>
      <c r="V33" s="245" ph="1">
        <f ca="1">P19+Q19+S19+M28+N28+J28+D10+AC10+D19+E19+H19+J19+O19+V19+W19+K28+L28</f>
        <v>1222499.2381190178</v>
      </c>
      <c r="W33" s="245" ph="1">
        <f>D28+F28+T28+I28</f>
        <v>38113.903600095997</v>
      </c>
      <c r="X33" s="226" ph="1">
        <f>BE29+BE31</f>
        <v>10200</v>
      </c>
      <c r="Y33" s="247" ph="1">
        <f>+Q10+R10+S10+T10+U10+V10+W10+X10+Y10</f>
        <v>190551.10591439999</v>
      </c>
      <c r="Z33" s="232" ph="1">
        <f>T19+U19+Y28+Z10</f>
        <v>517085.67771717999</v>
      </c>
      <c r="AA33" s="234" ph="1">
        <f>BE19</f>
        <v>1440</v>
      </c>
      <c r="AB33" s="236" ph="1">
        <f>I19</f>
        <v>48714.412913600005</v>
      </c>
      <c r="AC33" s="238" ph="1">
        <f>AD10+AB19</f>
        <v>153262.81490480001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6" t="s" ph="1">
        <v>185</v>
      </c>
      <c r="AA36" s="16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342</v>
      </c>
      <c r="AI37" s="166" t="s" ph="1">
        <v>209</v>
      </c>
      <c r="AJ37" s="166" t="s" ph="1">
        <v>210</v>
      </c>
      <c r="AK37" s="166" t="s" ph="1">
        <v>211</v>
      </c>
      <c r="AM37" s="166" t="s" ph="1">
        <v>210</v>
      </c>
      <c r="AN37" s="166" t="s" ph="1">
        <v>211</v>
      </c>
      <c r="AO37" s="166" t="s" ph="1">
        <v>212</v>
      </c>
      <c r="AP37" s="166" t="s" ph="1">
        <v>210</v>
      </c>
      <c r="AQ37" s="166" t="s" ph="1">
        <v>211</v>
      </c>
      <c r="AR37" s="166" t="s" ph="1">
        <v>212</v>
      </c>
      <c r="AS37" s="166" t="s" ph="1">
        <v>210</v>
      </c>
      <c r="AT37" s="166" t="s" ph="1">
        <v>211</v>
      </c>
      <c r="AU37" s="166" t="s" ph="1">
        <v>212</v>
      </c>
      <c r="AV37" s="166" t="s" ph="1">
        <v>210</v>
      </c>
      <c r="AW37" s="166" t="s" ph="1">
        <v>211</v>
      </c>
      <c r="AX37" s="166" t="s" ph="1">
        <v>212</v>
      </c>
      <c r="AY37" s="166" t="s" ph="1">
        <v>211</v>
      </c>
      <c r="AZ37" s="166" t="s" ph="1">
        <v>213</v>
      </c>
      <c r="BD37" s="166" t="s" ph="1">
        <v>305</v>
      </c>
      <c r="BE37" s="16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429" priority="100">
      <formula>ABS(D$7-D$10)&gt;=1000</formula>
    </cfRule>
  </conditionalFormatting>
  <conditionalFormatting sqref="E4 E6:E11">
    <cfRule type="expression" dxfId="1428" priority="99">
      <formula>ABS(E$7-E$10)&gt;=1000</formula>
    </cfRule>
  </conditionalFormatting>
  <conditionalFormatting sqref="F4:F11">
    <cfRule type="expression" dxfId="1427" priority="98">
      <formula>ABS(F$7-F$10)&gt;=1000</formula>
    </cfRule>
  </conditionalFormatting>
  <conditionalFormatting sqref="G4:G11">
    <cfRule type="expression" dxfId="1426" priority="97">
      <formula>ABS(G$7-G$10)&gt;=1000</formula>
    </cfRule>
  </conditionalFormatting>
  <conditionalFormatting sqref="H4:H11">
    <cfRule type="expression" dxfId="1425" priority="96">
      <formula>ABS(H$7-H$10)&gt;=1000</formula>
    </cfRule>
  </conditionalFormatting>
  <conditionalFormatting sqref="I4:I11">
    <cfRule type="expression" dxfId="1424" priority="95">
      <formula>ABS(I$7-I$10)&gt;=1000</formula>
    </cfRule>
  </conditionalFormatting>
  <conditionalFormatting sqref="J4:J11">
    <cfRule type="expression" dxfId="1423" priority="94">
      <formula>ABS(J$7-J$10)&gt;=1000</formula>
    </cfRule>
  </conditionalFormatting>
  <conditionalFormatting sqref="K4:K11">
    <cfRule type="expression" dxfId="1422" priority="93">
      <formula>ABS(K$7-K$10)&gt;=1000</formula>
    </cfRule>
  </conditionalFormatting>
  <conditionalFormatting sqref="L4:L11">
    <cfRule type="expression" dxfId="1421" priority="92">
      <formula>ABS(L$7-L$10)&gt;=1000</formula>
    </cfRule>
  </conditionalFormatting>
  <conditionalFormatting sqref="M4 M6:M11">
    <cfRule type="expression" dxfId="1420" priority="91">
      <formula>ABS(M$7-M$10)&gt;=1000</formula>
    </cfRule>
  </conditionalFormatting>
  <conditionalFormatting sqref="N4 N6:N11">
    <cfRule type="expression" dxfId="1419" priority="90">
      <formula>ABS(N$7-N$10)&gt;=1000</formula>
    </cfRule>
  </conditionalFormatting>
  <conditionalFormatting sqref="O4 O6:O11">
    <cfRule type="expression" dxfId="1418" priority="89">
      <formula>ABS(O$7-O$10)&gt;=1000</formula>
    </cfRule>
  </conditionalFormatting>
  <conditionalFormatting sqref="P4 P6:P11">
    <cfRule type="expression" dxfId="1417" priority="88">
      <formula>ABS(P$7-P$10)&gt;=1000</formula>
    </cfRule>
  </conditionalFormatting>
  <conditionalFormatting sqref="Q4:Q11">
    <cfRule type="expression" dxfId="1416" priority="87">
      <formula>ABS(Q$7-Q$10)&gt;=1000</formula>
    </cfRule>
  </conditionalFormatting>
  <conditionalFormatting sqref="R4:R11">
    <cfRule type="expression" dxfId="1415" priority="86">
      <formula>ABS(R$7-R$10)&gt;=1000</formula>
    </cfRule>
  </conditionalFormatting>
  <conditionalFormatting sqref="S4:S11">
    <cfRule type="expression" dxfId="1414" priority="85">
      <formula>ABS(S$7-S$10)&gt;=1000</formula>
    </cfRule>
  </conditionalFormatting>
  <conditionalFormatting sqref="T4:T9 T11">
    <cfRule type="expression" dxfId="1413" priority="84">
      <formula>ABS(T$7-T$10)&gt;=1000</formula>
    </cfRule>
  </conditionalFormatting>
  <conditionalFormatting sqref="U4:U9 U11">
    <cfRule type="expression" dxfId="1412" priority="83">
      <formula>ABS(U$7-U$10)&gt;=1000</formula>
    </cfRule>
  </conditionalFormatting>
  <conditionalFormatting sqref="V4:V9 V11">
    <cfRule type="expression" dxfId="1411" priority="82">
      <formula>ABS(V$7-V$10)&gt;=1000</formula>
    </cfRule>
  </conditionalFormatting>
  <conditionalFormatting sqref="W4:W9 W11">
    <cfRule type="expression" dxfId="1410" priority="81">
      <formula>ABS(W$7-W$10)&gt;=1000</formula>
    </cfRule>
  </conditionalFormatting>
  <conditionalFormatting sqref="X4:X9 X11">
    <cfRule type="expression" dxfId="1409" priority="80">
      <formula>ABS(X$7-X$10)&gt;=1000</formula>
    </cfRule>
  </conditionalFormatting>
  <conditionalFormatting sqref="Y4:Y9 Y11">
    <cfRule type="expression" dxfId="1408" priority="79">
      <formula>ABS(Y$7-Y$10)&gt;=1000</formula>
    </cfRule>
  </conditionalFormatting>
  <conditionalFormatting sqref="Z4:Z11">
    <cfRule type="expression" dxfId="1407" priority="78">
      <formula>ABS(Z$7-Z$10)&gt;=1000</formula>
    </cfRule>
  </conditionalFormatting>
  <conditionalFormatting sqref="AA4:AA11">
    <cfRule type="expression" dxfId="1406" priority="77">
      <formula>ABS(AA$7-AA$10)&gt;=1000</formula>
    </cfRule>
  </conditionalFormatting>
  <conditionalFormatting sqref="AB4:AB11">
    <cfRule type="expression" dxfId="1405" priority="76">
      <formula>ABS(AB$7-AB$10)&gt;=1000</formula>
    </cfRule>
  </conditionalFormatting>
  <conditionalFormatting sqref="AC4 AC6:AC11">
    <cfRule type="expression" dxfId="1404" priority="75">
      <formula>ABS(AC$7-AC$10)&gt;=1000</formula>
    </cfRule>
  </conditionalFormatting>
  <conditionalFormatting sqref="AD4 AD6:AD11">
    <cfRule type="expression" dxfId="1403" priority="74">
      <formula>ABS(AD$7-AD$10)&gt;=1000</formula>
    </cfRule>
  </conditionalFormatting>
  <conditionalFormatting sqref="AE4 AE6:AE11">
    <cfRule type="expression" dxfId="1402" priority="73">
      <formula>ABS(AE$7-AE$10)&gt;=1000</formula>
    </cfRule>
  </conditionalFormatting>
  <conditionalFormatting sqref="D13:D20">
    <cfRule type="expression" dxfId="1401" priority="72">
      <formula>ABS(D$16-D$19)&gt;=1000</formula>
    </cfRule>
  </conditionalFormatting>
  <conditionalFormatting sqref="E13:E20">
    <cfRule type="expression" dxfId="1400" priority="71">
      <formula>ABS(E$16-E$19)&gt;=1000</formula>
    </cfRule>
  </conditionalFormatting>
  <conditionalFormatting sqref="F13 F15:F20">
    <cfRule type="expression" dxfId="1399" priority="70">
      <formula>ABS(F$16-F$19)&gt;=1000</formula>
    </cfRule>
  </conditionalFormatting>
  <conditionalFormatting sqref="G13:G20">
    <cfRule type="expression" dxfId="1398" priority="69">
      <formula>ABS(G$16-G$19)&gt;=1000</formula>
    </cfRule>
  </conditionalFormatting>
  <conditionalFormatting sqref="H13 H15:H20">
    <cfRule type="expression" dxfId="1397" priority="68">
      <formula>ABS(H$16-H$19)&gt;=1000</formula>
    </cfRule>
  </conditionalFormatting>
  <conditionalFormatting sqref="I13:I20">
    <cfRule type="expression" dxfId="1396" priority="67">
      <formula>ABS(I$16-I$19)&gt;=1000</formula>
    </cfRule>
  </conditionalFormatting>
  <conditionalFormatting sqref="J13:J20">
    <cfRule type="expression" dxfId="1395" priority="66">
      <formula>ABS(J$16-J$19)&gt;=1000</formula>
    </cfRule>
  </conditionalFormatting>
  <conditionalFormatting sqref="L13:L20">
    <cfRule type="expression" dxfId="1394" priority="65">
      <formula>ABS(L$16-L$19)&gt;=1000</formula>
    </cfRule>
  </conditionalFormatting>
  <conditionalFormatting sqref="M13 M15 M17:M18 M20">
    <cfRule type="expression" dxfId="1393" priority="64">
      <formula>ABS(M$16-M$19)&gt;=1000</formula>
    </cfRule>
  </conditionalFormatting>
  <conditionalFormatting sqref="N13:N20">
    <cfRule type="expression" dxfId="1392" priority="63">
      <formula>ABS(N$16-N$19)&gt;=1000</formula>
    </cfRule>
  </conditionalFormatting>
  <conditionalFormatting sqref="O13:O20">
    <cfRule type="expression" dxfId="1391" priority="62">
      <formula>ABS(O$16-O$19)&gt;=1000</formula>
    </cfRule>
  </conditionalFormatting>
  <conditionalFormatting sqref="P13:P20">
    <cfRule type="expression" dxfId="1390" priority="61">
      <formula>ABS(P$16-P$19)&gt;=1000</formula>
    </cfRule>
  </conditionalFormatting>
  <conditionalFormatting sqref="Q13 Q15:Q20">
    <cfRule type="expression" dxfId="1389" priority="60">
      <formula>ABS(Q$16-Q$19)&gt;=1000</formula>
    </cfRule>
  </conditionalFormatting>
  <conditionalFormatting sqref="R13:R20">
    <cfRule type="expression" dxfId="1388" priority="59">
      <formula>ABS(R$16-R$19)&gt;=1000</formula>
    </cfRule>
  </conditionalFormatting>
  <conditionalFormatting sqref="S13:S20">
    <cfRule type="expression" dxfId="1387" priority="58">
      <formula>ABS(S$16-S$19)&gt;=1000</formula>
    </cfRule>
  </conditionalFormatting>
  <conditionalFormatting sqref="T13:T20">
    <cfRule type="expression" dxfId="1386" priority="57">
      <formula>ABS(T$16-T$19)&gt;=1000</formula>
    </cfRule>
  </conditionalFormatting>
  <conditionalFormatting sqref="U13:U20">
    <cfRule type="expression" dxfId="1385" priority="56">
      <formula>ABS(U$16-U$19)&gt;=1000</formula>
    </cfRule>
  </conditionalFormatting>
  <conditionalFormatting sqref="V13:V20">
    <cfRule type="expression" dxfId="1384" priority="55">
      <formula>ABS(V$16-V$19)&gt;=1000</formula>
    </cfRule>
  </conditionalFormatting>
  <conditionalFormatting sqref="W13 W20 W15:W18">
    <cfRule type="expression" dxfId="1383" priority="54">
      <formula>ABS(W$16-W$19)&gt;=1000</formula>
    </cfRule>
  </conditionalFormatting>
  <conditionalFormatting sqref="X13 X15:X20 Y19">
    <cfRule type="expression" dxfId="1382" priority="53">
      <formula>ABS(X$16-X$19)&gt;=1000</formula>
    </cfRule>
  </conditionalFormatting>
  <conditionalFormatting sqref="Y13 Y15:Y18 Y20">
    <cfRule type="expression" dxfId="1381" priority="52">
      <formula>ABS(Y$16-Y$19)&gt;=1000</formula>
    </cfRule>
  </conditionalFormatting>
  <conditionalFormatting sqref="Z13:Z20">
    <cfRule type="expression" dxfId="1380" priority="51">
      <formula>ABS(Z$16-Z$19)&gt;=1000</formula>
    </cfRule>
  </conditionalFormatting>
  <conditionalFormatting sqref="AA13:AA20">
    <cfRule type="expression" dxfId="1379" priority="50">
      <formula>ABS(AA$16-AA$19)&gt;=1000</formula>
    </cfRule>
  </conditionalFormatting>
  <conditionalFormatting sqref="AB13 AB15:AB20">
    <cfRule type="expression" dxfId="1378" priority="49">
      <formula>ABS(AB$16-AB$19)&gt;=1000</formula>
    </cfRule>
  </conditionalFormatting>
  <conditionalFormatting sqref="AC13 AC15:AC20">
    <cfRule type="expression" dxfId="1377" priority="48">
      <formula>ABS(AC$16-AC$19)&gt;=1000</formula>
    </cfRule>
  </conditionalFormatting>
  <conditionalFormatting sqref="AD13:AD20">
    <cfRule type="expression" dxfId="1376" priority="47">
      <formula>ABS(AD$16-AD$19)&gt;=1000</formula>
    </cfRule>
  </conditionalFormatting>
  <conditionalFormatting sqref="AE13:AE20">
    <cfRule type="expression" dxfId="1375" priority="46">
      <formula>ABS(AE$16-AE$19)&gt;=1000</formula>
    </cfRule>
  </conditionalFormatting>
  <conditionalFormatting sqref="D22:D29">
    <cfRule type="expression" dxfId="1374" priority="45">
      <formula>ABS(D$25-D$28)&gt;=1000</formula>
    </cfRule>
  </conditionalFormatting>
  <conditionalFormatting sqref="E22:E29">
    <cfRule type="expression" dxfId="1373" priority="44">
      <formula>ABS(E$25-E$28)&gt;=1000</formula>
    </cfRule>
  </conditionalFormatting>
  <conditionalFormatting sqref="F22:F29">
    <cfRule type="expression" dxfId="1372" priority="43">
      <formula>ABS(F$25-F$28)&gt;=1000</formula>
    </cfRule>
  </conditionalFormatting>
  <conditionalFormatting sqref="G22:G29">
    <cfRule type="expression" dxfId="1371" priority="42">
      <formula>ABS(G$25-G$28)&gt;=1000</formula>
    </cfRule>
  </conditionalFormatting>
  <conditionalFormatting sqref="H22:H29">
    <cfRule type="expression" dxfId="1370" priority="41">
      <formula>ABS(H$25-H$28)&gt;=1000</formula>
    </cfRule>
  </conditionalFormatting>
  <conditionalFormatting sqref="I22 I24:I29">
    <cfRule type="expression" dxfId="1369" priority="40">
      <formula>ABS(I$25-I$28)&gt;=1000</formula>
    </cfRule>
  </conditionalFormatting>
  <conditionalFormatting sqref="J22:J29 K22">
    <cfRule type="expression" dxfId="1368" priority="39">
      <formula>ABS(J$25-J$28)&gt;=1000</formula>
    </cfRule>
  </conditionalFormatting>
  <conditionalFormatting sqref="K23:K29 L25 L28">
    <cfRule type="expression" dxfId="1367" priority="38">
      <formula>ABS(K$25-K$28)&gt;=1000</formula>
    </cfRule>
  </conditionalFormatting>
  <conditionalFormatting sqref="L22 L26:L27 L29 L24">
    <cfRule type="expression" dxfId="1366" priority="37">
      <formula>ABS(L$25-L$28)&gt;=1000</formula>
    </cfRule>
  </conditionalFormatting>
  <conditionalFormatting sqref="M22:M29">
    <cfRule type="expression" dxfId="1365" priority="36">
      <formula>ABS(M$25-M$28)&gt;=1000</formula>
    </cfRule>
  </conditionalFormatting>
  <conditionalFormatting sqref="N22:N29">
    <cfRule type="expression" dxfId="1364" priority="35">
      <formula>ABS(N$25-N$28)&gt;=1000</formula>
    </cfRule>
  </conditionalFormatting>
  <conditionalFormatting sqref="O22:O29">
    <cfRule type="expression" dxfId="1363" priority="34">
      <formula>ABS(O$25-O$28)&gt;=1000</formula>
    </cfRule>
  </conditionalFormatting>
  <conditionalFormatting sqref="P22:P29">
    <cfRule type="expression" dxfId="1362" priority="33">
      <formula>ABS(P$25-P$28)&gt;=1000</formula>
    </cfRule>
  </conditionalFormatting>
  <conditionalFormatting sqref="Q22:Q29">
    <cfRule type="expression" dxfId="1361" priority="32">
      <formula>ABS(Q$25-Q$28)&gt;=1000</formula>
    </cfRule>
  </conditionalFormatting>
  <conditionalFormatting sqref="R22:R29">
    <cfRule type="expression" dxfId="1360" priority="31">
      <formula>ABS(R$25-R$28)&gt;=1000</formula>
    </cfRule>
  </conditionalFormatting>
  <conditionalFormatting sqref="S22:S29">
    <cfRule type="expression" dxfId="1359" priority="30">
      <formula>ABS(S$25-S$28)&gt;=1000</formula>
    </cfRule>
  </conditionalFormatting>
  <conditionalFormatting sqref="T22:T29">
    <cfRule type="expression" dxfId="1358" priority="29">
      <formula>ABS(T$25-T$28)&gt;=1000</formula>
    </cfRule>
  </conditionalFormatting>
  <conditionalFormatting sqref="U22:U29">
    <cfRule type="expression" dxfId="1357" priority="28">
      <formula>ABS(U$25-U$28)&gt;=1000</formula>
    </cfRule>
  </conditionalFormatting>
  <conditionalFormatting sqref="V22:V29">
    <cfRule type="expression" dxfId="1356" priority="27">
      <formula>ABS(V$25-V$28)&gt;=1000</formula>
    </cfRule>
  </conditionalFormatting>
  <conditionalFormatting sqref="W22:W29">
    <cfRule type="expression" dxfId="1355" priority="26">
      <formula>ABS(W$25-W$28)&gt;=1000</formula>
    </cfRule>
  </conditionalFormatting>
  <conditionalFormatting sqref="X22:X29">
    <cfRule type="expression" dxfId="1354" priority="25">
      <formula>ABS(X$25-X$28)&gt;=1000</formula>
    </cfRule>
  </conditionalFormatting>
  <conditionalFormatting sqref="Y22:Y29">
    <cfRule type="expression" dxfId="1353" priority="24">
      <formula>ABS(Y$25-Y$28)&gt;=1000</formula>
    </cfRule>
  </conditionalFormatting>
  <conditionalFormatting sqref="I23">
    <cfRule type="expression" dxfId="1352" priority="23">
      <formula>ABS(I$25-I$28)&gt;=1000</formula>
    </cfRule>
  </conditionalFormatting>
  <conditionalFormatting sqref="Q14">
    <cfRule type="expression" dxfId="1351" priority="22">
      <formula>ABS(Q$16-Q$19)&gt;=1000</formula>
    </cfRule>
  </conditionalFormatting>
  <conditionalFormatting sqref="W14">
    <cfRule type="expression" dxfId="1350" priority="21">
      <formula>ABS(W$16-W$19)&gt;=1000</formula>
    </cfRule>
  </conditionalFormatting>
  <conditionalFormatting sqref="X14">
    <cfRule type="expression" dxfId="1349" priority="20">
      <formula>ABS(X$16-X$19)&gt;=1000</formula>
    </cfRule>
  </conditionalFormatting>
  <conditionalFormatting sqref="T10:Y10">
    <cfRule type="expression" dxfId="1348" priority="19">
      <formula>ABS(T$7-T$10)&gt;=1000</formula>
    </cfRule>
  </conditionalFormatting>
  <conditionalFormatting sqref="W19">
    <cfRule type="expression" dxfId="1347" priority="18">
      <formula>ABS(W$16-W$19)&gt;=1000</formula>
    </cfRule>
  </conditionalFormatting>
  <conditionalFormatting sqref="AC5">
    <cfRule type="expression" dxfId="1346" priority="17">
      <formula>ABS(AC$7-AC$10)&gt;=1000</formula>
    </cfRule>
  </conditionalFormatting>
  <conditionalFormatting sqref="M14">
    <cfRule type="expression" dxfId="1345" priority="16">
      <formula>ABS(M$16-M$19)&gt;=1000</formula>
    </cfRule>
  </conditionalFormatting>
  <conditionalFormatting sqref="M16">
    <cfRule type="expression" dxfId="1344" priority="15">
      <formula>ABS(M$16-M$19)&gt;=1000</formula>
    </cfRule>
  </conditionalFormatting>
  <conditionalFormatting sqref="M19">
    <cfRule type="expression" dxfId="1343" priority="14">
      <formula>ABS(M$16-M$19)&gt;=1000</formula>
    </cfRule>
  </conditionalFormatting>
  <conditionalFormatting sqref="K13:K20">
    <cfRule type="expression" dxfId="1342" priority="13">
      <formula>ABS(K$16-K$19)&gt;=1000</formula>
    </cfRule>
  </conditionalFormatting>
  <conditionalFormatting sqref="E5">
    <cfRule type="expression" dxfId="1341" priority="12">
      <formula>ABS(E$7-E$10)&gt;=1000</formula>
    </cfRule>
  </conditionalFormatting>
  <conditionalFormatting sqref="AB14:AC14">
    <cfRule type="expression" dxfId="1340" priority="11">
      <formula>ABS(AB$16-AB$19)&gt;=1000</formula>
    </cfRule>
  </conditionalFormatting>
  <conditionalFormatting sqref="M5">
    <cfRule type="expression" dxfId="1339" priority="10">
      <formula>ABS(M$7-M$10)&gt;=1000</formula>
    </cfRule>
  </conditionalFormatting>
  <conditionalFormatting sqref="N5">
    <cfRule type="expression" dxfId="1338" priority="9">
      <formula>ABS(N$7-N$10)&gt;=1000</formula>
    </cfRule>
  </conditionalFormatting>
  <conditionalFormatting sqref="O5">
    <cfRule type="expression" dxfId="1337" priority="8">
      <formula>ABS(O$7-O$10)&gt;=1000</formula>
    </cfRule>
  </conditionalFormatting>
  <conditionalFormatting sqref="P5">
    <cfRule type="expression" dxfId="1336" priority="7">
      <formula>ABS(P$7-P$10)&gt;=1000</formula>
    </cfRule>
  </conditionalFormatting>
  <conditionalFormatting sqref="L23">
    <cfRule type="expression" dxfId="1335" priority="6">
      <formula>ABS(L$25-L$28)&gt;=1000</formula>
    </cfRule>
  </conditionalFormatting>
  <conditionalFormatting sqref="Y14">
    <cfRule type="expression" dxfId="1334" priority="5">
      <formula>ABS(Y$16-Y$19)&gt;=1000</formula>
    </cfRule>
  </conditionalFormatting>
  <conditionalFormatting sqref="F14">
    <cfRule type="expression" dxfId="1333" priority="4">
      <formula>ABS(F$16-F$19)&gt;=1000</formula>
    </cfRule>
  </conditionalFormatting>
  <conditionalFormatting sqref="H14">
    <cfRule type="expression" dxfId="1332" priority="3">
      <formula>ABS(H$16-H$19)&gt;=1000</formula>
    </cfRule>
  </conditionalFormatting>
  <conditionalFormatting sqref="AD5">
    <cfRule type="expression" dxfId="1331" priority="2">
      <formula>ABS(AD$7-AD$10)&gt;=1000</formula>
    </cfRule>
  </conditionalFormatting>
  <conditionalFormatting sqref="AE5">
    <cfRule type="expression" dxfId="13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61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09">
    <pageSetUpPr fitToPage="1"/>
  </sheetPr>
  <dimension ref="A1:CU223"/>
  <sheetViews>
    <sheetView view="pageBreakPreview" topLeftCell="A10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46041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4" t="s" ph="1">
        <v>177</v>
      </c>
      <c r="D6" s="71">
        <v>7087</v>
      </c>
      <c r="E6" s="71">
        <v>0</v>
      </c>
      <c r="F6" s="71">
        <v>2442</v>
      </c>
      <c r="G6" s="71">
        <v>3654</v>
      </c>
      <c r="H6" s="71">
        <v>7619</v>
      </c>
      <c r="I6" s="71">
        <v>0.08</v>
      </c>
      <c r="J6" s="71">
        <v>6.6</v>
      </c>
      <c r="K6" s="71">
        <v>7.34</v>
      </c>
      <c r="L6" s="71">
        <v>32.869999999999997</v>
      </c>
      <c r="M6" s="71">
        <v>1389</v>
      </c>
      <c r="N6" s="71">
        <v>5206</v>
      </c>
      <c r="O6" s="71">
        <v>2381</v>
      </c>
      <c r="P6" s="71">
        <v>4198</v>
      </c>
      <c r="Q6" s="71">
        <v>0</v>
      </c>
      <c r="R6" s="71">
        <v>0</v>
      </c>
      <c r="S6" s="71">
        <v>0</v>
      </c>
      <c r="T6" s="71">
        <v>6618</v>
      </c>
      <c r="U6" s="71">
        <v>6998</v>
      </c>
      <c r="V6" s="71">
        <v>5729</v>
      </c>
      <c r="W6" s="71">
        <v>6972</v>
      </c>
      <c r="X6" s="71">
        <v>5206</v>
      </c>
      <c r="Y6" s="71">
        <v>0</v>
      </c>
      <c r="Z6" s="71">
        <v>2976</v>
      </c>
      <c r="AA6" s="71">
        <v>2885</v>
      </c>
      <c r="AB6" s="71">
        <v>2316</v>
      </c>
      <c r="AC6" s="71">
        <v>9108</v>
      </c>
      <c r="AD6" s="71">
        <v>4780</v>
      </c>
      <c r="AE6" s="71">
        <v>3740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223882.21247121002</v>
      </c>
      <c r="E7" s="73" ph="1">
        <f>E6*51.53*LOOKUP(E8,密度!$A$2:$A$50,密度!$B$2:$B$50)</f>
        <v>0</v>
      </c>
      <c r="F7" s="73" ph="1">
        <f>F6*33.183*LOOKUP(F8,密度!$A$2:$A$50,密度!$C$2:$C$50)</f>
        <v>90311.151446999997</v>
      </c>
      <c r="G7" s="73" ph="1">
        <f xml:space="preserve"> (G6+2)*51.53*LOOKUP(G8,密度!$A$2:$A$50,密度!$B$2:$B$50)</f>
        <v>148020.91437599997</v>
      </c>
      <c r="H7" s="73" ph="1">
        <f>(H6)*51.53*LOOKUP(H8,密度!$A$2:$A$50,密度!$B$2:$B$50)</f>
        <v>309060.28550400003</v>
      </c>
      <c r="I7" s="73" ph="1">
        <f>I6*290.8*1.0267</f>
        <v>23.885148800000003</v>
      </c>
      <c r="J7" s="73" ph="1">
        <f>J6*290.8*0.7892</f>
        <v>1514.695776</v>
      </c>
      <c r="K7" s="73" ph="1">
        <f>K6*290.8*1.1126</f>
        <v>2374.8135472000004</v>
      </c>
      <c r="L7" s="73" ph="1">
        <f>L6*290.8*0.777</f>
        <v>7427.0290919999998</v>
      </c>
      <c r="M7" s="73" ph="1">
        <f>M6*33.183*LOOKUP(M8,密度!$A$2:$A$50,密度!$D$2:$D$50)</f>
        <v>47695.160307599996</v>
      </c>
      <c r="N7" s="73" ph="1">
        <f>N6*33.183*LOOKUP(N8,密度!$A$2:$A$50,密度!$E$2:$E$50)</f>
        <v>136524.87662940001</v>
      </c>
      <c r="O7" s="73" ph="1">
        <f>O6*20.428*LOOKUP(O8,密度!$A$2:$A$50,密度!$C$2:$C$50)</f>
        <v>54081.779709200004</v>
      </c>
      <c r="P7" s="73" ph="1">
        <f>P6*51.53*LOOKUP(P8,密度!$A$2:$A$50,密度!$B$2:$B$50)</f>
        <v>169964.93395799998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44394.215065199998</v>
      </c>
      <c r="U7" s="73" ph="1">
        <f>U6*1.5*1.5*3.1416*LOOKUP(U8,密度!$A$2:$A$50,密度!$L$2:$L$50)</f>
        <v>46695.963283199999</v>
      </c>
      <c r="V7" s="73" ph="1">
        <f>V6*1.5*1.5*3.1416*LOOKUP(V8,密度!$A$2:$A$50,密度!$L$2:$L$50)</f>
        <v>38025.752826600001</v>
      </c>
      <c r="W7" s="73" ph="1">
        <f>W6*1.5*1.5*3.1416*LOOKUP(W8,密度!$A$2:$A$50,密度!$L$2:$L$50)</f>
        <v>46473.189285599998</v>
      </c>
      <c r="X7" s="73" ph="1">
        <f>X6*1.5*1.5*3.1416*LOOKUP(X8,密度!$A$2:$A$50,密度!$L$2:$L$50)</f>
        <v>35106.371546399998</v>
      </c>
      <c r="Y7" s="73" ph="1">
        <f>Y6*1.5*1.5*3.1416*LOOKUP(Y8,密度!$A$2:$A$50,密度!$L$2:$L$50)</f>
        <v>0</v>
      </c>
      <c r="Z7" s="73" ph="1">
        <f>Z6*33.183*LOOKUP(Z8,密度!$A$2:$A$50,密度!$L$2:$L$50)</f>
        <v>93716.224991999989</v>
      </c>
      <c r="AA7" s="73" ph="1">
        <f>AA6*33.183*LOOKUP(AA8,密度!$A$2:$A$50,密度!$D$2:$D$50)</f>
        <v>98901.715810499998</v>
      </c>
      <c r="AB7" s="73" ph="1">
        <f>AB6*20.428*LOOKUP(AB8,密度!$A$2:$A$50,密度!$D$2:$D$50)</f>
        <v>49203.697919999999</v>
      </c>
      <c r="AC7" s="73" ph="1">
        <f>AC6*51.53*LOOKUP(AC8,密度!$A$2:$A$50,密度!$Q$2:$Q$50)</f>
        <v>447999.25998959999</v>
      </c>
      <c r="AD7" s="73" ph="1">
        <f>AD6*20.428*LOOKUP(AD8,密度!$A$2:$A$50,密度!$V$2:$V$50)</f>
        <v>94130.589760000003</v>
      </c>
      <c r="AE7" s="73" ph="1">
        <f>AE6*20.428</f>
        <v>76400.72</v>
      </c>
    </row>
    <row r="8" spans="1:99" ph="1">
      <c r="B8" s="191" ph="1"/>
      <c r="C8" s="68" t="s" ph="1">
        <v>179</v>
      </c>
      <c r="D8" s="74">
        <v>18</v>
      </c>
      <c r="E8" s="74">
        <v>15</v>
      </c>
      <c r="F8" s="74">
        <v>17</v>
      </c>
      <c r="G8" s="74">
        <v>18</v>
      </c>
      <c r="H8" s="74">
        <v>16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19</v>
      </c>
      <c r="O8" s="74">
        <v>21</v>
      </c>
      <c r="P8" s="74">
        <v>18</v>
      </c>
      <c r="Q8" s="74">
        <v>19</v>
      </c>
      <c r="R8" s="74">
        <v>22</v>
      </c>
      <c r="S8" s="74">
        <v>14</v>
      </c>
      <c r="T8" s="74">
        <v>13</v>
      </c>
      <c r="U8" s="74">
        <v>18</v>
      </c>
      <c r="V8" s="74">
        <v>23</v>
      </c>
      <c r="W8" s="74">
        <v>19</v>
      </c>
      <c r="X8" s="74">
        <v>8</v>
      </c>
      <c r="Y8" s="74">
        <v>17</v>
      </c>
      <c r="Z8" s="74">
        <v>13</v>
      </c>
      <c r="AA8" s="74">
        <v>18</v>
      </c>
      <c r="AB8" s="74">
        <v>10</v>
      </c>
      <c r="AC8" s="74">
        <v>15</v>
      </c>
      <c r="AD8" s="74">
        <v>15</v>
      </c>
      <c r="AE8" s="74">
        <v>21</v>
      </c>
    </row>
    <row r="9" spans="1:99" ph="1">
      <c r="B9" s="191" ph="1">
        <v>0.66666666666666663</v>
      </c>
      <c r="C9" s="164" t="s" ph="1">
        <v>180</v>
      </c>
      <c r="D9" s="71">
        <v>7087</v>
      </c>
      <c r="E9" s="71">
        <v>0</v>
      </c>
      <c r="F9" s="71">
        <v>2441</v>
      </c>
      <c r="G9" s="71">
        <v>3379</v>
      </c>
      <c r="H9" s="71">
        <v>7335</v>
      </c>
      <c r="I9" s="71">
        <v>7.0000000000000007E-2</v>
      </c>
      <c r="J9" s="71">
        <v>6.64</v>
      </c>
      <c r="K9" s="71">
        <v>7.4</v>
      </c>
      <c r="L9" s="71">
        <v>31.21</v>
      </c>
      <c r="M9" s="71">
        <v>1388</v>
      </c>
      <c r="N9" s="71">
        <v>5038</v>
      </c>
      <c r="O9" s="71">
        <v>1429</v>
      </c>
      <c r="P9" s="71">
        <v>4098</v>
      </c>
      <c r="Q9" s="71">
        <v>0</v>
      </c>
      <c r="R9" s="71">
        <v>0</v>
      </c>
      <c r="S9" s="71">
        <v>0</v>
      </c>
      <c r="T9" s="71">
        <v>1720</v>
      </c>
      <c r="U9" s="71">
        <v>7001</v>
      </c>
      <c r="V9" s="71">
        <v>5733</v>
      </c>
      <c r="W9" s="71">
        <v>6979</v>
      </c>
      <c r="X9" s="71">
        <v>7090</v>
      </c>
      <c r="Y9" s="71">
        <v>3248</v>
      </c>
      <c r="Z9" s="71">
        <v>1160</v>
      </c>
      <c r="AA9" s="71">
        <v>2884</v>
      </c>
      <c r="AB9" s="71">
        <v>2315</v>
      </c>
      <c r="AC9" s="71">
        <v>9265</v>
      </c>
      <c r="AD9" s="71">
        <v>4780</v>
      </c>
      <c r="AE9" s="71">
        <v>3870</v>
      </c>
    </row>
    <row r="10" spans="1:99" s="72" customFormat="1" ht="22.5" ph="1">
      <c r="B10" s="191" ph="1"/>
      <c r="C10" s="164" t="s" ph="1">
        <v>178</v>
      </c>
      <c r="D10" s="73" ph="1">
        <f>D9*33.183*LOOKUP(D11,密度!$A$2:$A$50,密度!$Q$2:$Q$50)</f>
        <v>223882.21247121002</v>
      </c>
      <c r="E10" s="73" ph="1">
        <f>E9*51.53*LOOKUP(E11,密度!$A$2:$A$50,密度!$B$2:$B$50)</f>
        <v>0</v>
      </c>
      <c r="F10" s="73" ph="1">
        <f>F9*33.183*LOOKUP(F11,密度!$A$2:$A$50,密度!$C$2:$C$50)</f>
        <v>90225.569171699986</v>
      </c>
      <c r="G10" s="73" ph="1">
        <f xml:space="preserve"> (G9+2)*51.53*LOOKUP(G11,密度!$A$2:$A$50,密度!$B$2:$B$50)</f>
        <v>136747.57775699999</v>
      </c>
      <c r="H10" s="73" ph="1">
        <f>(H9)*51.53*LOOKUP(H11,密度!$A$2:$A$50,密度!$B$2:$B$50)</f>
        <v>297237.61332</v>
      </c>
      <c r="I10" s="73" ph="1">
        <f>I9*290.8*1.0267</f>
        <v>20.8995052</v>
      </c>
      <c r="J10" s="73" ph="1">
        <f>J9*290.8*0.7892</f>
        <v>1523.8757504</v>
      </c>
      <c r="K10" s="73" ph="1">
        <f>K9*290.8*1.1126</f>
        <v>2394.2261920000001</v>
      </c>
      <c r="L10" s="73" ph="1">
        <f>L9*290.8*0.777</f>
        <v>7051.9494360000008</v>
      </c>
      <c r="M10" s="73" ph="1">
        <f>M9*33.183*LOOKUP(M11,密度!$A$2:$A$50,密度!$D$2:$D$50)</f>
        <v>47504.225325600004</v>
      </c>
      <c r="N10" s="73" ph="1">
        <f>N9*33.183*LOOKUP(N11,密度!$A$2:$A$50,密度!$E$2:$E$50)</f>
        <v>131935.26289680001</v>
      </c>
      <c r="O10" s="73" ph="1">
        <f>O9*20.428*LOOKUP(O11,密度!$A$2:$A$50,密度!$C$2:$C$50)</f>
        <v>32516.536606799997</v>
      </c>
      <c r="P10" s="73" ph="1">
        <f>P9*51.53*LOOKUP(P11,密度!$A$2:$A$50,密度!$B$2:$B$50)</f>
        <v>165388.29700799999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11513.618424</v>
      </c>
      <c r="U10" s="73" ph="1">
        <f>U9*1.5*1.5*3.1416*LOOKUP(U11,密度!$A$2:$A$50,密度!$L$2:$L$50)</f>
        <v>46666.494289799994</v>
      </c>
      <c r="V10" s="73" ph="1">
        <f>V9*1.5*1.5*3.1416*LOOKUP(V11,密度!$A$2:$A$50,密度!$L$2:$L$50)</f>
        <v>37971.2539206</v>
      </c>
      <c r="W10" s="73" ph="1">
        <f>W9*1.5*1.5*3.1416*LOOKUP(W11,密度!$A$2:$A$50,密度!$L$2:$L$50)</f>
        <v>46519.849114199998</v>
      </c>
      <c r="X10" s="73" ph="1">
        <f>X9*1.5*1.5*3.1416*LOOKUP(X11,密度!$A$2:$A$50,密度!$L$2:$L$50)</f>
        <v>47710.788047999995</v>
      </c>
      <c r="Y10" s="73" ph="1">
        <f>Y9*1.5*1.5*3.1416*LOOKUP(Y11,密度!$A$2:$A$50,密度!$L$2:$L$50)</f>
        <v>21650.160470399998</v>
      </c>
      <c r="Z10" s="73" ph="1">
        <f>Z9*33.183*LOOKUP(Z11,密度!$A$2:$A$50,密度!$L$2:$L$50)</f>
        <v>36336.712319999999</v>
      </c>
      <c r="AA10" s="73" ph="1">
        <f>AA9*33.183*LOOKUP(AA11,密度!$A$2:$A$50,密度!$D$2:$D$50)</f>
        <v>98704.744840800005</v>
      </c>
      <c r="AB10" s="73" ph="1">
        <f>AB9*20.428*LOOKUP(AB11,密度!$A$2:$A$50,密度!$D$2:$D$50)</f>
        <v>49182.452799999999</v>
      </c>
      <c r="AC10" s="73" ph="1">
        <f>AC9*51.53*LOOKUP(AC11,密度!$A$2:$A$50,密度!$Q$2:$Q$50)</f>
        <v>454513.8026545</v>
      </c>
      <c r="AD10" s="73" ph="1">
        <f>AD9*20.428*LOOKUP(AD11,密度!$A$2:$A$50,密度!$V$2:$V$50)</f>
        <v>94130.589760000003</v>
      </c>
      <c r="AE10" s="73" ph="1">
        <f>AE9*20.428</f>
        <v>79056.36</v>
      </c>
    </row>
    <row r="11" spans="1:99" ph="1">
      <c r="A11" s="64" t="s" ph="1">
        <v>162</v>
      </c>
      <c r="B11" s="191" ph="1"/>
      <c r="C11" s="164" t="s" ph="1">
        <v>179</v>
      </c>
      <c r="D11" s="74">
        <v>18</v>
      </c>
      <c r="E11" s="74">
        <v>20</v>
      </c>
      <c r="F11" s="74">
        <v>18</v>
      </c>
      <c r="G11" s="74">
        <v>19</v>
      </c>
      <c r="H11" s="74">
        <v>17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20</v>
      </c>
      <c r="O11" s="74">
        <v>18</v>
      </c>
      <c r="P11" s="74">
        <v>21</v>
      </c>
      <c r="Q11" s="74">
        <v>23</v>
      </c>
      <c r="R11" s="74">
        <v>24</v>
      </c>
      <c r="S11" s="74">
        <v>17</v>
      </c>
      <c r="T11" s="74">
        <v>15</v>
      </c>
      <c r="U11" s="74">
        <v>19</v>
      </c>
      <c r="V11" s="74">
        <v>25</v>
      </c>
      <c r="W11" s="74">
        <v>19</v>
      </c>
      <c r="X11" s="74">
        <v>10</v>
      </c>
      <c r="Y11" s="74">
        <v>19</v>
      </c>
      <c r="Z11" s="74">
        <v>18</v>
      </c>
      <c r="AA11" s="74">
        <v>20</v>
      </c>
      <c r="AB11" s="74">
        <v>10</v>
      </c>
      <c r="AC11" s="74">
        <v>18</v>
      </c>
      <c r="AD11" s="74">
        <v>17</v>
      </c>
      <c r="AE11" s="74">
        <v>22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4" t="s" ph="1">
        <v>177</v>
      </c>
      <c r="D15" s="78">
        <v>3554</v>
      </c>
      <c r="E15" s="78">
        <v>5888</v>
      </c>
      <c r="F15" s="78">
        <v>4142</v>
      </c>
      <c r="G15" s="78">
        <v>3939</v>
      </c>
      <c r="H15" s="78">
        <v>5319</v>
      </c>
      <c r="I15" s="78">
        <v>5219</v>
      </c>
      <c r="J15" s="78">
        <v>4211</v>
      </c>
      <c r="K15" s="78">
        <v>4056</v>
      </c>
      <c r="L15" s="78">
        <v>5134</v>
      </c>
      <c r="M15" s="78">
        <v>6222</v>
      </c>
      <c r="N15" s="78">
        <v>3424</v>
      </c>
      <c r="O15" s="78">
        <v>3575</v>
      </c>
      <c r="P15" s="78">
        <v>0</v>
      </c>
      <c r="Q15" s="78">
        <v>1795</v>
      </c>
      <c r="R15" s="78">
        <v>7350</v>
      </c>
      <c r="S15" s="78">
        <v>6404</v>
      </c>
      <c r="T15" s="78">
        <v>3430</v>
      </c>
      <c r="U15" s="78">
        <v>6495</v>
      </c>
      <c r="V15" s="78">
        <v>-817</v>
      </c>
      <c r="W15" s="71">
        <v>-677</v>
      </c>
      <c r="X15" s="78">
        <v>449</v>
      </c>
      <c r="Y15" s="106">
        <v>-9902</v>
      </c>
      <c r="Z15" s="78">
        <v>0</v>
      </c>
      <c r="AA15" s="78">
        <v>11</v>
      </c>
      <c r="AB15" s="78" ph="1">
        <v>6951</v>
      </c>
      <c r="AC15" s="78" ph="1">
        <v>2144</v>
      </c>
      <c r="AD15" s="78">
        <v>66.73</v>
      </c>
      <c r="AE15" s="78">
        <v>22.4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4" t="s" ph="1">
        <v>178</v>
      </c>
      <c r="D16" s="73" ph="1">
        <f>D15*7.0686*LOOKUP(D17,密度!$A$2:$A$50,密度!$L$2:$L$50)</f>
        <v>23689.861549199999</v>
      </c>
      <c r="E16" s="73" ph="1">
        <f>E15*7.0686*LOOKUP(E17,密度!$A$2:$A$50,密度!$L$2:$L$50)</f>
        <v>39247.581542399996</v>
      </c>
      <c r="F16" s="73" ph="1">
        <f>F15*9.0746*LOOKUP(F17,密度!$A$2:$A$50,密度!$L$2:$L$50)</f>
        <v>35444.534587599999</v>
      </c>
      <c r="G16" s="73" ph="1">
        <f>G15*9.0746*LOOKUP(G17,密度!$A$2:$A$50,密度!$B$2:$B$50)</f>
        <v>28084.728173579999</v>
      </c>
      <c r="H16" s="73" ph="1">
        <f>H15*9.0746*LOOKUP(H17,密度!$A$2:$A$50,密度!$L$2:$L$50)</f>
        <v>45806.139732600001</v>
      </c>
      <c r="I16" s="73" ph="1">
        <f>I15*9.0746*LOOKUP(I17,密度!$A$2:$A$50,密度!$U$2:$U$50)</f>
        <v>48686.426847200004</v>
      </c>
      <c r="J16" s="73" ph="1">
        <f>J15*9.0746*LOOKUP(J17,密度!$A$2:$A$50,密度!$L$2:$L$50)</f>
        <v>36034.991585799995</v>
      </c>
      <c r="K16" s="73" ph="1">
        <f>K15*9.0746*LOOKUP(K17,密度!$A$2:$A$50,密度!$C$2:$C$50)</f>
        <v>40998.846788640003</v>
      </c>
      <c r="L16" s="73" ph="1">
        <f>L15*9.0746*LOOKUP(L17,密度!$A$2:$A$50,密度!$E$2:$E$50)</f>
        <v>36870.531750959999</v>
      </c>
      <c r="M16" s="73" ph="1">
        <f>M15*9.0746*LOOKUP(M17,密度!$A$2:$A$50,密度!$M$2:$M$50)</f>
        <v>49703.640504360003</v>
      </c>
      <c r="N16" s="73" ph="1">
        <f>N15*9.0746*LOOKUP(N17,密度!$A$2:$A$50,密度!$M$2:$M$50)</f>
        <v>27352.180181119998</v>
      </c>
      <c r="O16" s="73" ph="1">
        <f>O15*9.0746*LOOKUP(O17,密度!$A$2:$A$50,密度!$G$2:$G$50)</f>
        <v>31335.4332005</v>
      </c>
      <c r="P16" s="73" ph="1">
        <f ca="1">P15*9.0746*LOOKUP(P17,密度!$A$2:$A$51,密度!$Q$2:$Q$50)</f>
        <v>0</v>
      </c>
      <c r="Q16" s="73" ph="1">
        <f>Q15*9.0746*LOOKUP(Q17,密度!$A$2:$A$50,密度!$Q$2:$Q$50)</f>
        <v>15494.497005610001</v>
      </c>
      <c r="R16" s="73" ph="1">
        <f>MAX(R15*9.0746*LOOKUP(R17,密度!$A$2:$A$50,密度!$B$2:$B$50),0)</f>
        <v>52298.144870999997</v>
      </c>
      <c r="S16" s="73" ph="1">
        <f>S15*9.0746*LOOKUP(S17,密度!$A$2:$A$50,密度!$Q$2:$Q$50)</f>
        <v>55324.860094184005</v>
      </c>
      <c r="T16" s="73" ph="1">
        <f>T15*9.0746*LOOKUP(T17,密度!$A$2:$A$50,密度!$O$2:$O$50)</f>
        <v>29071.570052000003</v>
      </c>
      <c r="U16" s="73" ph="1">
        <f>U15*9.0746*LOOKUP(U17,密度!$A$2:$A$50,密度!$H$2:$H$50)</f>
        <v>54501.380616900002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9973.5007912799992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59545.202102399999</v>
      </c>
      <c r="AC16" s="73" ph="1">
        <f>AC15*9.0746*LOOKUP(AC17,密度!$A$2:$A$50,密度!$L$2:$L$50)</f>
        <v>18405.321510399997</v>
      </c>
      <c r="AD16" s="73" ph="1">
        <f>AD15*268.68*LOOKUP(AD17,密度!$A$2:$A$50,密度!B2:B50)+IF(AD15&lt;=0,0,1566*LOOKUP(AD17,密度!$A$2:$A$50,密度!B2:B50))</f>
        <v>15198.314785439999</v>
      </c>
      <c r="AE16" s="73" ph="1">
        <f>AE15*268.68*LOOKUP(AE17,密度!$A$2:$A$50,密度!B2:B50)+IF(AE15&lt;=0,0,1566*LOOKUP(AE17,密度!$A$2:$A$50,密度!B2:B50))</f>
        <v>5912.8231871999997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19</v>
      </c>
      <c r="E17" s="74">
        <v>19</v>
      </c>
      <c r="F17" s="74">
        <v>19</v>
      </c>
      <c r="G17" s="74">
        <v>18</v>
      </c>
      <c r="H17" s="74">
        <v>13</v>
      </c>
      <c r="I17" s="74">
        <v>18</v>
      </c>
      <c r="J17" s="74">
        <v>19</v>
      </c>
      <c r="K17" s="74">
        <v>18</v>
      </c>
      <c r="L17" s="74">
        <v>18</v>
      </c>
      <c r="M17" s="74">
        <v>19</v>
      </c>
      <c r="N17" s="74">
        <v>18</v>
      </c>
      <c r="O17" s="74">
        <v>20</v>
      </c>
      <c r="P17" s="74">
        <v>16</v>
      </c>
      <c r="Q17" s="74">
        <v>19</v>
      </c>
      <c r="R17" s="74">
        <v>20</v>
      </c>
      <c r="S17" s="74">
        <v>18</v>
      </c>
      <c r="T17" s="74">
        <v>18</v>
      </c>
      <c r="U17" s="74">
        <v>15</v>
      </c>
      <c r="V17" s="74">
        <v>17</v>
      </c>
      <c r="W17" s="74">
        <v>19</v>
      </c>
      <c r="X17" s="74">
        <v>34</v>
      </c>
      <c r="Y17" s="108">
        <v>34</v>
      </c>
      <c r="Z17" s="74">
        <v>17</v>
      </c>
      <c r="AA17" s="74">
        <v>15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2767</v>
      </c>
      <c r="E18" s="71">
        <v>5889</v>
      </c>
      <c r="F18" s="71">
        <v>4142</v>
      </c>
      <c r="G18" s="71">
        <v>4012</v>
      </c>
      <c r="H18" s="71">
        <v>5322</v>
      </c>
      <c r="I18" s="71">
        <v>5222</v>
      </c>
      <c r="J18" s="71">
        <v>4214</v>
      </c>
      <c r="K18" s="71">
        <v>4057</v>
      </c>
      <c r="L18" s="71">
        <v>5140</v>
      </c>
      <c r="M18" s="71">
        <v>4911</v>
      </c>
      <c r="N18" s="71">
        <v>1843</v>
      </c>
      <c r="O18" s="71">
        <v>3577</v>
      </c>
      <c r="P18" s="71">
        <v>0</v>
      </c>
      <c r="Q18" s="71">
        <v>636</v>
      </c>
      <c r="R18" s="71">
        <v>7361</v>
      </c>
      <c r="S18" s="71">
        <v>6408</v>
      </c>
      <c r="T18" s="71">
        <v>3161</v>
      </c>
      <c r="U18" s="71">
        <v>6493</v>
      </c>
      <c r="V18" s="71">
        <v>-817</v>
      </c>
      <c r="W18" s="71">
        <v>-677</v>
      </c>
      <c r="X18" s="71">
        <v>449</v>
      </c>
      <c r="Y18" s="109">
        <v>-9902</v>
      </c>
      <c r="Z18" s="71">
        <v>0</v>
      </c>
      <c r="AA18" s="71">
        <v>10</v>
      </c>
      <c r="AB18" s="71">
        <v>6956</v>
      </c>
      <c r="AC18" s="71">
        <v>2145</v>
      </c>
      <c r="AD18" s="71">
        <v>84.6</v>
      </c>
      <c r="AE18" s="71">
        <v>56.5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4" t="s" ph="1">
        <v>178</v>
      </c>
      <c r="D19" s="73" ph="1">
        <f>D18*7.0686*LOOKUP(D20,密度!$A$2:$A$50,密度!$L$2:$L$50)</f>
        <v>18404.8460442</v>
      </c>
      <c r="E19" s="73" ph="1">
        <f>E18*7.0686*LOOKUP(E20,密度!$A$2:$A$50,密度!$L$2:$L$50)</f>
        <v>39170.993261399999</v>
      </c>
      <c r="F19" s="73" ph="1">
        <f>F18*9.0746*LOOKUP(F20,密度!$A$2:$A$50,密度!$L$2:$L$50)</f>
        <v>35406.947594400001</v>
      </c>
      <c r="G19" s="73" ph="1">
        <f>G18*9.0746*LOOKUP(G20,密度!$A$2:$A$50,密度!$B$2:$B$50)</f>
        <v>28546.960166320001</v>
      </c>
      <c r="H19" s="73" ph="1">
        <f>H18*9.0746*LOOKUP(H20,密度!$A$2:$A$50,密度!$L$2:$L$50)</f>
        <v>45735.385076400002</v>
      </c>
      <c r="I19" s="73" ph="1">
        <f>I18*9.0746*LOOKUP(I20,密度!$A$2:$A$50,密度!$U$2:$U$50)</f>
        <v>48714.412913600005</v>
      </c>
      <c r="J19" s="73" ph="1">
        <f>J18*9.0746*LOOKUP(J20,密度!$A$2:$A$50,密度!$L$2:$L$50)</f>
        <v>36022.423264799996</v>
      </c>
      <c r="K19" s="73" ph="1">
        <f>K18*9.0746*LOOKUP(K20,密度!$A$2:$A$50,密度!$C$2:$C$50)</f>
        <v>40961.094637720009</v>
      </c>
      <c r="L19" s="73" ph="1">
        <f>L18*9.0746*LOOKUP(L20,密度!$A$2:$A$50,密度!$E$2:$E$50)</f>
        <v>36755.033872000007</v>
      </c>
      <c r="M19" s="73" ph="1">
        <f>M18*9.0746*LOOKUP(M20,密度!$A$2:$A$50,密度!$M$2:$M$50)</f>
        <v>39177.408503459999</v>
      </c>
      <c r="N19" s="73" ph="1">
        <f>N18*9.0746*LOOKUP(N20,密度!$A$2:$A$50,密度!$M$2:$M$50)</f>
        <v>14722.566610339998</v>
      </c>
      <c r="O19" s="73" ph="1">
        <f>O18*9.0746*LOOKUP(O20,密度!$A$2:$A$50,密度!$G$2:$G$50)</f>
        <v>31320.503668580001</v>
      </c>
      <c r="P19" s="73" ph="1">
        <f ca="1">P18*9.0746*LOOKUP(P20,密度!$A$2:$A$51,密度!$Q$2:$Q$50)</f>
        <v>0</v>
      </c>
      <c r="Q19" s="73" ph="1">
        <f>Q18*9.0746*LOOKUP(Q20,密度!$A$2:$A$50,密度!$Q$2:$Q$50)</f>
        <v>5481.0841718640004</v>
      </c>
      <c r="R19" s="73" ph="1">
        <f>MAX(R18*9.0746*LOOKUP(R20,密度!$A$2:$A$50,密度!$B$2:$B$50),0)</f>
        <v>52256.177568380001</v>
      </c>
      <c r="S19" s="73" ph="1">
        <f>S18*9.0746*LOOKUP(S20,密度!$A$2:$A$50,密度!$Q$2:$Q$50)</f>
        <v>55264.631973984004</v>
      </c>
      <c r="T19" s="73" ph="1">
        <f>T18*9.0746*LOOKUP(T20,密度!$A$2:$A$50,密度!$O$2:$O$50)</f>
        <v>26676.873858000003</v>
      </c>
      <c r="U19" s="73" ph="1">
        <f>U18*9.0746*LOOKUP(U20,密度!$A$2:$A$50,密度!$H$2:$H$50)</f>
        <v>54307.833918260003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9962.8721816399993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71.153938600000004</v>
      </c>
      <c r="AB19" s="73" ph="1">
        <f>AB18*9.0746*LOOKUP(AB20,密度!$A$2:$A$50,密度!$L$2:$L$50)</f>
        <v>59461.788379199999</v>
      </c>
      <c r="AC19" s="73" ph="1">
        <f>AC18*9.0746*LOOKUP(AC20,密度!$A$2:$A$50,密度!$L$2:$L$50)</f>
        <v>18374.976048</v>
      </c>
      <c r="AD19" s="73" ph="1">
        <f>AD18*268.68*LOOKUP(AD20,密度!$A$2:$A$50,密度!B5:B53)+IF(AD18&lt;=0,0,1566*LOOKUP(AD20,密度!$A$2:$A$50,密度!B5:B53))</f>
        <v>18878.246855999998</v>
      </c>
      <c r="AE19" s="73" ph="1">
        <f>AE18*268.68*LOOKUP(AE20,密度!$A$2:$A$50,密度!B5:B53)+IF(AE18&lt;=0,0,1566*LOOKUP(AE20,密度!$A$2:$A$50,密度!B5:B53))</f>
        <v>13011.968339999999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21</v>
      </c>
      <c r="E20" s="81">
        <v>21</v>
      </c>
      <c r="F20" s="81">
        <v>20</v>
      </c>
      <c r="G20" s="81">
        <v>20</v>
      </c>
      <c r="H20" s="81">
        <v>15</v>
      </c>
      <c r="I20" s="81">
        <v>21</v>
      </c>
      <c r="J20" s="81">
        <v>20</v>
      </c>
      <c r="K20" s="81">
        <v>20</v>
      </c>
      <c r="L20" s="81">
        <v>21</v>
      </c>
      <c r="M20" s="81">
        <v>21</v>
      </c>
      <c r="N20" s="81">
        <v>20</v>
      </c>
      <c r="O20" s="81">
        <v>21</v>
      </c>
      <c r="P20" s="81">
        <v>23</v>
      </c>
      <c r="Q20" s="81">
        <v>21</v>
      </c>
      <c r="R20" s="81">
        <v>22</v>
      </c>
      <c r="S20" s="81">
        <v>20</v>
      </c>
      <c r="T20" s="81">
        <v>22</v>
      </c>
      <c r="U20" s="81">
        <v>18</v>
      </c>
      <c r="V20" s="81">
        <v>20</v>
      </c>
      <c r="W20" s="81">
        <v>22</v>
      </c>
      <c r="X20" s="81">
        <v>35</v>
      </c>
      <c r="Y20" s="110">
        <v>35</v>
      </c>
      <c r="Z20" s="81">
        <v>22</v>
      </c>
      <c r="AA20" s="81">
        <v>20</v>
      </c>
      <c r="AB20" s="81">
        <v>20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645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4" t="s" ph="1">
        <v>177</v>
      </c>
      <c r="D24" s="71">
        <v>5.4</v>
      </c>
      <c r="E24" s="71">
        <v>4.96</v>
      </c>
      <c r="F24" s="71">
        <v>509</v>
      </c>
      <c r="G24" s="71">
        <v>3906</v>
      </c>
      <c r="H24" s="71">
        <v>3633</v>
      </c>
      <c r="I24" s="71">
        <v>4254</v>
      </c>
      <c r="J24" s="71">
        <v>2715</v>
      </c>
      <c r="K24" s="71">
        <v>3609</v>
      </c>
      <c r="L24" s="71">
        <v>5547</v>
      </c>
      <c r="M24" s="71">
        <v>1724</v>
      </c>
      <c r="N24" s="71">
        <v>591</v>
      </c>
      <c r="O24" s="71">
        <v>5721</v>
      </c>
      <c r="P24" s="71">
        <v>651</v>
      </c>
      <c r="Q24" s="90">
        <v>5538</v>
      </c>
      <c r="R24" s="71">
        <v>2012</v>
      </c>
      <c r="S24" s="71">
        <v>234</v>
      </c>
      <c r="T24" s="71">
        <v>900</v>
      </c>
      <c r="U24" s="71">
        <v>4770</v>
      </c>
      <c r="V24" s="71">
        <v>3316</v>
      </c>
      <c r="W24" s="71">
        <v>820</v>
      </c>
      <c r="X24" s="71">
        <v>7363</v>
      </c>
      <c r="Y24" s="71">
        <v>9488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2856.1933972799998</v>
      </c>
      <c r="E25" s="91" ph="1">
        <f>E24*268.68*LOOKUP(E26,密度!$A$2:$A$50,密度!$C$2:$C$50)+IF(E24&lt;=0,0,1566*LOOKUP(E26,密度!$A$2:$A$50,密度!$C$2:$C$50))</f>
        <v>3214.3160899200002</v>
      </c>
      <c r="F25" s="91" ph="1">
        <f>F24*11.702*LOOKUP(F26,密度!$A$2:$A$50,密度!$Q$2:$Q$50)</f>
        <v>5675.1797904000005</v>
      </c>
      <c r="G25" s="91" ph="1">
        <f>G24*18.322*LOOKUP(G26,密度!$A$2:$A$50,密度!$B$2:$B$50)</f>
        <v>56229.195632399998</v>
      </c>
      <c r="H25" s="91" ph="1">
        <f>H24*18.322*LOOKUP(H26,密度!$A$2:$A$50,密度!$B$2:$B$50)</f>
        <v>52299.198088199999</v>
      </c>
      <c r="I25" s="91" ph="1">
        <f>I24*18.322*LOOKUP(I26,密度!$A$2:$A$50,密度!$Q$2:$Q$50)</f>
        <v>74201.361593880007</v>
      </c>
      <c r="J25" s="91" ph="1">
        <f>J24*18.322*LOOKUP(J26,密度!$A$2:$A$50,密度!$Q$2:$Q$50)</f>
        <v>47357.004402299994</v>
      </c>
      <c r="K25" s="91" ph="1">
        <f>K24*18.322*LOOKUP(K26,密度!$A$2:$A$50,密度!$Q$2:$Q$50)</f>
        <v>62950.802536980002</v>
      </c>
      <c r="L25" s="91" ph="1">
        <f>L24*18.322*LOOKUP(L26,密度!$A$2:$A$50,密度!$Q$2:$Q$50)</f>
        <v>96675.534824819988</v>
      </c>
      <c r="M25" s="91" ph="1">
        <f>M24*18.322*LOOKUP(M26,密度!$A$2:$A$50,密度!$Q$2:$Q$50)</f>
        <v>30046.623767439996</v>
      </c>
      <c r="N25" s="91" ph="1">
        <f>N24*18.322*LOOKUP(N26,密度!$A$2:$A$50,密度!$Q$2:$Q$50)</f>
        <v>10300.205711459999</v>
      </c>
      <c r="O25" s="91" ph="1">
        <f>O24*18.322*LOOKUP(O26,密度!$A$2:$A$50,密度!$C$2:$C$50)</f>
        <v>116759.17845179999</v>
      </c>
      <c r="P25" s="91" ph="1">
        <f>P24*11.702*LOOKUP(P26,密度!$A$2:$A$50,密度!$B$2:$B$50)</f>
        <v>5985.4641713999999</v>
      </c>
      <c r="Q25" s="92" ph="1">
        <f>Q24*18.322*LOOKUP(Q26,密度!$A$2:$A$50,密度!$B$2:$B$50)</f>
        <v>79793.834390399992</v>
      </c>
      <c r="R25" s="91" ph="1">
        <f>R24*35.891*LOOKUP(R26,密度!$A$2:$A$50,密度!$C$2:$C$50)</f>
        <v>80437.717618799987</v>
      </c>
      <c r="S25" s="91" ph="1">
        <f>S24*35.891*LOOKUP(S26,密度!$A$2:$A$50,密度!$B$2:$B$50)</f>
        <v>6604.5756815999994</v>
      </c>
      <c r="T25" s="91" ph="1">
        <f>T24*35.891*LOOKUP(T26,密度!$A$2:$A$50,密度!$Q$2:$Q$50)</f>
        <v>30751.731818999997</v>
      </c>
      <c r="U25" s="91" ph="1">
        <f>U24*35.891</f>
        <v>171200.06999999998</v>
      </c>
      <c r="V25" s="91" ph="1">
        <f>V24*47.051*LOOKUP(V26,密度!$A$2:$A$50,密度!$B$2:$B$50)</f>
        <v>122944.63940800002</v>
      </c>
      <c r="W25" s="91" ph="1">
        <f>W24*47.051*LOOKUP(W26,密度!$A$2:$A$50,密度!$B$2:$B$50)</f>
        <v>30252.005062</v>
      </c>
      <c r="X25" s="91" ph="1">
        <f>X24*47.051*LOOKUP(X26,密度!$A$2:$A$61,密度!$I$2:$I$61)</f>
        <v>354889.56391720002</v>
      </c>
      <c r="Y25" s="91" ph="1">
        <f>Y24*47.051*LOOKUP(Y26,密度!$A$2:$A$50,密度!$L$2:$L$50)</f>
        <v>419188.27483200002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17</v>
      </c>
      <c r="G26" s="74">
        <v>18</v>
      </c>
      <c r="H26" s="74">
        <v>18</v>
      </c>
      <c r="I26" s="74">
        <v>18</v>
      </c>
      <c r="J26" s="74">
        <v>18</v>
      </c>
      <c r="K26" s="74">
        <v>18</v>
      </c>
      <c r="L26" s="74">
        <v>19</v>
      </c>
      <c r="M26" s="74">
        <v>19</v>
      </c>
      <c r="N26" s="74">
        <v>19</v>
      </c>
      <c r="O26" s="74">
        <v>18</v>
      </c>
      <c r="P26" s="74">
        <v>18</v>
      </c>
      <c r="Q26" s="93">
        <v>17</v>
      </c>
      <c r="R26" s="74">
        <v>18</v>
      </c>
      <c r="S26" s="74">
        <v>17</v>
      </c>
      <c r="T26" s="74">
        <v>18</v>
      </c>
      <c r="U26" s="74">
        <v>17</v>
      </c>
      <c r="V26" s="74">
        <v>15</v>
      </c>
      <c r="W26" s="74">
        <v>20</v>
      </c>
      <c r="X26" s="74">
        <v>41</v>
      </c>
      <c r="Y26" s="74">
        <v>23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4" t="s" ph="1">
        <v>180</v>
      </c>
      <c r="D27" s="71">
        <v>5.42</v>
      </c>
      <c r="E27" s="71">
        <v>4.9400000000000004</v>
      </c>
      <c r="F27" s="71">
        <v>508</v>
      </c>
      <c r="G27" s="71">
        <v>3755</v>
      </c>
      <c r="H27" s="71">
        <v>3166</v>
      </c>
      <c r="I27" s="71">
        <v>2764</v>
      </c>
      <c r="J27" s="71">
        <v>4929</v>
      </c>
      <c r="K27" s="71">
        <v>3609</v>
      </c>
      <c r="L27" s="71">
        <v>5547</v>
      </c>
      <c r="M27" s="71">
        <v>1722</v>
      </c>
      <c r="N27" s="71">
        <v>588</v>
      </c>
      <c r="O27" s="71">
        <v>5721</v>
      </c>
      <c r="P27" s="71">
        <v>647</v>
      </c>
      <c r="Q27" s="90">
        <v>474</v>
      </c>
      <c r="R27" s="71">
        <v>2012</v>
      </c>
      <c r="S27" s="71">
        <v>2974</v>
      </c>
      <c r="T27" s="71">
        <v>1953</v>
      </c>
      <c r="U27" s="71">
        <v>4494</v>
      </c>
      <c r="V27" s="71">
        <v>4262</v>
      </c>
      <c r="W27" s="71">
        <v>1445</v>
      </c>
      <c r="X27" s="71">
        <v>7849</v>
      </c>
      <c r="Y27" s="71">
        <v>9664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4" t="s" ph="1">
        <v>178</v>
      </c>
      <c r="D28" s="91" ph="1">
        <f>D27*268.68*LOOKUP(D29,密度!$A$2:$A$50,密度!$Q$2:$Q$50)+IF(D27&lt;=0,0,1566*LOOKUP(D29,密度!$A$2:$A$50,密度!$Q$2:$Q$50))</f>
        <v>2861.2807993440001</v>
      </c>
      <c r="E28" s="91" ph="1">
        <f>E27*268.68*LOOKUP(E29,密度!$A$2:$A$50,密度!$C$2:$C$50)+IF(E27&lt;=0,0,1566*LOOKUP(E29,密度!$A$2:$A$50,密度!$C$2:$C$50))</f>
        <v>3208.3573048799999</v>
      </c>
      <c r="F28" s="91" ph="1">
        <f>F27*11.702*LOOKUP(F29,密度!$A$2:$A$50,密度!$Q$2:$Q$50)</f>
        <v>5649.6441540799997</v>
      </c>
      <c r="G28" s="91" ph="1">
        <f>G27*18.322*LOOKUP(G29,密度!$A$2:$A$50,密度!$B$2:$B$50)</f>
        <v>53883.462952000002</v>
      </c>
      <c r="H28" s="91" ph="1">
        <f>H27*18.322*LOOKUP(H29,密度!$A$2:$A$50,密度!$B$2:$B$50)</f>
        <v>45483.6431132</v>
      </c>
      <c r="I28" s="91" ph="1">
        <f>I27*18.322*LOOKUP(I29,密度!$A$2:$A$50,密度!$Q$2:$Q$50)</f>
        <v>48172.197269839999</v>
      </c>
      <c r="J28" s="91" ph="1">
        <f>J27*18.322*LOOKUP(J29,密度!$A$2:$A$50,密度!$Q$2:$Q$50)</f>
        <v>85904.761339739998</v>
      </c>
      <c r="K28" s="91" ph="1">
        <f>K27*18.322*LOOKUP(K29,密度!$A$2:$A$50,密度!$Q$2:$Q$50)</f>
        <v>62899.225740540001</v>
      </c>
      <c r="L28" s="91" ph="1">
        <f>L27*18.322*LOOKUP(L29,密度!$A$2:$A$50,密度!$Q$2:$Q$50)</f>
        <v>96589.147510919996</v>
      </c>
      <c r="M28" s="91" ph="1">
        <f>M27*18.322*LOOKUP(M29,密度!$A$2:$A$50,密度!$Q$2:$Q$50)</f>
        <v>29984.94898392</v>
      </c>
      <c r="N28" s="91" ph="1">
        <f>N27*18.322*LOOKUP(N29,密度!$A$2:$A$50,密度!$Q$2:$Q$50)</f>
        <v>10231.329465839999</v>
      </c>
      <c r="O28" s="91" ph="1">
        <f>O27*18.322*LOOKUP(O29,密度!$A$2:$A$50,密度!$C$2:$C$50)</f>
        <v>116549.53812780001</v>
      </c>
      <c r="P28" s="91" ph="1">
        <f>P27*11.702*LOOKUP(P29,密度!$A$2:$A$50,密度!$B$2:$B$50)</f>
        <v>5936.5732154000007</v>
      </c>
      <c r="Q28" s="92" ph="1">
        <f>Q27*18.322*LOOKUP(Q29,密度!$A$2:$A$50,密度!$B$2:$B$50)</f>
        <v>6816.5645171999995</v>
      </c>
      <c r="R28" s="91" ph="1">
        <f>R27*35.891*LOOKUP(R29,密度!$A$2:$A$50,密度!$C$2:$C$50)</f>
        <v>80387.168734399995</v>
      </c>
      <c r="S28" s="91" ph="1">
        <f>S27*35.891*LOOKUP(S29,密度!$A$2:$A$50,密度!$B$2:$B$50)</f>
        <v>83865.487573799983</v>
      </c>
      <c r="T28" s="91" ph="1">
        <f>T27*35.891*LOOKUP(T29,密度!$A$2:$A$50,密度!$Q$2:$Q$50)</f>
        <v>66617.00299673999</v>
      </c>
      <c r="U28" s="91" ph="1">
        <f>U27*35.891</f>
        <v>161294.15399999998</v>
      </c>
      <c r="V28" s="91" ph="1">
        <f>V27*47.051*LOOKUP(V29,密度!$A$2:$A$50,密度!$B$2:$B$50)</f>
        <v>157056.16271840001</v>
      </c>
      <c r="W28" s="91" ph="1">
        <f>W27*47.051*LOOKUP(W29,密度!$A$2:$A$50,密度!$B$2:$B$50)</f>
        <v>53418.717661499999</v>
      </c>
      <c r="X28" s="91" ph="1">
        <f>X27*47.051*LOOKUP(X29,密度!$A$2:$A$61,密度!$I$2:$I$61)</f>
        <v>376652.43465010001</v>
      </c>
      <c r="Y28" s="91" ph="1">
        <f>Y27*47.051*LOOKUP(Y29,密度!$A$2:$A$50,密度!$L$2:$L$50)</f>
        <v>429237.61561599997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4" t="s" ph="1">
        <v>179</v>
      </c>
      <c r="D29" s="74">
        <v>25</v>
      </c>
      <c r="E29" s="74">
        <v>25</v>
      </c>
      <c r="F29" s="74">
        <v>20</v>
      </c>
      <c r="G29" s="74">
        <v>21</v>
      </c>
      <c r="H29" s="74">
        <v>20</v>
      </c>
      <c r="I29" s="74">
        <v>19</v>
      </c>
      <c r="J29" s="74">
        <v>19</v>
      </c>
      <c r="K29" s="74">
        <v>19</v>
      </c>
      <c r="L29" s="74">
        <v>20</v>
      </c>
      <c r="M29" s="74">
        <v>20</v>
      </c>
      <c r="N29" s="74">
        <v>21</v>
      </c>
      <c r="O29" s="74">
        <v>21</v>
      </c>
      <c r="P29" s="74">
        <v>20</v>
      </c>
      <c r="Q29" s="93">
        <v>19</v>
      </c>
      <c r="R29" s="74">
        <v>19</v>
      </c>
      <c r="S29" s="74">
        <v>18</v>
      </c>
      <c r="T29" s="74">
        <v>20</v>
      </c>
      <c r="U29" s="74">
        <v>21</v>
      </c>
      <c r="V29" s="74">
        <v>21</v>
      </c>
      <c r="W29" s="74">
        <v>18</v>
      </c>
      <c r="X29" s="74">
        <v>45</v>
      </c>
      <c r="Y29" s="74">
        <v>18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4" t="s" ph="1">
        <v>5</v>
      </c>
      <c r="F32" s="165" t="s" ph="1">
        <v>43</v>
      </c>
      <c r="G32" s="97" t="s" ph="1">
        <v>4</v>
      </c>
      <c r="H32" s="164" t="s" ph="1">
        <v>5</v>
      </c>
      <c r="I32" s="165" t="s" ph="1">
        <v>43</v>
      </c>
      <c r="J32" s="97" t="s" ph="1">
        <v>4</v>
      </c>
      <c r="K32" s="164" t="s" ph="1">
        <v>5</v>
      </c>
      <c r="L32" s="165" t="s" ph="1">
        <v>43</v>
      </c>
      <c r="M32" s="97" t="s" ph="1">
        <v>4</v>
      </c>
      <c r="N32" s="164" t="s" ph="1">
        <v>5</v>
      </c>
      <c r="O32" s="16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4" t="s" ph="1">
        <v>5</v>
      </c>
      <c r="U32" s="99" t="s" ph="1">
        <v>43</v>
      </c>
      <c r="V32" s="97" t="s" ph="1">
        <v>4</v>
      </c>
      <c r="W32" s="164" t="s" ph="1">
        <v>5</v>
      </c>
      <c r="X32" s="99" t="s" ph="1">
        <v>43</v>
      </c>
      <c r="Y32" s="100" t="s" ph="1">
        <v>4</v>
      </c>
      <c r="Z32" s="164" t="s" ph="1">
        <v>5</v>
      </c>
      <c r="AA32" s="165" t="s" ph="1">
        <v>43</v>
      </c>
      <c r="AB32" s="97" t="s" ph="1">
        <v>85</v>
      </c>
      <c r="AC32" s="16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147887.1976408</v>
      </c>
      <c r="E33" s="213" ph="1">
        <f>M10+I10</f>
        <v>47525.124830800007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7" ph="1">
        <f>N19</f>
        <v>14722.566610339998</v>
      </c>
      <c r="H33" s="213" ph="1">
        <f>M19</f>
        <v>39177.408503459999</v>
      </c>
      <c r="I33" s="226" ph="1">
        <v>0</v>
      </c>
      <c r="J33" s="224" ph="1">
        <f>F10+O28</f>
        <v>206775.1072995</v>
      </c>
      <c r="K33" s="213" ph="1">
        <f>O10+K10+E28+R28</f>
        <v>118506.28883807998</v>
      </c>
      <c r="L33" s="228" ph="1">
        <f>K19</f>
        <v>40961.094637720009</v>
      </c>
      <c r="M33" s="224" ph="1">
        <f>G10+H10+W28+S28+V28+E10+R19+P28+Q28</f>
        <v>793334.87433168001</v>
      </c>
      <c r="N33" s="213" ph="1">
        <f>L10+P10++G28+H28+AD19+AE19</f>
        <v>303697.5677052</v>
      </c>
      <c r="O33" s="226" ph="1">
        <f>G19</f>
        <v>28546.960166320001</v>
      </c>
      <c r="P33" s="224" ph="1">
        <f>L19</f>
        <v>36755.033872000007</v>
      </c>
      <c r="Q33" s="213" ph="1">
        <f>J10+N10</f>
        <v>133459.13864720002</v>
      </c>
      <c r="R33" s="226" ph="1">
        <f>BE23</f>
        <v>890</v>
      </c>
      <c r="S33" s="224" ph="1">
        <f>X28</f>
        <v>376652.43465010001</v>
      </c>
      <c r="T33" s="213" ph="1">
        <f>X19</f>
        <v>9962.8721816399993</v>
      </c>
      <c r="U33" s="234" ph="1">
        <f>BE21</f>
        <v>730</v>
      </c>
      <c r="V33" s="245" ph="1">
        <f ca="1">P19+Q19+S19+M28+N28+J28+D10+AC10+D19+E19+H19+J19+O19+V19+W19+K28+L28</f>
        <v>1195405.2956278981</v>
      </c>
      <c r="W33" s="245" ph="1">
        <f>D28+F28+T28+I28</f>
        <v>123300.12522000397</v>
      </c>
      <c r="X33" s="226" ph="1">
        <f>BE29+BE31</f>
        <v>10200</v>
      </c>
      <c r="Y33" s="247" ph="1">
        <f>+Q10+R10+S10+T10+U10+V10+W10+X10+Y10</f>
        <v>212032.16426699999</v>
      </c>
      <c r="Z33" s="232" ph="1">
        <f>T19+U19+Y28+Z10</f>
        <v>546559.03571226005</v>
      </c>
      <c r="AA33" s="234" ph="1">
        <f>BE19</f>
        <v>1440</v>
      </c>
      <c r="AB33" s="236" ph="1">
        <f>I19</f>
        <v>48714.412913600005</v>
      </c>
      <c r="AC33" s="238" ph="1">
        <f>AD10+AB19</f>
        <v>153592.37813920001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6" t="s" ph="1">
        <v>185</v>
      </c>
      <c r="AA36" s="16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342</v>
      </c>
      <c r="AI37" s="166" t="s" ph="1">
        <v>209</v>
      </c>
      <c r="AJ37" s="166" t="s" ph="1">
        <v>210</v>
      </c>
      <c r="AK37" s="166" t="s" ph="1">
        <v>211</v>
      </c>
      <c r="AM37" s="166" t="s" ph="1">
        <v>210</v>
      </c>
      <c r="AN37" s="166" t="s" ph="1">
        <v>211</v>
      </c>
      <c r="AO37" s="166" t="s" ph="1">
        <v>212</v>
      </c>
      <c r="AP37" s="166" t="s" ph="1">
        <v>210</v>
      </c>
      <c r="AQ37" s="166" t="s" ph="1">
        <v>211</v>
      </c>
      <c r="AR37" s="166" t="s" ph="1">
        <v>212</v>
      </c>
      <c r="AS37" s="166" t="s" ph="1">
        <v>210</v>
      </c>
      <c r="AT37" s="166" t="s" ph="1">
        <v>211</v>
      </c>
      <c r="AU37" s="166" t="s" ph="1">
        <v>212</v>
      </c>
      <c r="AV37" s="166" t="s" ph="1">
        <v>210</v>
      </c>
      <c r="AW37" s="166" t="s" ph="1">
        <v>211</v>
      </c>
      <c r="AX37" s="166" t="s" ph="1">
        <v>212</v>
      </c>
      <c r="AY37" s="166" t="s" ph="1">
        <v>211</v>
      </c>
      <c r="AZ37" s="166" t="s" ph="1">
        <v>213</v>
      </c>
      <c r="BD37" s="166" t="s" ph="1">
        <v>305</v>
      </c>
      <c r="BE37" s="16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299" priority="100">
      <formula>ABS(D$7-D$10)&gt;=1000</formula>
    </cfRule>
  </conditionalFormatting>
  <conditionalFormatting sqref="E4 E6:E11">
    <cfRule type="expression" dxfId="1298" priority="99">
      <formula>ABS(E$7-E$10)&gt;=1000</formula>
    </cfRule>
  </conditionalFormatting>
  <conditionalFormatting sqref="F4:F11">
    <cfRule type="expression" dxfId="1297" priority="98">
      <formula>ABS(F$7-F$10)&gt;=1000</formula>
    </cfRule>
  </conditionalFormatting>
  <conditionalFormatting sqref="G4:G11">
    <cfRule type="expression" dxfId="1296" priority="97">
      <formula>ABS(G$7-G$10)&gt;=1000</formula>
    </cfRule>
  </conditionalFormatting>
  <conditionalFormatting sqref="H4:H11">
    <cfRule type="expression" dxfId="1295" priority="96">
      <formula>ABS(H$7-H$10)&gt;=1000</formula>
    </cfRule>
  </conditionalFormatting>
  <conditionalFormatting sqref="I4:I11">
    <cfRule type="expression" dxfId="1294" priority="95">
      <formula>ABS(I$7-I$10)&gt;=1000</formula>
    </cfRule>
  </conditionalFormatting>
  <conditionalFormatting sqref="J4:J11">
    <cfRule type="expression" dxfId="1293" priority="94">
      <formula>ABS(J$7-J$10)&gt;=1000</formula>
    </cfRule>
  </conditionalFormatting>
  <conditionalFormatting sqref="K4:K11">
    <cfRule type="expression" dxfId="1292" priority="93">
      <formula>ABS(K$7-K$10)&gt;=1000</formula>
    </cfRule>
  </conditionalFormatting>
  <conditionalFormatting sqref="L4:L11">
    <cfRule type="expression" dxfId="1291" priority="92">
      <formula>ABS(L$7-L$10)&gt;=1000</formula>
    </cfRule>
  </conditionalFormatting>
  <conditionalFormatting sqref="M4 M6:M11">
    <cfRule type="expression" dxfId="1290" priority="91">
      <formula>ABS(M$7-M$10)&gt;=1000</formula>
    </cfRule>
  </conditionalFormatting>
  <conditionalFormatting sqref="N4 N6:N11">
    <cfRule type="expression" dxfId="1289" priority="90">
      <formula>ABS(N$7-N$10)&gt;=1000</formula>
    </cfRule>
  </conditionalFormatting>
  <conditionalFormatting sqref="O4 O6:O11">
    <cfRule type="expression" dxfId="1288" priority="89">
      <formula>ABS(O$7-O$10)&gt;=1000</formula>
    </cfRule>
  </conditionalFormatting>
  <conditionalFormatting sqref="P4 P6:P11">
    <cfRule type="expression" dxfId="1287" priority="88">
      <formula>ABS(P$7-P$10)&gt;=1000</formula>
    </cfRule>
  </conditionalFormatting>
  <conditionalFormatting sqref="Q4:Q11">
    <cfRule type="expression" dxfId="1286" priority="87">
      <formula>ABS(Q$7-Q$10)&gt;=1000</formula>
    </cfRule>
  </conditionalFormatting>
  <conditionalFormatting sqref="R4:R11">
    <cfRule type="expression" dxfId="1285" priority="86">
      <formula>ABS(R$7-R$10)&gt;=1000</formula>
    </cfRule>
  </conditionalFormatting>
  <conditionalFormatting sqref="S4:S11">
    <cfRule type="expression" dxfId="1284" priority="85">
      <formula>ABS(S$7-S$10)&gt;=1000</formula>
    </cfRule>
  </conditionalFormatting>
  <conditionalFormatting sqref="T4:T9 T11">
    <cfRule type="expression" dxfId="1283" priority="84">
      <formula>ABS(T$7-T$10)&gt;=1000</formula>
    </cfRule>
  </conditionalFormatting>
  <conditionalFormatting sqref="U4:U9 U11">
    <cfRule type="expression" dxfId="1282" priority="83">
      <formula>ABS(U$7-U$10)&gt;=1000</formula>
    </cfRule>
  </conditionalFormatting>
  <conditionalFormatting sqref="V4:V9 V11">
    <cfRule type="expression" dxfId="1281" priority="82">
      <formula>ABS(V$7-V$10)&gt;=1000</formula>
    </cfRule>
  </conditionalFormatting>
  <conditionalFormatting sqref="W4:W9 W11">
    <cfRule type="expression" dxfId="1280" priority="81">
      <formula>ABS(W$7-W$10)&gt;=1000</formula>
    </cfRule>
  </conditionalFormatting>
  <conditionalFormatting sqref="X4:X9 X11">
    <cfRule type="expression" dxfId="1279" priority="80">
      <formula>ABS(X$7-X$10)&gt;=1000</formula>
    </cfRule>
  </conditionalFormatting>
  <conditionalFormatting sqref="Y4:Y9 Y11">
    <cfRule type="expression" dxfId="1278" priority="79">
      <formula>ABS(Y$7-Y$10)&gt;=1000</formula>
    </cfRule>
  </conditionalFormatting>
  <conditionalFormatting sqref="Z4:Z11">
    <cfRule type="expression" dxfId="1277" priority="78">
      <formula>ABS(Z$7-Z$10)&gt;=1000</formula>
    </cfRule>
  </conditionalFormatting>
  <conditionalFormatting sqref="AA4:AA11">
    <cfRule type="expression" dxfId="1276" priority="77">
      <formula>ABS(AA$7-AA$10)&gt;=1000</formula>
    </cfRule>
  </conditionalFormatting>
  <conditionalFormatting sqref="AB4:AB11">
    <cfRule type="expression" dxfId="1275" priority="76">
      <formula>ABS(AB$7-AB$10)&gt;=1000</formula>
    </cfRule>
  </conditionalFormatting>
  <conditionalFormatting sqref="AC4 AC6:AC11">
    <cfRule type="expression" dxfId="1274" priority="75">
      <formula>ABS(AC$7-AC$10)&gt;=1000</formula>
    </cfRule>
  </conditionalFormatting>
  <conditionalFormatting sqref="AD4 AD6:AD11">
    <cfRule type="expression" dxfId="1273" priority="74">
      <formula>ABS(AD$7-AD$10)&gt;=1000</formula>
    </cfRule>
  </conditionalFormatting>
  <conditionalFormatting sqref="AE4 AE6:AE11">
    <cfRule type="expression" dxfId="1272" priority="73">
      <formula>ABS(AE$7-AE$10)&gt;=1000</formula>
    </cfRule>
  </conditionalFormatting>
  <conditionalFormatting sqref="D13:D20">
    <cfRule type="expression" dxfId="1271" priority="72">
      <formula>ABS(D$16-D$19)&gt;=1000</formula>
    </cfRule>
  </conditionalFormatting>
  <conditionalFormatting sqref="E13:E20">
    <cfRule type="expression" dxfId="1270" priority="71">
      <formula>ABS(E$16-E$19)&gt;=1000</formula>
    </cfRule>
  </conditionalFormatting>
  <conditionalFormatting sqref="F13 F15:F20">
    <cfRule type="expression" dxfId="1269" priority="70">
      <formula>ABS(F$16-F$19)&gt;=1000</formula>
    </cfRule>
  </conditionalFormatting>
  <conditionalFormatting sqref="G13:G20">
    <cfRule type="expression" dxfId="1268" priority="69">
      <formula>ABS(G$16-G$19)&gt;=1000</formula>
    </cfRule>
  </conditionalFormatting>
  <conditionalFormatting sqref="H13 H15:H20">
    <cfRule type="expression" dxfId="1267" priority="68">
      <formula>ABS(H$16-H$19)&gt;=1000</formula>
    </cfRule>
  </conditionalFormatting>
  <conditionalFormatting sqref="I13:I20">
    <cfRule type="expression" dxfId="1266" priority="67">
      <formula>ABS(I$16-I$19)&gt;=1000</formula>
    </cfRule>
  </conditionalFormatting>
  <conditionalFormatting sqref="J13:J20">
    <cfRule type="expression" dxfId="1265" priority="66">
      <formula>ABS(J$16-J$19)&gt;=1000</formula>
    </cfRule>
  </conditionalFormatting>
  <conditionalFormatting sqref="L13:L20">
    <cfRule type="expression" dxfId="1264" priority="65">
      <formula>ABS(L$16-L$19)&gt;=1000</formula>
    </cfRule>
  </conditionalFormatting>
  <conditionalFormatting sqref="M13 M15 M17:M18 M20">
    <cfRule type="expression" dxfId="1263" priority="64">
      <formula>ABS(M$16-M$19)&gt;=1000</formula>
    </cfRule>
  </conditionalFormatting>
  <conditionalFormatting sqref="N13:N20">
    <cfRule type="expression" dxfId="1262" priority="63">
      <formula>ABS(N$16-N$19)&gt;=1000</formula>
    </cfRule>
  </conditionalFormatting>
  <conditionalFormatting sqref="O13:O20">
    <cfRule type="expression" dxfId="1261" priority="62">
      <formula>ABS(O$16-O$19)&gt;=1000</formula>
    </cfRule>
  </conditionalFormatting>
  <conditionalFormatting sqref="P13:P20">
    <cfRule type="expression" dxfId="1260" priority="61">
      <formula>ABS(P$16-P$19)&gt;=1000</formula>
    </cfRule>
  </conditionalFormatting>
  <conditionalFormatting sqref="Q13 Q15:Q20">
    <cfRule type="expression" dxfId="1259" priority="60">
      <formula>ABS(Q$16-Q$19)&gt;=1000</formula>
    </cfRule>
  </conditionalFormatting>
  <conditionalFormatting sqref="R13:R20">
    <cfRule type="expression" dxfId="1258" priority="59">
      <formula>ABS(R$16-R$19)&gt;=1000</formula>
    </cfRule>
  </conditionalFormatting>
  <conditionalFormatting sqref="S13:S20">
    <cfRule type="expression" dxfId="1257" priority="58">
      <formula>ABS(S$16-S$19)&gt;=1000</formula>
    </cfRule>
  </conditionalFormatting>
  <conditionalFormatting sqref="T13:T20">
    <cfRule type="expression" dxfId="1256" priority="57">
      <formula>ABS(T$16-T$19)&gt;=1000</formula>
    </cfRule>
  </conditionalFormatting>
  <conditionalFormatting sqref="U13:U20">
    <cfRule type="expression" dxfId="1255" priority="56">
      <formula>ABS(U$16-U$19)&gt;=1000</formula>
    </cfRule>
  </conditionalFormatting>
  <conditionalFormatting sqref="V13:V20">
    <cfRule type="expression" dxfId="1254" priority="55">
      <formula>ABS(V$16-V$19)&gt;=1000</formula>
    </cfRule>
  </conditionalFormatting>
  <conditionalFormatting sqref="W13 W20 W15:W18">
    <cfRule type="expression" dxfId="1253" priority="54">
      <formula>ABS(W$16-W$19)&gt;=1000</formula>
    </cfRule>
  </conditionalFormatting>
  <conditionalFormatting sqref="X13 X15:X20 Y19">
    <cfRule type="expression" dxfId="1252" priority="53">
      <formula>ABS(X$16-X$19)&gt;=1000</formula>
    </cfRule>
  </conditionalFormatting>
  <conditionalFormatting sqref="Y13 Y15:Y18 Y20">
    <cfRule type="expression" dxfId="1251" priority="52">
      <formula>ABS(Y$16-Y$19)&gt;=1000</formula>
    </cfRule>
  </conditionalFormatting>
  <conditionalFormatting sqref="Z13:Z20">
    <cfRule type="expression" dxfId="1250" priority="51">
      <formula>ABS(Z$16-Z$19)&gt;=1000</formula>
    </cfRule>
  </conditionalFormatting>
  <conditionalFormatting sqref="AA13:AA20">
    <cfRule type="expression" dxfId="1249" priority="50">
      <formula>ABS(AA$16-AA$19)&gt;=1000</formula>
    </cfRule>
  </conditionalFormatting>
  <conditionalFormatting sqref="AB13 AB15:AB20">
    <cfRule type="expression" dxfId="1248" priority="49">
      <formula>ABS(AB$16-AB$19)&gt;=1000</formula>
    </cfRule>
  </conditionalFormatting>
  <conditionalFormatting sqref="AC13 AC15:AC20">
    <cfRule type="expression" dxfId="1247" priority="48">
      <formula>ABS(AC$16-AC$19)&gt;=1000</formula>
    </cfRule>
  </conditionalFormatting>
  <conditionalFormatting sqref="AD13:AD20">
    <cfRule type="expression" dxfId="1246" priority="47">
      <formula>ABS(AD$16-AD$19)&gt;=1000</formula>
    </cfRule>
  </conditionalFormatting>
  <conditionalFormatting sqref="AE13:AE20">
    <cfRule type="expression" dxfId="1245" priority="46">
      <formula>ABS(AE$16-AE$19)&gt;=1000</formula>
    </cfRule>
  </conditionalFormatting>
  <conditionalFormatting sqref="D22:D29">
    <cfRule type="expression" dxfId="1244" priority="45">
      <formula>ABS(D$25-D$28)&gt;=1000</formula>
    </cfRule>
  </conditionalFormatting>
  <conditionalFormatting sqref="E22:E29">
    <cfRule type="expression" dxfId="1243" priority="44">
      <formula>ABS(E$25-E$28)&gt;=1000</formula>
    </cfRule>
  </conditionalFormatting>
  <conditionalFormatting sqref="F22:F29">
    <cfRule type="expression" dxfId="1242" priority="43">
      <formula>ABS(F$25-F$28)&gt;=1000</formula>
    </cfRule>
  </conditionalFormatting>
  <conditionalFormatting sqref="G22:G29">
    <cfRule type="expression" dxfId="1241" priority="42">
      <formula>ABS(G$25-G$28)&gt;=1000</formula>
    </cfRule>
  </conditionalFormatting>
  <conditionalFormatting sqref="H22:H29">
    <cfRule type="expression" dxfId="1240" priority="41">
      <formula>ABS(H$25-H$28)&gt;=1000</formula>
    </cfRule>
  </conditionalFormatting>
  <conditionalFormatting sqref="I22 I24:I29">
    <cfRule type="expression" dxfId="1239" priority="40">
      <formula>ABS(I$25-I$28)&gt;=1000</formula>
    </cfRule>
  </conditionalFormatting>
  <conditionalFormatting sqref="J22:J29 K22">
    <cfRule type="expression" dxfId="1238" priority="39">
      <formula>ABS(J$25-J$28)&gt;=1000</formula>
    </cfRule>
  </conditionalFormatting>
  <conditionalFormatting sqref="K23:K29 L25 L28">
    <cfRule type="expression" dxfId="1237" priority="38">
      <formula>ABS(K$25-K$28)&gt;=1000</formula>
    </cfRule>
  </conditionalFormatting>
  <conditionalFormatting sqref="L22 L26:L27 L29 L24">
    <cfRule type="expression" dxfId="1236" priority="37">
      <formula>ABS(L$25-L$28)&gt;=1000</formula>
    </cfRule>
  </conditionalFormatting>
  <conditionalFormatting sqref="M22:M29">
    <cfRule type="expression" dxfId="1235" priority="36">
      <formula>ABS(M$25-M$28)&gt;=1000</formula>
    </cfRule>
  </conditionalFormatting>
  <conditionalFormatting sqref="N22:N29">
    <cfRule type="expression" dxfId="1234" priority="35">
      <formula>ABS(N$25-N$28)&gt;=1000</formula>
    </cfRule>
  </conditionalFormatting>
  <conditionalFormatting sqref="O22:O29">
    <cfRule type="expression" dxfId="1233" priority="34">
      <formula>ABS(O$25-O$28)&gt;=1000</formula>
    </cfRule>
  </conditionalFormatting>
  <conditionalFormatting sqref="P22:P29">
    <cfRule type="expression" dxfId="1232" priority="33">
      <formula>ABS(P$25-P$28)&gt;=1000</formula>
    </cfRule>
  </conditionalFormatting>
  <conditionalFormatting sqref="Q22:Q29">
    <cfRule type="expression" dxfId="1231" priority="32">
      <formula>ABS(Q$25-Q$28)&gt;=1000</formula>
    </cfRule>
  </conditionalFormatting>
  <conditionalFormatting sqref="R22:R29">
    <cfRule type="expression" dxfId="1230" priority="31">
      <formula>ABS(R$25-R$28)&gt;=1000</formula>
    </cfRule>
  </conditionalFormatting>
  <conditionalFormatting sqref="S22:S29">
    <cfRule type="expression" dxfId="1229" priority="30">
      <formula>ABS(S$25-S$28)&gt;=1000</formula>
    </cfRule>
  </conditionalFormatting>
  <conditionalFormatting sqref="T22:T29">
    <cfRule type="expression" dxfId="1228" priority="29">
      <formula>ABS(T$25-T$28)&gt;=1000</formula>
    </cfRule>
  </conditionalFormatting>
  <conditionalFormatting sqref="U22:U29">
    <cfRule type="expression" dxfId="1227" priority="28">
      <formula>ABS(U$25-U$28)&gt;=1000</formula>
    </cfRule>
  </conditionalFormatting>
  <conditionalFormatting sqref="V22:V29">
    <cfRule type="expression" dxfId="1226" priority="27">
      <formula>ABS(V$25-V$28)&gt;=1000</formula>
    </cfRule>
  </conditionalFormatting>
  <conditionalFormatting sqref="W22:W29">
    <cfRule type="expression" dxfId="1225" priority="26">
      <formula>ABS(W$25-W$28)&gt;=1000</formula>
    </cfRule>
  </conditionalFormatting>
  <conditionalFormatting sqref="X22:X29">
    <cfRule type="expression" dxfId="1224" priority="25">
      <formula>ABS(X$25-X$28)&gt;=1000</formula>
    </cfRule>
  </conditionalFormatting>
  <conditionalFormatting sqref="Y22:Y29">
    <cfRule type="expression" dxfId="1223" priority="24">
      <formula>ABS(Y$25-Y$28)&gt;=1000</formula>
    </cfRule>
  </conditionalFormatting>
  <conditionalFormatting sqref="I23">
    <cfRule type="expression" dxfId="1222" priority="23">
      <formula>ABS(I$25-I$28)&gt;=1000</formula>
    </cfRule>
  </conditionalFormatting>
  <conditionalFormatting sqref="Q14">
    <cfRule type="expression" dxfId="1221" priority="22">
      <formula>ABS(Q$16-Q$19)&gt;=1000</formula>
    </cfRule>
  </conditionalFormatting>
  <conditionalFormatting sqref="W14">
    <cfRule type="expression" dxfId="1220" priority="21">
      <formula>ABS(W$16-W$19)&gt;=1000</formula>
    </cfRule>
  </conditionalFormatting>
  <conditionalFormatting sqref="X14">
    <cfRule type="expression" dxfId="1219" priority="20">
      <formula>ABS(X$16-X$19)&gt;=1000</formula>
    </cfRule>
  </conditionalFormatting>
  <conditionalFormatting sqref="T10:Y10">
    <cfRule type="expression" dxfId="1218" priority="19">
      <formula>ABS(T$7-T$10)&gt;=1000</formula>
    </cfRule>
  </conditionalFormatting>
  <conditionalFormatting sqref="W19">
    <cfRule type="expression" dxfId="1217" priority="18">
      <formula>ABS(W$16-W$19)&gt;=1000</formula>
    </cfRule>
  </conditionalFormatting>
  <conditionalFormatting sqref="AC5">
    <cfRule type="expression" dxfId="1216" priority="17">
      <formula>ABS(AC$7-AC$10)&gt;=1000</formula>
    </cfRule>
  </conditionalFormatting>
  <conditionalFormatting sqref="M14">
    <cfRule type="expression" dxfId="1215" priority="16">
      <formula>ABS(M$16-M$19)&gt;=1000</formula>
    </cfRule>
  </conditionalFormatting>
  <conditionalFormatting sqref="M16">
    <cfRule type="expression" dxfId="1214" priority="15">
      <formula>ABS(M$16-M$19)&gt;=1000</formula>
    </cfRule>
  </conditionalFormatting>
  <conditionalFormatting sqref="M19">
    <cfRule type="expression" dxfId="1213" priority="14">
      <formula>ABS(M$16-M$19)&gt;=1000</formula>
    </cfRule>
  </conditionalFormatting>
  <conditionalFormatting sqref="K13:K20">
    <cfRule type="expression" dxfId="1212" priority="13">
      <formula>ABS(K$16-K$19)&gt;=1000</formula>
    </cfRule>
  </conditionalFormatting>
  <conditionalFormatting sqref="E5">
    <cfRule type="expression" dxfId="1211" priority="12">
      <formula>ABS(E$7-E$10)&gt;=1000</formula>
    </cfRule>
  </conditionalFormatting>
  <conditionalFormatting sqref="AB14:AC14">
    <cfRule type="expression" dxfId="1210" priority="11">
      <formula>ABS(AB$16-AB$19)&gt;=1000</formula>
    </cfRule>
  </conditionalFormatting>
  <conditionalFormatting sqref="M5">
    <cfRule type="expression" dxfId="1209" priority="10">
      <formula>ABS(M$7-M$10)&gt;=1000</formula>
    </cfRule>
  </conditionalFormatting>
  <conditionalFormatting sqref="N5">
    <cfRule type="expression" dxfId="1208" priority="9">
      <formula>ABS(N$7-N$10)&gt;=1000</formula>
    </cfRule>
  </conditionalFormatting>
  <conditionalFormatting sqref="O5">
    <cfRule type="expression" dxfId="1207" priority="8">
      <formula>ABS(O$7-O$10)&gt;=1000</formula>
    </cfRule>
  </conditionalFormatting>
  <conditionalFormatting sqref="P5">
    <cfRule type="expression" dxfId="1206" priority="7">
      <formula>ABS(P$7-P$10)&gt;=1000</formula>
    </cfRule>
  </conditionalFormatting>
  <conditionalFormatting sqref="L23">
    <cfRule type="expression" dxfId="1205" priority="6">
      <formula>ABS(L$25-L$28)&gt;=1000</formula>
    </cfRule>
  </conditionalFormatting>
  <conditionalFormatting sqref="Y14">
    <cfRule type="expression" dxfId="1204" priority="5">
      <formula>ABS(Y$16-Y$19)&gt;=1000</formula>
    </cfRule>
  </conditionalFormatting>
  <conditionalFormatting sqref="F14">
    <cfRule type="expression" dxfId="1203" priority="4">
      <formula>ABS(F$16-F$19)&gt;=1000</formula>
    </cfRule>
  </conditionalFormatting>
  <conditionalFormatting sqref="H14">
    <cfRule type="expression" dxfId="1202" priority="3">
      <formula>ABS(H$16-H$19)&gt;=1000</formula>
    </cfRule>
  </conditionalFormatting>
  <conditionalFormatting sqref="AD5">
    <cfRule type="expression" dxfId="1201" priority="2">
      <formula>ABS(AD$7-AD$10)&gt;=1000</formula>
    </cfRule>
  </conditionalFormatting>
  <conditionalFormatting sqref="AE5">
    <cfRule type="expression" dxfId="120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71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0">
    <pageSetUpPr fitToPage="1"/>
  </sheetPr>
  <dimension ref="A1:CU223"/>
  <sheetViews>
    <sheetView view="pageBreakPreview" topLeftCell="A7" zoomScale="70" zoomScaleNormal="100" zoomScaleSheetLayoutView="70" workbookViewId="0">
      <selection activeCell="U10" sqref="U10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46042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4" t="s" ph="1">
        <v>177</v>
      </c>
      <c r="D6" s="71">
        <v>6179</v>
      </c>
      <c r="E6" s="71">
        <v>0</v>
      </c>
      <c r="F6" s="71">
        <v>2442</v>
      </c>
      <c r="G6" s="71">
        <v>2870</v>
      </c>
      <c r="H6" s="71">
        <v>6762</v>
      </c>
      <c r="I6" s="71">
        <v>0.1</v>
      </c>
      <c r="J6" s="71">
        <v>6.61</v>
      </c>
      <c r="K6" s="71">
        <v>7.44</v>
      </c>
      <c r="L6" s="71">
        <v>44.88</v>
      </c>
      <c r="M6" s="71">
        <v>1389</v>
      </c>
      <c r="N6" s="71">
        <v>5033</v>
      </c>
      <c r="O6" s="71">
        <v>1428</v>
      </c>
      <c r="P6" s="71">
        <v>4605</v>
      </c>
      <c r="Q6" s="71">
        <v>0</v>
      </c>
      <c r="R6" s="71">
        <v>50</v>
      </c>
      <c r="S6" s="71">
        <v>0</v>
      </c>
      <c r="T6" s="71">
        <v>0</v>
      </c>
      <c r="U6" s="71">
        <v>4262</v>
      </c>
      <c r="V6" s="71">
        <v>5726</v>
      </c>
      <c r="W6" s="71">
        <v>6970</v>
      </c>
      <c r="X6" s="71">
        <v>7082</v>
      </c>
      <c r="Y6" s="71">
        <v>3270</v>
      </c>
      <c r="Z6" s="71">
        <v>2178</v>
      </c>
      <c r="AA6" s="71">
        <v>2886</v>
      </c>
      <c r="AB6" s="71">
        <v>2316</v>
      </c>
      <c r="AC6" s="71">
        <v>9282</v>
      </c>
      <c r="AD6" s="71">
        <v>4780</v>
      </c>
      <c r="AE6" s="71">
        <v>3880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195359.9748696</v>
      </c>
      <c r="E7" s="73" ph="1">
        <f>E6*51.53*LOOKUP(E8,密度!$A$2:$A$50,密度!$B$2:$B$50)</f>
        <v>0</v>
      </c>
      <c r="F7" s="73" ph="1">
        <f>F6*33.183*LOOKUP(F8,密度!$A$2:$A$50,密度!$C$2:$C$50)</f>
        <v>90416.494198799992</v>
      </c>
      <c r="G7" s="73" ph="1">
        <f xml:space="preserve"> (G6+2)*51.53*LOOKUP(G8,密度!$A$2:$A$50,密度!$B$2:$B$50)</f>
        <v>116382.607424</v>
      </c>
      <c r="H7" s="73" ph="1">
        <f>(H6)*51.53*LOOKUP(H8,密度!$A$2:$A$50,密度!$B$2:$B$50)</f>
        <v>275167.69564199995</v>
      </c>
      <c r="I7" s="73" ph="1">
        <f>I6*290.8*1.0267</f>
        <v>29.856435999999999</v>
      </c>
      <c r="J7" s="73" ph="1">
        <f>J6*290.8*0.7892</f>
        <v>1516.9907696</v>
      </c>
      <c r="K7" s="73" ph="1">
        <f>K6*290.8*1.1126</f>
        <v>2407.1679552000001</v>
      </c>
      <c r="L7" s="73" ph="1">
        <f>L6*290.8*0.777</f>
        <v>10140.707808000001</v>
      </c>
      <c r="M7" s="73" ph="1">
        <f>M6*33.183*LOOKUP(M8,密度!$A$2:$A$50,密度!$D$2:$D$50)</f>
        <v>47732.033257200004</v>
      </c>
      <c r="N7" s="73" ph="1">
        <f>N6*33.183*LOOKUP(N8,密度!$A$2:$A$50,密度!$E$2:$E$50)</f>
        <v>131988.0338217</v>
      </c>
      <c r="O7" s="73" ph="1">
        <f>O6*20.428*LOOKUP(O8,密度!$A$2:$A$50,密度!$C$2:$C$50)</f>
        <v>32455.859318400002</v>
      </c>
      <c r="P7" s="73" ph="1">
        <f>P6*51.53*LOOKUP(P8,密度!$A$2:$A$50,密度!$B$2:$B$50)</f>
        <v>186799.13568000001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332.57763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28469.422673999998</v>
      </c>
      <c r="V7" s="73" ph="1">
        <f>V6*1.5*1.5*3.1416*LOOKUP(V8,密度!$A$2:$A$50,密度!$L$2:$L$50)</f>
        <v>38127.264991199998</v>
      </c>
      <c r="W7" s="73" ph="1">
        <f>W6*1.5*1.5*3.1416*LOOKUP(W8,密度!$A$2:$A$50,密度!$L$2:$L$50)</f>
        <v>46509.126047999998</v>
      </c>
      <c r="X7" s="73" ph="1">
        <f>X6*1.5*1.5*3.1416*LOOKUP(X8,密度!$A$2:$A$50,密度!$L$2:$L$50)</f>
        <v>47757.073240799997</v>
      </c>
      <c r="Y7" s="73" ph="1">
        <f>Y6*1.5*1.5*3.1416*LOOKUP(Y8,密度!$A$2:$A$50,密度!$L$2:$L$50)</f>
        <v>21819.919967999998</v>
      </c>
      <c r="Z7" s="73" ph="1">
        <f>Z6*33.183*LOOKUP(Z8,密度!$A$2:$A$50,密度!$L$2:$L$50)</f>
        <v>68442.127577999985</v>
      </c>
      <c r="AA7" s="73" ph="1">
        <f>AA6*33.183*LOOKUP(AA8,密度!$A$2:$A$50,密度!$D$2:$D$50)</f>
        <v>99098.799602400002</v>
      </c>
      <c r="AB7" s="73" ph="1">
        <f>AB6*20.428*LOOKUP(AB8,密度!$A$2:$A$50,密度!$D$2:$D$50)</f>
        <v>49246.2780432</v>
      </c>
      <c r="AC7" s="73" ph="1">
        <f>AC6*51.53*LOOKUP(AC8,密度!$A$2:$A$50,密度!$Q$2:$Q$50)</f>
        <v>456557.87562840007</v>
      </c>
      <c r="AD7" s="73" ph="1">
        <f>AD6*20.428*LOOKUP(AD8,密度!$A$2:$A$50,密度!$V$2:$V$50)</f>
        <v>94130.589760000003</v>
      </c>
      <c r="AE7" s="73" ph="1">
        <f>AE6*20.428</f>
        <v>79260.639999999999</v>
      </c>
    </row>
    <row r="8" spans="1:99" ph="1">
      <c r="B8" s="191" ph="1"/>
      <c r="C8" s="68" t="s" ph="1">
        <v>179</v>
      </c>
      <c r="D8" s="74">
        <v>17</v>
      </c>
      <c r="E8" s="74">
        <v>14</v>
      </c>
      <c r="F8" s="74">
        <v>15</v>
      </c>
      <c r="G8" s="74">
        <v>17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19</v>
      </c>
      <c r="O8" s="74">
        <v>20</v>
      </c>
      <c r="P8" s="74">
        <v>16</v>
      </c>
      <c r="Q8" s="74">
        <v>17</v>
      </c>
      <c r="R8" s="74">
        <v>21</v>
      </c>
      <c r="S8" s="74">
        <v>13</v>
      </c>
      <c r="T8" s="74">
        <v>11</v>
      </c>
      <c r="U8" s="74">
        <v>17</v>
      </c>
      <c r="V8" s="74">
        <v>20</v>
      </c>
      <c r="W8" s="74">
        <v>18</v>
      </c>
      <c r="X8" s="74">
        <v>8</v>
      </c>
      <c r="Y8" s="74">
        <v>18</v>
      </c>
      <c r="Z8" s="74">
        <v>15</v>
      </c>
      <c r="AA8" s="74">
        <v>16</v>
      </c>
      <c r="AB8" s="74">
        <v>9</v>
      </c>
      <c r="AC8" s="74">
        <v>13</v>
      </c>
      <c r="AD8" s="74">
        <v>15</v>
      </c>
      <c r="AE8" s="74">
        <v>19</v>
      </c>
    </row>
    <row r="9" spans="1:99" ph="1">
      <c r="B9" s="191" ph="1">
        <v>0.66666666666666663</v>
      </c>
      <c r="C9" s="164" t="s" ph="1">
        <v>180</v>
      </c>
      <c r="D9" s="71">
        <v>5570</v>
      </c>
      <c r="E9" s="71">
        <v>0</v>
      </c>
      <c r="F9" s="71">
        <v>2441</v>
      </c>
      <c r="G9" s="71">
        <v>2605</v>
      </c>
      <c r="H9" s="71">
        <v>6491</v>
      </c>
      <c r="I9" s="71">
        <v>0.08</v>
      </c>
      <c r="J9" s="71">
        <v>6.73</v>
      </c>
      <c r="K9" s="71">
        <v>7.43</v>
      </c>
      <c r="L9" s="71">
        <v>27.91</v>
      </c>
      <c r="M9" s="71">
        <v>1387</v>
      </c>
      <c r="N9" s="71">
        <v>4990</v>
      </c>
      <c r="O9" s="71">
        <v>1426</v>
      </c>
      <c r="P9" s="71">
        <v>4920</v>
      </c>
      <c r="Q9" s="71">
        <v>0</v>
      </c>
      <c r="R9" s="71">
        <v>1449</v>
      </c>
      <c r="S9" s="71">
        <v>0</v>
      </c>
      <c r="T9" s="71">
        <v>0</v>
      </c>
      <c r="U9" s="71">
        <v>4574</v>
      </c>
      <c r="V9" s="71">
        <v>2331</v>
      </c>
      <c r="W9" s="71">
        <v>6977</v>
      </c>
      <c r="X9" s="71">
        <v>7087</v>
      </c>
      <c r="Y9" s="71">
        <v>7028</v>
      </c>
      <c r="Z9" s="71">
        <v>3130</v>
      </c>
      <c r="AA9" s="71">
        <v>2884</v>
      </c>
      <c r="AB9" s="71">
        <v>2255</v>
      </c>
      <c r="AC9" s="71">
        <v>9296</v>
      </c>
      <c r="AD9" s="71">
        <v>4780</v>
      </c>
      <c r="AE9" s="71">
        <v>4820</v>
      </c>
    </row>
    <row r="10" spans="1:99" s="72" customFormat="1" ht="22.5" ph="1">
      <c r="B10" s="191" ph="1"/>
      <c r="C10" s="164" t="s" ph="1">
        <v>178</v>
      </c>
      <c r="D10" s="73" ph="1">
        <f>D9*33.183*LOOKUP(D11,密度!$A$2:$A$50,密度!$Q$2:$Q$50)</f>
        <v>175959.3514131</v>
      </c>
      <c r="E10" s="73" ph="1">
        <f>E9*51.53*LOOKUP(E11,密度!$A$2:$A$50,密度!$B$2:$B$50)</f>
        <v>0</v>
      </c>
      <c r="F10" s="73" ph="1">
        <f>F9*33.183*LOOKUP(F11,密度!$A$2:$A$50,密度!$C$2:$C$50)</f>
        <v>90330.868785599989</v>
      </c>
      <c r="G10" s="73" ph="1">
        <f xml:space="preserve"> (G9+2)*51.53*LOOKUP(G11,密度!$A$2:$A$50,密度!$B$2:$B$50)</f>
        <v>105549.92444699998</v>
      </c>
      <c r="H10" s="73" ph="1">
        <f>(H9)*51.53*LOOKUP(H11,密度!$A$2:$A$50,密度!$B$2:$B$50)</f>
        <v>263571.20924</v>
      </c>
      <c r="I10" s="73" ph="1">
        <f>I9*290.8*1.0267</f>
        <v>23.885148800000003</v>
      </c>
      <c r="J10" s="73" ph="1">
        <f>J9*290.8*0.7892</f>
        <v>1544.5306928000002</v>
      </c>
      <c r="K10" s="73" ph="1">
        <f>K9*290.8*1.1126</f>
        <v>2403.9325143999999</v>
      </c>
      <c r="L10" s="73" ph="1">
        <f>L9*290.8*0.777</f>
        <v>6306.3091560000003</v>
      </c>
      <c r="M10" s="73" ph="1">
        <f>M9*33.183*LOOKUP(M11,密度!$A$2:$A$50,密度!$D$2:$D$50)</f>
        <v>47548.24257509999</v>
      </c>
      <c r="N10" s="73" ph="1">
        <f>N9*33.183*LOOKUP(N11,密度!$A$2:$A$50,密度!$E$2:$E$50)</f>
        <v>130860.37925100001</v>
      </c>
      <c r="O10" s="73" ph="1">
        <f>O9*20.428*LOOKUP(O11,密度!$A$2:$A$50,密度!$C$2:$C$50)</f>
        <v>32390.011703200005</v>
      </c>
      <c r="P10" s="73" ph="1">
        <f>P9*51.53*LOOKUP(P11,密度!$A$2:$A$50,密度!$B$2:$B$50)</f>
        <v>198993.81324000002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9627.8573159999996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30521.196921599996</v>
      </c>
      <c r="V10" s="73" ph="1">
        <f>V9*1.5*1.5*3.1416*LOOKUP(V11,密度!$A$2:$A$50,密度!$L$2:$L$50)</f>
        <v>15438.861484199999</v>
      </c>
      <c r="W10" s="73" ph="1">
        <f>W9*1.5*1.5*3.1416*LOOKUP(W11,密度!$A$2:$A$50,密度!$L$2:$L$50)</f>
        <v>46506.517734599998</v>
      </c>
      <c r="X10" s="73" ph="1">
        <f>X9*1.5*1.5*3.1416*LOOKUP(X11,密度!$A$2:$A$50,密度!$L$2:$L$50)</f>
        <v>47690.600126400001</v>
      </c>
      <c r="Y10" s="73" ph="1">
        <f>Y9*1.5*1.5*3.1416*LOOKUP(Y11,密度!$A$2:$A$50,密度!$L$2:$L$50)</f>
        <v>46896.146035199992</v>
      </c>
      <c r="Z10" s="73" ph="1">
        <f>Z9*33.183*LOOKUP(Z11,密度!$A$2:$A$50,密度!$L$2:$L$50)</f>
        <v>98150.336549999993</v>
      </c>
      <c r="AA10" s="73" ph="1">
        <f>AA9*33.183*LOOKUP(AA11,密度!$A$2:$A$50,密度!$D$2:$D$50)</f>
        <v>98781.304658399997</v>
      </c>
      <c r="AB10" s="73" ph="1">
        <f>AB9*20.428*LOOKUP(AB11,密度!$A$2:$A$50,密度!$D$2:$D$50)</f>
        <v>47907.745600000002</v>
      </c>
      <c r="AC10" s="73" ph="1">
        <f>AC9*51.53*LOOKUP(AC11,密度!$A$2:$A$50,密度!$Q$2:$Q$50)</f>
        <v>457246.49987520004</v>
      </c>
      <c r="AD10" s="73" ph="1">
        <f>AD9*20.428*LOOKUP(AD11,密度!$A$2:$A$50,密度!$V$2:$V$50)</f>
        <v>94130.589760000003</v>
      </c>
      <c r="AE10" s="73" ph="1">
        <f>AE9*20.428</f>
        <v>98462.96</v>
      </c>
    </row>
    <row r="11" spans="1:99" ph="1">
      <c r="A11" s="64" t="s" ph="1">
        <v>162</v>
      </c>
      <c r="B11" s="191" ph="1"/>
      <c r="C11" s="164" t="s" ph="1">
        <v>179</v>
      </c>
      <c r="D11" s="74">
        <v>18</v>
      </c>
      <c r="E11" s="74">
        <v>16</v>
      </c>
      <c r="F11" s="74">
        <v>16</v>
      </c>
      <c r="G11" s="74">
        <v>18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19</v>
      </c>
      <c r="O11" s="74">
        <v>21</v>
      </c>
      <c r="P11" s="74">
        <v>19</v>
      </c>
      <c r="Q11" s="74">
        <v>25</v>
      </c>
      <c r="R11" s="74">
        <v>22</v>
      </c>
      <c r="S11" s="74">
        <v>14</v>
      </c>
      <c r="T11" s="74">
        <v>23</v>
      </c>
      <c r="U11" s="74">
        <v>18</v>
      </c>
      <c r="V11" s="74">
        <v>25</v>
      </c>
      <c r="W11" s="74">
        <v>19</v>
      </c>
      <c r="X11" s="74">
        <v>10</v>
      </c>
      <c r="Y11" s="74">
        <v>18</v>
      </c>
      <c r="Z11" s="74">
        <v>17</v>
      </c>
      <c r="AA11" s="74">
        <v>19</v>
      </c>
      <c r="AB11" s="74">
        <v>10</v>
      </c>
      <c r="AC11" s="74">
        <v>15</v>
      </c>
      <c r="AD11" s="74">
        <v>16</v>
      </c>
      <c r="AE11" s="74">
        <v>20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4" t="s" ph="1">
        <v>177</v>
      </c>
      <c r="D15" s="78">
        <v>2079</v>
      </c>
      <c r="E15" s="78">
        <v>5541</v>
      </c>
      <c r="F15" s="78">
        <v>4139</v>
      </c>
      <c r="G15" s="78">
        <v>4137</v>
      </c>
      <c r="H15" s="78">
        <v>5318</v>
      </c>
      <c r="I15" s="78">
        <v>5218</v>
      </c>
      <c r="J15" s="78">
        <v>4492</v>
      </c>
      <c r="K15" s="78">
        <v>4056</v>
      </c>
      <c r="L15" s="78">
        <v>5133</v>
      </c>
      <c r="M15" s="78">
        <v>6114</v>
      </c>
      <c r="N15" s="78">
        <v>570</v>
      </c>
      <c r="O15" s="78">
        <v>3574</v>
      </c>
      <c r="P15" s="78">
        <v>0</v>
      </c>
      <c r="Q15" s="78">
        <v>2768</v>
      </c>
      <c r="R15" s="78">
        <v>7346</v>
      </c>
      <c r="S15" s="78">
        <v>6400</v>
      </c>
      <c r="T15" s="78">
        <v>3156</v>
      </c>
      <c r="U15" s="78">
        <v>6488</v>
      </c>
      <c r="V15" s="78">
        <v>315</v>
      </c>
      <c r="W15" s="71">
        <v>-677</v>
      </c>
      <c r="X15" s="78">
        <v>451</v>
      </c>
      <c r="Y15" s="106">
        <v>-9902</v>
      </c>
      <c r="Z15" s="78">
        <v>0</v>
      </c>
      <c r="AA15" s="78">
        <v>11</v>
      </c>
      <c r="AB15" s="78" ph="1">
        <v>6949</v>
      </c>
      <c r="AC15" s="78" ph="1">
        <v>2144</v>
      </c>
      <c r="AD15" s="78">
        <v>60.86</v>
      </c>
      <c r="AE15" s="78">
        <v>5.14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4" t="s" ph="1">
        <v>178</v>
      </c>
      <c r="D16" s="73" ph="1">
        <f>D15*7.0686*LOOKUP(D17,密度!$A$2:$A$50,密度!$L$2:$L$50)</f>
        <v>13843.273474799998</v>
      </c>
      <c r="E16" s="73" ph="1">
        <f>E15*7.0686*LOOKUP(E17,密度!$A$2:$A$50,密度!$L$2:$L$50)</f>
        <v>36895.420069200001</v>
      </c>
      <c r="F16" s="73" ph="1">
        <f>F15*9.0746*LOOKUP(F17,密度!$A$2:$A$50,密度!$L$2:$L$50)</f>
        <v>35531.541852399998</v>
      </c>
      <c r="G16" s="73" ph="1">
        <f>G15*9.0746*LOOKUP(G17,密度!$A$2:$A$50,密度!$B$2:$B$50)</f>
        <v>29496.450991139995</v>
      </c>
      <c r="H16" s="73" ph="1">
        <f>H15*9.0746*LOOKUP(H17,密度!$A$2:$A$50,密度!$L$2:$L$50)</f>
        <v>45845.786659999998</v>
      </c>
      <c r="I16" s="73" ph="1">
        <f>I15*9.0746*LOOKUP(I17,密度!$A$2:$A$50,密度!$U$2:$U$50)</f>
        <v>48677.098158400004</v>
      </c>
      <c r="J16" s="73" ph="1">
        <f>J15*9.0746*LOOKUP(J17,密度!$A$2:$A$50,密度!$L$2:$L$50)</f>
        <v>38521.132523999993</v>
      </c>
      <c r="K16" s="73" ph="1">
        <f>K15*9.0746*LOOKUP(K17,密度!$A$2:$A$50,密度!$C$2:$C$50)</f>
        <v>41068.779286080004</v>
      </c>
      <c r="L16" s="73" ph="1">
        <f>L15*9.0746*LOOKUP(L17,密度!$A$2:$A$50,密度!$E$2:$E$50)</f>
        <v>36914.588026500001</v>
      </c>
      <c r="M16" s="73" ph="1">
        <f>M15*9.0746*LOOKUP(M17,密度!$A$2:$A$50,密度!$M$2:$M$50)</f>
        <v>48840.89650332</v>
      </c>
      <c r="N16" s="73" ph="1">
        <f>N15*9.0746*LOOKUP(N17,密度!$A$2:$A$50,密度!$M$2:$M$50)</f>
        <v>4553.3711165999994</v>
      </c>
      <c r="O16" s="73" ph="1">
        <f>O15*9.0746*LOOKUP(O17,密度!$A$2:$A$50,密度!$G$2:$G$50)</f>
        <v>31362.3439268</v>
      </c>
      <c r="P16" s="73" ph="1">
        <f ca="1">P15*9.0746*LOOKUP(P17,密度!$A$2:$A$51,密度!$Q$2:$Q$50)</f>
        <v>0</v>
      </c>
      <c r="Q16" s="73" ph="1">
        <f>Q15*9.0746*LOOKUP(Q17,密度!$A$2:$A$50,密度!$Q$2:$Q$50)</f>
        <v>23872.113187264</v>
      </c>
      <c r="R16" s="73" ph="1">
        <f>MAX(R15*9.0746*LOOKUP(R17,密度!$A$2:$A$50,密度!$B$2:$B$50),0)</f>
        <v>52323.012904839998</v>
      </c>
      <c r="S16" s="73" ph="1">
        <f>S15*9.0746*LOOKUP(S17,密度!$A$2:$A$50,密度!$Q$2:$Q$50)</f>
        <v>55336.184831999999</v>
      </c>
      <c r="T16" s="73" ph="1">
        <f>T15*9.0746*LOOKUP(T17,密度!$A$2:$A$50,密度!$O$2:$O$50)</f>
        <v>26749.234718400003</v>
      </c>
      <c r="U16" s="73" ph="1">
        <f>U15*9.0746*LOOKUP(U17,密度!$A$2:$A$50,密度!$H$2:$H$50)</f>
        <v>54501.517643359999</v>
      </c>
      <c r="V16" s="73" ph="1">
        <f>MAX(5600*LOOKUP(V17,密度!$A$2:$A$50,密度!$Q$2:$Q$50)+V15*9.0476*LOOKUP(V17,密度!$A$2:$A$50,密度!$Q$2:$Q$50),0)</f>
        <v>8065.8572727600003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10003.795217840001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59528.0692576</v>
      </c>
      <c r="AC16" s="73" ph="1">
        <f>AC15*9.0746*LOOKUP(AC17,密度!$A$2:$A$50,密度!$L$2:$L$50)</f>
        <v>18444.233395200001</v>
      </c>
      <c r="AD16" s="73" ph="1">
        <f>AD15*268.68*LOOKUP(AD17,密度!$A$2:$A$50,密度!B2:B50)+IF(AD15&lt;=0,0,1566*LOOKUP(AD17,密度!$A$2:$A$50,密度!B2:B50))</f>
        <v>13968.767398079999</v>
      </c>
      <c r="AE16" s="73" ph="1">
        <f>AE15*268.68*LOOKUP(AE17,密度!$A$2:$A$50,密度!B2:B50)+IF(AE15&lt;=0,0,1566*LOOKUP(AE17,密度!$A$2:$A$50,密度!B2:B50))</f>
        <v>2297.49304992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20</v>
      </c>
      <c r="E17" s="74">
        <v>20</v>
      </c>
      <c r="F17" s="74">
        <v>16</v>
      </c>
      <c r="G17" s="74">
        <v>18</v>
      </c>
      <c r="H17" s="74">
        <v>12</v>
      </c>
      <c r="I17" s="74">
        <v>14</v>
      </c>
      <c r="J17" s="74">
        <v>17</v>
      </c>
      <c r="K17" s="74">
        <v>15</v>
      </c>
      <c r="L17" s="74">
        <v>17</v>
      </c>
      <c r="M17" s="74">
        <v>18</v>
      </c>
      <c r="N17" s="74">
        <v>14</v>
      </c>
      <c r="O17" s="74">
        <v>19</v>
      </c>
      <c r="P17" s="74">
        <v>14</v>
      </c>
      <c r="Q17" s="74">
        <v>20</v>
      </c>
      <c r="R17" s="74">
        <v>19</v>
      </c>
      <c r="S17" s="74">
        <v>17</v>
      </c>
      <c r="T17" s="74">
        <v>16</v>
      </c>
      <c r="U17" s="74">
        <v>14</v>
      </c>
      <c r="V17" s="74">
        <v>15</v>
      </c>
      <c r="W17" s="74">
        <v>17</v>
      </c>
      <c r="X17" s="74">
        <v>33</v>
      </c>
      <c r="Y17" s="108">
        <v>33</v>
      </c>
      <c r="Z17" s="74">
        <v>15</v>
      </c>
      <c r="AA17" s="74">
        <v>13</v>
      </c>
      <c r="AB17" s="74">
        <v>18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4686</v>
      </c>
      <c r="E18" s="71">
        <v>5880</v>
      </c>
      <c r="F18" s="71">
        <v>4139</v>
      </c>
      <c r="G18" s="71">
        <v>4204</v>
      </c>
      <c r="H18" s="71">
        <v>5319</v>
      </c>
      <c r="I18" s="71">
        <v>5220</v>
      </c>
      <c r="J18" s="71">
        <v>4582</v>
      </c>
      <c r="K18" s="71">
        <v>4057</v>
      </c>
      <c r="L18" s="71">
        <v>5137</v>
      </c>
      <c r="M18" s="71">
        <v>6124</v>
      </c>
      <c r="N18" s="71">
        <v>3044</v>
      </c>
      <c r="O18" s="71">
        <v>804</v>
      </c>
      <c r="P18" s="71">
        <v>421</v>
      </c>
      <c r="Q18" s="71">
        <v>4296</v>
      </c>
      <c r="R18" s="71">
        <v>7358</v>
      </c>
      <c r="S18" s="71">
        <v>6402</v>
      </c>
      <c r="T18" s="71">
        <v>1770</v>
      </c>
      <c r="U18" s="71">
        <v>6490</v>
      </c>
      <c r="V18" s="71">
        <v>457</v>
      </c>
      <c r="W18" s="71">
        <v>-677</v>
      </c>
      <c r="X18" s="71">
        <v>450</v>
      </c>
      <c r="Y18" s="109">
        <v>-9902</v>
      </c>
      <c r="Z18" s="71">
        <v>0</v>
      </c>
      <c r="AA18" s="71">
        <v>10</v>
      </c>
      <c r="AB18" s="71">
        <v>6953</v>
      </c>
      <c r="AC18" s="71">
        <v>2143</v>
      </c>
      <c r="AD18" s="71">
        <v>83.95</v>
      </c>
      <c r="AE18" s="71">
        <v>31.42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4" t="s" ph="1">
        <v>178</v>
      </c>
      <c r="D19" s="73" ph="1">
        <f>D18*7.0686*LOOKUP(D20,密度!$A$2:$A$50,密度!$L$2:$L$50)</f>
        <v>31202.298943199999</v>
      </c>
      <c r="E19" s="73" ph="1">
        <f>E18*7.0686*LOOKUP(E20,密度!$A$2:$A$50,密度!$L$2:$L$50)</f>
        <v>39235.819391999998</v>
      </c>
      <c r="F19" s="73" ph="1">
        <f>F18*9.0746*LOOKUP(F20,密度!$A$2:$A$50,密度!$L$2:$L$50)</f>
        <v>35343.743005399992</v>
      </c>
      <c r="G19" s="73" ph="1">
        <f>G18*9.0746*LOOKUP(G20,密度!$A$2:$A$50,密度!$B$2:$B$50)</f>
        <v>29974.155176879998</v>
      </c>
      <c r="H19" s="73" ph="1">
        <f>H18*9.0746*LOOKUP(H20,密度!$A$2:$A$50,密度!$L$2:$L$50)</f>
        <v>45757.871935199997</v>
      </c>
      <c r="I19" s="73" ph="1">
        <f>I18*9.0746*LOOKUP(I20,密度!$A$2:$A$50,密度!$U$2:$U$50)</f>
        <v>48695.755536000004</v>
      </c>
      <c r="J19" s="73" ph="1">
        <f>J18*9.0746*LOOKUP(J20,密度!$A$2:$A$50,密度!$L$2:$L$50)</f>
        <v>39251.347436799995</v>
      </c>
      <c r="K19" s="73" ph="1">
        <f>K18*9.0746*LOOKUP(K20,密度!$A$2:$A$50,密度!$C$2:$C$50)</f>
        <v>41056.815333440005</v>
      </c>
      <c r="L19" s="73" ph="1">
        <f>L18*9.0746*LOOKUP(L20,密度!$A$2:$A$50,密度!$E$2:$E$50)</f>
        <v>36840.798824060003</v>
      </c>
      <c r="M19" s="73" ph="1">
        <f>M18*9.0746*LOOKUP(M20,密度!$A$2:$A$50,密度!$M$2:$M$50)</f>
        <v>48920.780207119999</v>
      </c>
      <c r="N19" s="73" ph="1">
        <f>N18*9.0746*LOOKUP(N20,密度!$A$2:$A$50,密度!$M$2:$M$50)</f>
        <v>24316.59943672</v>
      </c>
      <c r="O19" s="73" ph="1">
        <f>O18*9.0746*LOOKUP(O20,密度!$A$2:$A$50,密度!$G$2:$G$50)</f>
        <v>7055.2111127999997</v>
      </c>
      <c r="P19" s="73" ph="1">
        <f ca="1">P18*9.0746*LOOKUP(P20,密度!$A$2:$A$51,密度!$Q$2:$Q$50)</f>
        <v>3603.9041579780001</v>
      </c>
      <c r="Q19" s="73" ph="1">
        <f>Q18*9.0746*LOOKUP(Q20,密度!$A$2:$A$50,密度!$Q$2:$Q$50)</f>
        <v>36908.168109983999</v>
      </c>
      <c r="R19" s="73" ph="1">
        <f>MAX(R18*9.0746*LOOKUP(R20,密度!$A$2:$A$50,密度!$B$2:$B$50),0)</f>
        <v>52294.974205760001</v>
      </c>
      <c r="S19" s="73" ph="1">
        <f>S18*9.0746*LOOKUP(S20,密度!$A$2:$A$50,密度!$Q$2:$Q$50)</f>
        <v>55307.581874292002</v>
      </c>
      <c r="T19" s="73" ph="1">
        <f>T18*9.0746*LOOKUP(T20,密度!$A$2:$A$50,密度!$O$2:$O$50)</f>
        <v>14937.699060000003</v>
      </c>
      <c r="U19" s="73" ph="1">
        <f>U18*9.0746*LOOKUP(U20,密度!$A$2:$A$50,密度!$H$2:$H$50)</f>
        <v>54400.5300498</v>
      </c>
      <c r="V19" s="73" ph="1">
        <f>MAX(5600*LOOKUP(V20,密度!$A$2:$A$50,密度!$Q$2:$Q$50)+V18*9.0476*LOOKUP(V20,密度!$A$2:$A$50,密度!$Q$2:$Q$50),0)</f>
        <v>9251.7147462159992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9994.4454280000009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71.362654400000011</v>
      </c>
      <c r="AB19" s="73" ph="1">
        <f>AB18*9.0746*LOOKUP(AB20,密度!$A$2:$A$50,密度!$L$2:$L$50)</f>
        <v>59562.334947199997</v>
      </c>
      <c r="AC19" s="73" ph="1">
        <f>AC18*9.0746*LOOKUP(AC20,密度!$A$2:$A$50,密度!$L$2:$L$50)</f>
        <v>18396.736938800001</v>
      </c>
      <c r="AD19" s="73" ph="1">
        <f>AD18*268.68*LOOKUP(AD20,密度!$A$2:$A$50,密度!B5:B53)+IF(AD18&lt;=0,0,1566*LOOKUP(AD20,密度!$A$2:$A$50,密度!B5:B53))</f>
        <v>18742.550021999999</v>
      </c>
      <c r="AE19" s="73" ph="1">
        <f>AE18*268.68*LOOKUP(AE20,密度!$A$2:$A$50,密度!B5:B53)+IF(AE18&lt;=0,0,1566*LOOKUP(AE20,密度!$A$2:$A$50,密度!B5:B53))</f>
        <v>7776.1581912000011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20</v>
      </c>
      <c r="E20" s="81">
        <v>18</v>
      </c>
      <c r="F20" s="81">
        <v>21</v>
      </c>
      <c r="G20" s="81">
        <v>18</v>
      </c>
      <c r="H20" s="81">
        <v>14</v>
      </c>
      <c r="I20" s="81">
        <v>18</v>
      </c>
      <c r="J20" s="81">
        <v>18</v>
      </c>
      <c r="K20" s="81">
        <v>16</v>
      </c>
      <c r="L20" s="81">
        <v>19</v>
      </c>
      <c r="M20" s="81">
        <v>20</v>
      </c>
      <c r="N20" s="81">
        <v>18</v>
      </c>
      <c r="O20" s="81">
        <v>19</v>
      </c>
      <c r="P20" s="81">
        <v>30</v>
      </c>
      <c r="Q20" s="81">
        <v>25</v>
      </c>
      <c r="R20" s="81">
        <v>21</v>
      </c>
      <c r="S20" s="81">
        <v>18</v>
      </c>
      <c r="T20" s="81">
        <v>22</v>
      </c>
      <c r="U20" s="81">
        <v>16</v>
      </c>
      <c r="V20" s="81">
        <v>20</v>
      </c>
      <c r="W20" s="81">
        <v>19</v>
      </c>
      <c r="X20" s="81">
        <v>33</v>
      </c>
      <c r="Y20" s="110">
        <v>33</v>
      </c>
      <c r="Z20" s="81">
        <v>22</v>
      </c>
      <c r="AA20" s="81">
        <v>17</v>
      </c>
      <c r="AB20" s="81">
        <v>18</v>
      </c>
      <c r="AC20" s="81">
        <v>16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647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4" t="s" ph="1">
        <v>177</v>
      </c>
      <c r="D24" s="71">
        <v>5.42</v>
      </c>
      <c r="E24" s="71">
        <v>4.96</v>
      </c>
      <c r="F24" s="71">
        <v>509</v>
      </c>
      <c r="G24" s="71">
        <v>3916</v>
      </c>
      <c r="H24" s="71">
        <v>3178</v>
      </c>
      <c r="I24" s="71">
        <v>3028</v>
      </c>
      <c r="J24" s="71">
        <v>4929</v>
      </c>
      <c r="K24" s="71">
        <v>3609</v>
      </c>
      <c r="L24" s="71">
        <v>5547</v>
      </c>
      <c r="M24" s="71">
        <v>1724</v>
      </c>
      <c r="N24" s="71">
        <v>591</v>
      </c>
      <c r="O24" s="71">
        <v>5721</v>
      </c>
      <c r="P24" s="71">
        <v>2710</v>
      </c>
      <c r="Q24" s="90">
        <v>831</v>
      </c>
      <c r="R24" s="71">
        <v>2014</v>
      </c>
      <c r="S24" s="71">
        <v>2976</v>
      </c>
      <c r="T24" s="71">
        <v>1954</v>
      </c>
      <c r="U24" s="71">
        <v>4629</v>
      </c>
      <c r="V24" s="71">
        <v>4266</v>
      </c>
      <c r="W24" s="71">
        <v>1766</v>
      </c>
      <c r="X24" s="71">
        <v>7846</v>
      </c>
      <c r="Y24" s="71">
        <v>9654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2861.2807993440001</v>
      </c>
      <c r="E25" s="91" ph="1">
        <f>E24*268.68*LOOKUP(E26,密度!$A$2:$A$50,密度!$C$2:$C$50)+IF(E24&lt;=0,0,1566*LOOKUP(E26,密度!$A$2:$A$50,密度!$C$2:$C$50))</f>
        <v>3214.3160899200002</v>
      </c>
      <c r="F25" s="91" ph="1">
        <f>F24*11.702*LOOKUP(F26,密度!$A$2:$A$50,密度!$Q$2:$Q$50)</f>
        <v>5685.5437837200006</v>
      </c>
      <c r="G25" s="91" ph="1">
        <f>G24*18.322*LOOKUP(G26,密度!$A$2:$A$50,密度!$B$2:$B$50)</f>
        <v>56538.174175999993</v>
      </c>
      <c r="H25" s="91" ph="1">
        <f>H24*18.322*LOOKUP(H26,密度!$A$2:$A$50,密度!$B$2:$B$50)</f>
        <v>45836.543155200001</v>
      </c>
      <c r="I25" s="91" ph="1">
        <f>I24*18.322*LOOKUP(I26,密度!$A$2:$A$50,密度!$Q$2:$Q$50)</f>
        <v>52956.939932640002</v>
      </c>
      <c r="J25" s="91" ph="1">
        <f>J24*18.322*LOOKUP(J26,密度!$A$2:$A$50,密度!$Q$2:$Q$50)</f>
        <v>86203.684586520001</v>
      </c>
      <c r="K25" s="91" ph="1">
        <f>K24*18.322*LOOKUP(K26,密度!$A$2:$A$50,密度!$Q$2:$Q$50)</f>
        <v>62950.802536980002</v>
      </c>
      <c r="L25" s="91" ph="1">
        <f>L24*18.322*LOOKUP(L26,密度!$A$2:$A$50,密度!$Q$2:$Q$50)</f>
        <v>96835.097275199994</v>
      </c>
      <c r="M25" s="91" ph="1">
        <f>M24*18.322*LOOKUP(M26,密度!$A$2:$A$50,密度!$Q$2:$Q$50)</f>
        <v>30071.261727279998</v>
      </c>
      <c r="N25" s="91" ph="1">
        <f>N24*18.322*LOOKUP(N26,密度!$A$2:$A$50,密度!$Q$2:$Q$50)</f>
        <v>10317.206145599999</v>
      </c>
      <c r="O25" s="91" ph="1">
        <f>O24*18.322*LOOKUP(O26,密度!$A$2:$A$50,密度!$C$2:$C$50)</f>
        <v>116895.4446624</v>
      </c>
      <c r="P25" s="91" ph="1">
        <f>P24*11.702*LOOKUP(P26,密度!$A$2:$A$50,密度!$B$2:$B$50)</f>
        <v>24891.078458</v>
      </c>
      <c r="Q25" s="92" ph="1">
        <f>Q24*18.322*LOOKUP(Q26,密度!$A$2:$A$50,密度!$B$2:$B$50)</f>
        <v>11997.758615999999</v>
      </c>
      <c r="R25" s="91" ph="1">
        <f>R24*35.891*LOOKUP(R26,密度!$A$2:$A$50,密度!$C$2:$C$50)</f>
        <v>80655.016089199999</v>
      </c>
      <c r="S25" s="91" ph="1">
        <f>S24*35.891*LOOKUP(S26,密度!$A$2:$A$50,密度!$B$2:$B$50)</f>
        <v>83921.886691199994</v>
      </c>
      <c r="T25" s="91" ph="1">
        <f>T24*35.891*LOOKUP(T26,密度!$A$2:$A$50,密度!$Q$2:$Q$50)</f>
        <v>66820.830139199999</v>
      </c>
      <c r="U25" s="91" ph="1">
        <f>U24*35.891</f>
        <v>166139.43899999998</v>
      </c>
      <c r="V25" s="91" ph="1">
        <f>V24*47.051*LOOKUP(V26,密度!$A$2:$A$50,密度!$B$2:$B$50)</f>
        <v>158006.44235520001</v>
      </c>
      <c r="W25" s="91" ph="1">
        <f>W24*47.051*LOOKUP(W26,密度!$A$2:$A$50,密度!$B$2:$B$50)</f>
        <v>65285.436256200002</v>
      </c>
      <c r="X25" s="91" ph="1">
        <f>X24*47.051*LOOKUP(X26,密度!$A$2:$A$61,密度!$I$2:$I$61)</f>
        <v>376914.55106599996</v>
      </c>
      <c r="Y25" s="91" ph="1">
        <f>Y24*47.051*LOOKUP(Y26,密度!$A$2:$A$50,密度!$L$2:$L$50)</f>
        <v>427430.76311399997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15</v>
      </c>
      <c r="H26" s="74">
        <v>16</v>
      </c>
      <c r="I26" s="74">
        <v>15</v>
      </c>
      <c r="J26" s="74">
        <v>15</v>
      </c>
      <c r="K26" s="74">
        <v>18</v>
      </c>
      <c r="L26" s="74">
        <v>17</v>
      </c>
      <c r="M26" s="74">
        <v>18</v>
      </c>
      <c r="N26" s="74">
        <v>17</v>
      </c>
      <c r="O26" s="74">
        <v>16</v>
      </c>
      <c r="P26" s="74">
        <v>19</v>
      </c>
      <c r="Q26" s="93">
        <v>15</v>
      </c>
      <c r="R26" s="74">
        <v>15</v>
      </c>
      <c r="S26" s="74">
        <v>18</v>
      </c>
      <c r="T26" s="74">
        <v>17</v>
      </c>
      <c r="U26" s="74">
        <v>17</v>
      </c>
      <c r="V26" s="74">
        <v>16</v>
      </c>
      <c r="W26" s="74">
        <v>18</v>
      </c>
      <c r="X26" s="74">
        <v>44</v>
      </c>
      <c r="Y26" s="74">
        <v>21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4" t="s" ph="1">
        <v>180</v>
      </c>
      <c r="D27" s="71">
        <v>5.43</v>
      </c>
      <c r="E27" s="71">
        <v>4.93</v>
      </c>
      <c r="F27" s="71">
        <v>508</v>
      </c>
      <c r="G27" s="71">
        <v>2750</v>
      </c>
      <c r="H27" s="71">
        <v>2707</v>
      </c>
      <c r="I27" s="71">
        <v>3025</v>
      </c>
      <c r="J27" s="71">
        <v>4928</v>
      </c>
      <c r="K27" s="71">
        <v>4724</v>
      </c>
      <c r="L27" s="71">
        <v>5543</v>
      </c>
      <c r="M27" s="71">
        <v>2836</v>
      </c>
      <c r="N27" s="71">
        <v>588</v>
      </c>
      <c r="O27" s="71">
        <v>5719</v>
      </c>
      <c r="P27" s="71">
        <v>2709</v>
      </c>
      <c r="Q27" s="90">
        <v>1096</v>
      </c>
      <c r="R27" s="71">
        <v>2012</v>
      </c>
      <c r="S27" s="71">
        <v>2974</v>
      </c>
      <c r="T27" s="71">
        <v>1063</v>
      </c>
      <c r="U27" s="71">
        <v>4649</v>
      </c>
      <c r="V27" s="71">
        <v>4265</v>
      </c>
      <c r="W27" s="71">
        <v>1764</v>
      </c>
      <c r="X27" s="71">
        <v>7122</v>
      </c>
      <c r="Y27" s="71">
        <v>7796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4" t="s" ph="1">
        <v>178</v>
      </c>
      <c r="D28" s="91" ph="1">
        <f>D27*268.68*LOOKUP(D29,密度!$A$2:$A$50,密度!$Q$2:$Q$50)+IF(D27&lt;=0,0,1566*LOOKUP(D29,密度!$A$2:$A$50,密度!$Q$2:$Q$50))</f>
        <v>2863.8245003759998</v>
      </c>
      <c r="E28" s="91" ph="1">
        <f>E27*268.68*LOOKUP(E29,密度!$A$2:$A$50,密度!$C$2:$C$50)+IF(E27&lt;=0,0,1566*LOOKUP(E29,密度!$A$2:$A$50,密度!$C$2:$C$50))</f>
        <v>3205.3779123599998</v>
      </c>
      <c r="F28" s="91" ph="1">
        <f>F27*11.702*LOOKUP(F29,密度!$A$2:$A$50,密度!$Q$2:$Q$50)</f>
        <v>5654.6970776799999</v>
      </c>
      <c r="G28" s="91" ph="1">
        <f>G27*18.322*LOOKUP(G29,密度!$A$2:$A$50,密度!$B$2:$B$50)</f>
        <v>39547.578950000003</v>
      </c>
      <c r="H28" s="91" ph="1">
        <f>H27*18.322*LOOKUP(H29,密度!$A$2:$A$50,密度!$B$2:$B$50)</f>
        <v>38929.198624600001</v>
      </c>
      <c r="I28" s="91" ph="1">
        <f>I27*18.322*LOOKUP(I29,密度!$A$2:$A$50,密度!$Q$2:$Q$50)</f>
        <v>52721.019081499995</v>
      </c>
      <c r="J28" s="91" ph="1">
        <f>J27*18.322*LOOKUP(J29,密度!$A$2:$A$50,密度!$Q$2:$Q$50)</f>
        <v>85887.332903679999</v>
      </c>
      <c r="K28" s="91" ph="1">
        <f>K27*18.322*LOOKUP(K29,密度!$A$2:$A$50,密度!$Q$2:$Q$50)</f>
        <v>82467.8203584</v>
      </c>
      <c r="L28" s="91" ph="1">
        <f>L27*18.322*LOOKUP(L29,密度!$A$2:$A$50,密度!$Q$2:$Q$50)</f>
        <v>96685.03698045999</v>
      </c>
      <c r="M28" s="91" ph="1">
        <f>M27*18.322*LOOKUP(M29,密度!$A$2:$A$50,密度!$Q$2:$Q$50)</f>
        <v>49467.574395919997</v>
      </c>
      <c r="N28" s="91" ph="1">
        <f>N27*18.322*LOOKUP(N29,密度!$A$2:$A$50,密度!$Q$2:$Q$50)</f>
        <v>10247.920403279999</v>
      </c>
      <c r="O28" s="91" ph="1">
        <f>O27*18.322*LOOKUP(O29,密度!$A$2:$A$50,密度!$C$2:$C$50)</f>
        <v>116645.01223759999</v>
      </c>
      <c r="P28" s="91" ph="1">
        <f>P27*11.702*LOOKUP(P29,密度!$A$2:$A$50,密度!$B$2:$B$50)</f>
        <v>24907.254132599999</v>
      </c>
      <c r="Q28" s="92" ph="1">
        <f>Q27*18.322*LOOKUP(Q29,密度!$A$2:$A$50,密度!$B$2:$B$50)</f>
        <v>15791.6291968</v>
      </c>
      <c r="R28" s="91" ph="1">
        <f>R27*35.891*LOOKUP(R29,密度!$A$2:$A$50,密度!$C$2:$C$50)</f>
        <v>80531.594118399997</v>
      </c>
      <c r="S28" s="91" ph="1">
        <f>S27*35.891*LOOKUP(S29,密度!$A$2:$A$50,密度!$B$2:$B$50)</f>
        <v>84025.597324799994</v>
      </c>
      <c r="T28" s="91" ph="1">
        <f>T27*35.891*LOOKUP(T29,密度!$A$2:$A$50,密度!$Q$2:$Q$50)</f>
        <v>36351.352322400002</v>
      </c>
      <c r="U28" s="91" ph="1">
        <f>U27*35.891</f>
        <v>166857.25899999999</v>
      </c>
      <c r="V28" s="91" ph="1">
        <f>V27*47.051*LOOKUP(V29,密度!$A$2:$A$50,密度!$B$2:$B$50)</f>
        <v>157668.3950355</v>
      </c>
      <c r="W28" s="91" ph="1">
        <f>W27*47.051*LOOKUP(W29,密度!$A$2:$A$50,密度!$B$2:$B$50)</f>
        <v>65078.703572400009</v>
      </c>
      <c r="X28" s="91" ph="1">
        <f>X27*47.051*LOOKUP(X29,密度!$A$2:$A$61,密度!$I$2:$I$61)</f>
        <v>341028.44282940001</v>
      </c>
      <c r="Y28" s="91" ph="1">
        <f>Y27*47.051*LOOKUP(Y29,密度!$A$2:$A$50,密度!$L$2:$L$50)</f>
        <v>345901.449028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4" t="s" ph="1">
        <v>179</v>
      </c>
      <c r="D29" s="74">
        <v>25</v>
      </c>
      <c r="E29" s="74">
        <v>25</v>
      </c>
      <c r="F29" s="74">
        <v>19</v>
      </c>
      <c r="G29" s="74">
        <v>19</v>
      </c>
      <c r="H29" s="74">
        <v>19</v>
      </c>
      <c r="I29" s="74">
        <v>19</v>
      </c>
      <c r="J29" s="74">
        <v>19</v>
      </c>
      <c r="K29" s="74">
        <v>17</v>
      </c>
      <c r="L29" s="74">
        <v>18</v>
      </c>
      <c r="M29" s="74">
        <v>18</v>
      </c>
      <c r="N29" s="74">
        <v>19</v>
      </c>
      <c r="O29" s="74">
        <v>19</v>
      </c>
      <c r="P29" s="74">
        <v>18</v>
      </c>
      <c r="Q29" s="93">
        <v>17</v>
      </c>
      <c r="R29" s="74">
        <v>16</v>
      </c>
      <c r="S29" s="74">
        <v>16</v>
      </c>
      <c r="T29" s="74">
        <v>17</v>
      </c>
      <c r="U29" s="74">
        <v>18</v>
      </c>
      <c r="V29" s="74">
        <v>18</v>
      </c>
      <c r="W29" s="74">
        <v>20</v>
      </c>
      <c r="X29" s="74">
        <v>47</v>
      </c>
      <c r="Y29" s="74">
        <v>19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4" t="s" ph="1">
        <v>5</v>
      </c>
      <c r="F32" s="165" t="s" ph="1">
        <v>43</v>
      </c>
      <c r="G32" s="97" t="s" ph="1">
        <v>4</v>
      </c>
      <c r="H32" s="164" t="s" ph="1">
        <v>5</v>
      </c>
      <c r="I32" s="165" t="s" ph="1">
        <v>43</v>
      </c>
      <c r="J32" s="97" t="s" ph="1">
        <v>4</v>
      </c>
      <c r="K32" s="164" t="s" ph="1">
        <v>5</v>
      </c>
      <c r="L32" s="165" t="s" ph="1">
        <v>43</v>
      </c>
      <c r="M32" s="97" t="s" ph="1">
        <v>4</v>
      </c>
      <c r="N32" s="164" t="s" ph="1">
        <v>5</v>
      </c>
      <c r="O32" s="16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4" t="s" ph="1">
        <v>5</v>
      </c>
      <c r="U32" s="99" t="s" ph="1">
        <v>43</v>
      </c>
      <c r="V32" s="97" t="s" ph="1">
        <v>4</v>
      </c>
      <c r="W32" s="164" t="s" ph="1">
        <v>5</v>
      </c>
      <c r="X32" s="99" t="s" ph="1">
        <v>43</v>
      </c>
      <c r="Y32" s="100" t="s" ph="1">
        <v>4</v>
      </c>
      <c r="Z32" s="164" t="s" ph="1">
        <v>5</v>
      </c>
      <c r="AA32" s="165" t="s" ph="1">
        <v>43</v>
      </c>
      <c r="AB32" s="97" t="s" ph="1">
        <v>85</v>
      </c>
      <c r="AC32" s="16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146689.05025840001</v>
      </c>
      <c r="E33" s="213" ph="1">
        <f>M10+I10</f>
        <v>47572.12772389999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7" ph="1">
        <f>N19</f>
        <v>24316.59943672</v>
      </c>
      <c r="H33" s="213" ph="1">
        <f>M19</f>
        <v>48920.780207119999</v>
      </c>
      <c r="I33" s="226" ph="1">
        <v>0</v>
      </c>
      <c r="J33" s="224" ph="1">
        <f>F10+O28</f>
        <v>206975.8810232</v>
      </c>
      <c r="K33" s="213" ph="1">
        <f>O10+K10+E28+R28</f>
        <v>118530.91624836001</v>
      </c>
      <c r="L33" s="228" ph="1">
        <f>K19</f>
        <v>41056.815333440005</v>
      </c>
      <c r="M33" s="224" ph="1">
        <f>G10+H10+W28+S28+V28+E10+R19+P28+Q28</f>
        <v>768887.68715486</v>
      </c>
      <c r="N33" s="213" ph="1">
        <f>L10+P10++G28+H28+AD19+AE19</f>
        <v>310295.60818380001</v>
      </c>
      <c r="O33" s="226" ph="1">
        <f>G19</f>
        <v>29974.155176879998</v>
      </c>
      <c r="P33" s="224" ph="1">
        <f>L19</f>
        <v>36840.798824060003</v>
      </c>
      <c r="Q33" s="213" ph="1">
        <f>J10+N10</f>
        <v>132404.90994380001</v>
      </c>
      <c r="R33" s="226" ph="1">
        <f>BE23</f>
        <v>890</v>
      </c>
      <c r="S33" s="224" ph="1">
        <f>X28</f>
        <v>341028.44282940001</v>
      </c>
      <c r="T33" s="213" ph="1">
        <f>X19</f>
        <v>9994.4454280000009</v>
      </c>
      <c r="U33" s="234" ph="1">
        <f>BE21</f>
        <v>730</v>
      </c>
      <c r="V33" s="245" ph="1">
        <f ca="1">P19+Q19+S19+M28+N28+J28+D10+AC10+D19+E19+H19+J19+O19+V19+W19+K28+L28</f>
        <v>1225535.4540385099</v>
      </c>
      <c r="W33" s="245" ph="1">
        <f>D28+F28+T28+I28</f>
        <v>97590.892981956</v>
      </c>
      <c r="X33" s="226" ph="1">
        <f>BE29+BE31</f>
        <v>10200</v>
      </c>
      <c r="Y33" s="247" ph="1">
        <f>+Q10+R10+S10+T10+U10+V10+W10+X10+Y10</f>
        <v>196681.17961799997</v>
      </c>
      <c r="Z33" s="232" ph="1">
        <f>T19+U19+Y28+Z10</f>
        <v>513390.01468780002</v>
      </c>
      <c r="AA33" s="234" ph="1">
        <f>BE19</f>
        <v>1440</v>
      </c>
      <c r="AB33" s="236" ph="1">
        <f>I19</f>
        <v>48695.755536000004</v>
      </c>
      <c r="AC33" s="238" ph="1">
        <f>AD10+AB19</f>
        <v>153692.9247072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6" t="s" ph="1">
        <v>185</v>
      </c>
      <c r="AA36" s="16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342</v>
      </c>
      <c r="AI37" s="166" t="s" ph="1">
        <v>209</v>
      </c>
      <c r="AJ37" s="166" t="s" ph="1">
        <v>210</v>
      </c>
      <c r="AK37" s="166" t="s" ph="1">
        <v>211</v>
      </c>
      <c r="AM37" s="166" t="s" ph="1">
        <v>210</v>
      </c>
      <c r="AN37" s="166" t="s" ph="1">
        <v>211</v>
      </c>
      <c r="AO37" s="166" t="s" ph="1">
        <v>212</v>
      </c>
      <c r="AP37" s="166" t="s" ph="1">
        <v>210</v>
      </c>
      <c r="AQ37" s="166" t="s" ph="1">
        <v>211</v>
      </c>
      <c r="AR37" s="166" t="s" ph="1">
        <v>212</v>
      </c>
      <c r="AS37" s="166" t="s" ph="1">
        <v>210</v>
      </c>
      <c r="AT37" s="166" t="s" ph="1">
        <v>211</v>
      </c>
      <c r="AU37" s="166" t="s" ph="1">
        <v>212</v>
      </c>
      <c r="AV37" s="166" t="s" ph="1">
        <v>210</v>
      </c>
      <c r="AW37" s="166" t="s" ph="1">
        <v>211</v>
      </c>
      <c r="AX37" s="166" t="s" ph="1">
        <v>212</v>
      </c>
      <c r="AY37" s="166" t="s" ph="1">
        <v>211</v>
      </c>
      <c r="AZ37" s="166" t="s" ph="1">
        <v>213</v>
      </c>
      <c r="BD37" s="166" t="s" ph="1">
        <v>305</v>
      </c>
      <c r="BE37" s="16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169" priority="100">
      <formula>ABS(D$7-D$10)&gt;=1000</formula>
    </cfRule>
  </conditionalFormatting>
  <conditionalFormatting sqref="E4 E6:E11">
    <cfRule type="expression" dxfId="1168" priority="99">
      <formula>ABS(E$7-E$10)&gt;=1000</formula>
    </cfRule>
  </conditionalFormatting>
  <conditionalFormatting sqref="F4:F11">
    <cfRule type="expression" dxfId="1167" priority="98">
      <formula>ABS(F$7-F$10)&gt;=1000</formula>
    </cfRule>
  </conditionalFormatting>
  <conditionalFormatting sqref="G4:G11">
    <cfRule type="expression" dxfId="1166" priority="97">
      <formula>ABS(G$7-G$10)&gt;=1000</formula>
    </cfRule>
  </conditionalFormatting>
  <conditionalFormatting sqref="H4:H11">
    <cfRule type="expression" dxfId="1165" priority="96">
      <formula>ABS(H$7-H$10)&gt;=1000</formula>
    </cfRule>
  </conditionalFormatting>
  <conditionalFormatting sqref="I4:I11">
    <cfRule type="expression" dxfId="1164" priority="95">
      <formula>ABS(I$7-I$10)&gt;=1000</formula>
    </cfRule>
  </conditionalFormatting>
  <conditionalFormatting sqref="J4:J11">
    <cfRule type="expression" dxfId="1163" priority="94">
      <formula>ABS(J$7-J$10)&gt;=1000</formula>
    </cfRule>
  </conditionalFormatting>
  <conditionalFormatting sqref="K4:K11">
    <cfRule type="expression" dxfId="1162" priority="93">
      <formula>ABS(K$7-K$10)&gt;=1000</formula>
    </cfRule>
  </conditionalFormatting>
  <conditionalFormatting sqref="L4:L11">
    <cfRule type="expression" dxfId="1161" priority="92">
      <formula>ABS(L$7-L$10)&gt;=1000</formula>
    </cfRule>
  </conditionalFormatting>
  <conditionalFormatting sqref="M4 M6:M11">
    <cfRule type="expression" dxfId="1160" priority="91">
      <formula>ABS(M$7-M$10)&gt;=1000</formula>
    </cfRule>
  </conditionalFormatting>
  <conditionalFormatting sqref="N4 N6:N11">
    <cfRule type="expression" dxfId="1159" priority="90">
      <formula>ABS(N$7-N$10)&gt;=1000</formula>
    </cfRule>
  </conditionalFormatting>
  <conditionalFormatting sqref="O4 O6:O11">
    <cfRule type="expression" dxfId="1158" priority="89">
      <formula>ABS(O$7-O$10)&gt;=1000</formula>
    </cfRule>
  </conditionalFormatting>
  <conditionalFormatting sqref="P4 P6:P11">
    <cfRule type="expression" dxfId="1157" priority="88">
      <formula>ABS(P$7-P$10)&gt;=1000</formula>
    </cfRule>
  </conditionalFormatting>
  <conditionalFormatting sqref="Q4:Q11">
    <cfRule type="expression" dxfId="1156" priority="87">
      <formula>ABS(Q$7-Q$10)&gt;=1000</formula>
    </cfRule>
  </conditionalFormatting>
  <conditionalFormatting sqref="R4:R11">
    <cfRule type="expression" dxfId="1155" priority="86">
      <formula>ABS(R$7-R$10)&gt;=1000</formula>
    </cfRule>
  </conditionalFormatting>
  <conditionalFormatting sqref="S4:S11">
    <cfRule type="expression" dxfId="1154" priority="85">
      <formula>ABS(S$7-S$10)&gt;=1000</formula>
    </cfRule>
  </conditionalFormatting>
  <conditionalFormatting sqref="T4:T9 T11">
    <cfRule type="expression" dxfId="1153" priority="84">
      <formula>ABS(T$7-T$10)&gt;=1000</formula>
    </cfRule>
  </conditionalFormatting>
  <conditionalFormatting sqref="U4:U9 U11">
    <cfRule type="expression" dxfId="1152" priority="83">
      <formula>ABS(U$7-U$10)&gt;=1000</formula>
    </cfRule>
  </conditionalFormatting>
  <conditionalFormatting sqref="V4:V9 V11">
    <cfRule type="expression" dxfId="1151" priority="82">
      <formula>ABS(V$7-V$10)&gt;=1000</formula>
    </cfRule>
  </conditionalFormatting>
  <conditionalFormatting sqref="W4:W9 W11">
    <cfRule type="expression" dxfId="1150" priority="81">
      <formula>ABS(W$7-W$10)&gt;=1000</formula>
    </cfRule>
  </conditionalFormatting>
  <conditionalFormatting sqref="X4:X9 X11">
    <cfRule type="expression" dxfId="1149" priority="80">
      <formula>ABS(X$7-X$10)&gt;=1000</formula>
    </cfRule>
  </conditionalFormatting>
  <conditionalFormatting sqref="Y4:Y9 Y11">
    <cfRule type="expression" dxfId="1148" priority="79">
      <formula>ABS(Y$7-Y$10)&gt;=1000</formula>
    </cfRule>
  </conditionalFormatting>
  <conditionalFormatting sqref="Z4:Z11">
    <cfRule type="expression" dxfId="1147" priority="78">
      <formula>ABS(Z$7-Z$10)&gt;=1000</formula>
    </cfRule>
  </conditionalFormatting>
  <conditionalFormatting sqref="AA4:AA11">
    <cfRule type="expression" dxfId="1146" priority="77">
      <formula>ABS(AA$7-AA$10)&gt;=1000</formula>
    </cfRule>
  </conditionalFormatting>
  <conditionalFormatting sqref="AB4:AB11">
    <cfRule type="expression" dxfId="1145" priority="76">
      <formula>ABS(AB$7-AB$10)&gt;=1000</formula>
    </cfRule>
  </conditionalFormatting>
  <conditionalFormatting sqref="AC4 AC6:AC11">
    <cfRule type="expression" dxfId="1144" priority="75">
      <formula>ABS(AC$7-AC$10)&gt;=1000</formula>
    </cfRule>
  </conditionalFormatting>
  <conditionalFormatting sqref="AD4 AD6:AD11">
    <cfRule type="expression" dxfId="1143" priority="74">
      <formula>ABS(AD$7-AD$10)&gt;=1000</formula>
    </cfRule>
  </conditionalFormatting>
  <conditionalFormatting sqref="AE4 AE6:AE11">
    <cfRule type="expression" dxfId="1142" priority="73">
      <formula>ABS(AE$7-AE$10)&gt;=1000</formula>
    </cfRule>
  </conditionalFormatting>
  <conditionalFormatting sqref="D13:D20">
    <cfRule type="expression" dxfId="1141" priority="72">
      <formula>ABS(D$16-D$19)&gt;=1000</formula>
    </cfRule>
  </conditionalFormatting>
  <conditionalFormatting sqref="E13:E20">
    <cfRule type="expression" dxfId="1140" priority="71">
      <formula>ABS(E$16-E$19)&gt;=1000</formula>
    </cfRule>
  </conditionalFormatting>
  <conditionalFormatting sqref="F13 F15:F20">
    <cfRule type="expression" dxfId="1139" priority="70">
      <formula>ABS(F$16-F$19)&gt;=1000</formula>
    </cfRule>
  </conditionalFormatting>
  <conditionalFormatting sqref="G13:G20">
    <cfRule type="expression" dxfId="1138" priority="69">
      <formula>ABS(G$16-G$19)&gt;=1000</formula>
    </cfRule>
  </conditionalFormatting>
  <conditionalFormatting sqref="H13 H15:H20">
    <cfRule type="expression" dxfId="1137" priority="68">
      <formula>ABS(H$16-H$19)&gt;=1000</formula>
    </cfRule>
  </conditionalFormatting>
  <conditionalFormatting sqref="I13:I20">
    <cfRule type="expression" dxfId="1136" priority="67">
      <formula>ABS(I$16-I$19)&gt;=1000</formula>
    </cfRule>
  </conditionalFormatting>
  <conditionalFormatting sqref="J13:J20">
    <cfRule type="expression" dxfId="1135" priority="66">
      <formula>ABS(J$16-J$19)&gt;=1000</formula>
    </cfRule>
  </conditionalFormatting>
  <conditionalFormatting sqref="L13:L20">
    <cfRule type="expression" dxfId="1134" priority="65">
      <formula>ABS(L$16-L$19)&gt;=1000</formula>
    </cfRule>
  </conditionalFormatting>
  <conditionalFormatting sqref="M13 M15 M17:M18 M20">
    <cfRule type="expression" dxfId="1133" priority="64">
      <formula>ABS(M$16-M$19)&gt;=1000</formula>
    </cfRule>
  </conditionalFormatting>
  <conditionalFormatting sqref="N13:N20">
    <cfRule type="expression" dxfId="1132" priority="63">
      <formula>ABS(N$16-N$19)&gt;=1000</formula>
    </cfRule>
  </conditionalFormatting>
  <conditionalFormatting sqref="O13:O20">
    <cfRule type="expression" dxfId="1131" priority="62">
      <formula>ABS(O$16-O$19)&gt;=1000</formula>
    </cfRule>
  </conditionalFormatting>
  <conditionalFormatting sqref="P13:P20">
    <cfRule type="expression" dxfId="1130" priority="61">
      <formula>ABS(P$16-P$19)&gt;=1000</formula>
    </cfRule>
  </conditionalFormatting>
  <conditionalFormatting sqref="Q13 Q15:Q20">
    <cfRule type="expression" dxfId="1129" priority="60">
      <formula>ABS(Q$16-Q$19)&gt;=1000</formula>
    </cfRule>
  </conditionalFormatting>
  <conditionalFormatting sqref="R13:R20">
    <cfRule type="expression" dxfId="1128" priority="59">
      <formula>ABS(R$16-R$19)&gt;=1000</formula>
    </cfRule>
  </conditionalFormatting>
  <conditionalFormatting sqref="S13:S20">
    <cfRule type="expression" dxfId="1127" priority="58">
      <formula>ABS(S$16-S$19)&gt;=1000</formula>
    </cfRule>
  </conditionalFormatting>
  <conditionalFormatting sqref="T13:T20">
    <cfRule type="expression" dxfId="1126" priority="57">
      <formula>ABS(T$16-T$19)&gt;=1000</formula>
    </cfRule>
  </conditionalFormatting>
  <conditionalFormatting sqref="U13:U20">
    <cfRule type="expression" dxfId="1125" priority="56">
      <formula>ABS(U$16-U$19)&gt;=1000</formula>
    </cfRule>
  </conditionalFormatting>
  <conditionalFormatting sqref="V13:V20">
    <cfRule type="expression" dxfId="1124" priority="55">
      <formula>ABS(V$16-V$19)&gt;=1000</formula>
    </cfRule>
  </conditionalFormatting>
  <conditionalFormatting sqref="W13 W20 W15:W18">
    <cfRule type="expression" dxfId="1123" priority="54">
      <formula>ABS(W$16-W$19)&gt;=1000</formula>
    </cfRule>
  </conditionalFormatting>
  <conditionalFormatting sqref="X13 X15:X20 Y19">
    <cfRule type="expression" dxfId="1122" priority="53">
      <formula>ABS(X$16-X$19)&gt;=1000</formula>
    </cfRule>
  </conditionalFormatting>
  <conditionalFormatting sqref="Y13 Y15:Y18 Y20">
    <cfRule type="expression" dxfId="1121" priority="52">
      <formula>ABS(Y$16-Y$19)&gt;=1000</formula>
    </cfRule>
  </conditionalFormatting>
  <conditionalFormatting sqref="Z13:Z20">
    <cfRule type="expression" dxfId="1120" priority="51">
      <formula>ABS(Z$16-Z$19)&gt;=1000</formula>
    </cfRule>
  </conditionalFormatting>
  <conditionalFormatting sqref="AA13:AA20">
    <cfRule type="expression" dxfId="1119" priority="50">
      <formula>ABS(AA$16-AA$19)&gt;=1000</formula>
    </cfRule>
  </conditionalFormatting>
  <conditionalFormatting sqref="AB13 AB15:AB20">
    <cfRule type="expression" dxfId="1118" priority="49">
      <formula>ABS(AB$16-AB$19)&gt;=1000</formula>
    </cfRule>
  </conditionalFormatting>
  <conditionalFormatting sqref="AC13 AC15:AC20">
    <cfRule type="expression" dxfId="1117" priority="48">
      <formula>ABS(AC$16-AC$19)&gt;=1000</formula>
    </cfRule>
  </conditionalFormatting>
  <conditionalFormatting sqref="AD13:AD20">
    <cfRule type="expression" dxfId="1116" priority="47">
      <formula>ABS(AD$16-AD$19)&gt;=1000</formula>
    </cfRule>
  </conditionalFormatting>
  <conditionalFormatting sqref="AE13:AE20">
    <cfRule type="expression" dxfId="1115" priority="46">
      <formula>ABS(AE$16-AE$19)&gt;=1000</formula>
    </cfRule>
  </conditionalFormatting>
  <conditionalFormatting sqref="D22:D29">
    <cfRule type="expression" dxfId="1114" priority="45">
      <formula>ABS(D$25-D$28)&gt;=1000</formula>
    </cfRule>
  </conditionalFormatting>
  <conditionalFormatting sqref="E22:E29">
    <cfRule type="expression" dxfId="1113" priority="44">
      <formula>ABS(E$25-E$28)&gt;=1000</formula>
    </cfRule>
  </conditionalFormatting>
  <conditionalFormatting sqref="F22:F29">
    <cfRule type="expression" dxfId="1112" priority="43">
      <formula>ABS(F$25-F$28)&gt;=1000</formula>
    </cfRule>
  </conditionalFormatting>
  <conditionalFormatting sqref="G22:G29">
    <cfRule type="expression" dxfId="1111" priority="42">
      <formula>ABS(G$25-G$28)&gt;=1000</formula>
    </cfRule>
  </conditionalFormatting>
  <conditionalFormatting sqref="H22:H29">
    <cfRule type="expression" dxfId="1110" priority="41">
      <formula>ABS(H$25-H$28)&gt;=1000</formula>
    </cfRule>
  </conditionalFormatting>
  <conditionalFormatting sqref="I22 I24:I29">
    <cfRule type="expression" dxfId="1109" priority="40">
      <formula>ABS(I$25-I$28)&gt;=1000</formula>
    </cfRule>
  </conditionalFormatting>
  <conditionalFormatting sqref="J22:J29 K22">
    <cfRule type="expression" dxfId="1108" priority="39">
      <formula>ABS(J$25-J$28)&gt;=1000</formula>
    </cfRule>
  </conditionalFormatting>
  <conditionalFormatting sqref="K23:K29 L25 L28">
    <cfRule type="expression" dxfId="1107" priority="38">
      <formula>ABS(K$25-K$28)&gt;=1000</formula>
    </cfRule>
  </conditionalFormatting>
  <conditionalFormatting sqref="L22 L26:L27 L29 L24">
    <cfRule type="expression" dxfId="1106" priority="37">
      <formula>ABS(L$25-L$28)&gt;=1000</formula>
    </cfRule>
  </conditionalFormatting>
  <conditionalFormatting sqref="M22:M29">
    <cfRule type="expression" dxfId="1105" priority="36">
      <formula>ABS(M$25-M$28)&gt;=1000</formula>
    </cfRule>
  </conditionalFormatting>
  <conditionalFormatting sqref="N22:N29">
    <cfRule type="expression" dxfId="1104" priority="35">
      <formula>ABS(N$25-N$28)&gt;=1000</formula>
    </cfRule>
  </conditionalFormatting>
  <conditionalFormatting sqref="O22:O29">
    <cfRule type="expression" dxfId="1103" priority="34">
      <formula>ABS(O$25-O$28)&gt;=1000</formula>
    </cfRule>
  </conditionalFormatting>
  <conditionalFormatting sqref="P22:P29">
    <cfRule type="expression" dxfId="1102" priority="33">
      <formula>ABS(P$25-P$28)&gt;=1000</formula>
    </cfRule>
  </conditionalFormatting>
  <conditionalFormatting sqref="Q22:Q29">
    <cfRule type="expression" dxfId="1101" priority="32">
      <formula>ABS(Q$25-Q$28)&gt;=1000</formula>
    </cfRule>
  </conditionalFormatting>
  <conditionalFormatting sqref="R22:R29">
    <cfRule type="expression" dxfId="1100" priority="31">
      <formula>ABS(R$25-R$28)&gt;=1000</formula>
    </cfRule>
  </conditionalFormatting>
  <conditionalFormatting sqref="S22:S29">
    <cfRule type="expression" dxfId="1099" priority="30">
      <formula>ABS(S$25-S$28)&gt;=1000</formula>
    </cfRule>
  </conditionalFormatting>
  <conditionalFormatting sqref="T22:T29">
    <cfRule type="expression" dxfId="1098" priority="29">
      <formula>ABS(T$25-T$28)&gt;=1000</formula>
    </cfRule>
  </conditionalFormatting>
  <conditionalFormatting sqref="U22:U29">
    <cfRule type="expression" dxfId="1097" priority="28">
      <formula>ABS(U$25-U$28)&gt;=1000</formula>
    </cfRule>
  </conditionalFormatting>
  <conditionalFormatting sqref="V22:V29">
    <cfRule type="expression" dxfId="1096" priority="27">
      <formula>ABS(V$25-V$28)&gt;=1000</formula>
    </cfRule>
  </conditionalFormatting>
  <conditionalFormatting sqref="W22:W29">
    <cfRule type="expression" dxfId="1095" priority="26">
      <formula>ABS(W$25-W$28)&gt;=1000</formula>
    </cfRule>
  </conditionalFormatting>
  <conditionalFormatting sqref="X22:X29">
    <cfRule type="expression" dxfId="1094" priority="25">
      <formula>ABS(X$25-X$28)&gt;=1000</formula>
    </cfRule>
  </conditionalFormatting>
  <conditionalFormatting sqref="Y22:Y29">
    <cfRule type="expression" dxfId="1093" priority="24">
      <formula>ABS(Y$25-Y$28)&gt;=1000</formula>
    </cfRule>
  </conditionalFormatting>
  <conditionalFormatting sqref="I23">
    <cfRule type="expression" dxfId="1092" priority="23">
      <formula>ABS(I$25-I$28)&gt;=1000</formula>
    </cfRule>
  </conditionalFormatting>
  <conditionalFormatting sqref="Q14">
    <cfRule type="expression" dxfId="1091" priority="22">
      <formula>ABS(Q$16-Q$19)&gt;=1000</formula>
    </cfRule>
  </conditionalFormatting>
  <conditionalFormatting sqref="W14">
    <cfRule type="expression" dxfId="1090" priority="21">
      <formula>ABS(W$16-W$19)&gt;=1000</formula>
    </cfRule>
  </conditionalFormatting>
  <conditionalFormatting sqref="X14">
    <cfRule type="expression" dxfId="1089" priority="20">
      <formula>ABS(X$16-X$19)&gt;=1000</formula>
    </cfRule>
  </conditionalFormatting>
  <conditionalFormatting sqref="T10:Y10">
    <cfRule type="expression" dxfId="1088" priority="19">
      <formula>ABS(T$7-T$10)&gt;=1000</formula>
    </cfRule>
  </conditionalFormatting>
  <conditionalFormatting sqref="W19">
    <cfRule type="expression" dxfId="1087" priority="18">
      <formula>ABS(W$16-W$19)&gt;=1000</formula>
    </cfRule>
  </conditionalFormatting>
  <conditionalFormatting sqref="AC5">
    <cfRule type="expression" dxfId="1086" priority="17">
      <formula>ABS(AC$7-AC$10)&gt;=1000</formula>
    </cfRule>
  </conditionalFormatting>
  <conditionalFormatting sqref="M14">
    <cfRule type="expression" dxfId="1085" priority="16">
      <formula>ABS(M$16-M$19)&gt;=1000</formula>
    </cfRule>
  </conditionalFormatting>
  <conditionalFormatting sqref="M16">
    <cfRule type="expression" dxfId="1084" priority="15">
      <formula>ABS(M$16-M$19)&gt;=1000</formula>
    </cfRule>
  </conditionalFormatting>
  <conditionalFormatting sqref="M19">
    <cfRule type="expression" dxfId="1083" priority="14">
      <formula>ABS(M$16-M$19)&gt;=1000</formula>
    </cfRule>
  </conditionalFormatting>
  <conditionalFormatting sqref="K13:K20">
    <cfRule type="expression" dxfId="1082" priority="13">
      <formula>ABS(K$16-K$19)&gt;=1000</formula>
    </cfRule>
  </conditionalFormatting>
  <conditionalFormatting sqref="E5">
    <cfRule type="expression" dxfId="1081" priority="12">
      <formula>ABS(E$7-E$10)&gt;=1000</formula>
    </cfRule>
  </conditionalFormatting>
  <conditionalFormatting sqref="AB14:AC14">
    <cfRule type="expression" dxfId="1080" priority="11">
      <formula>ABS(AB$16-AB$19)&gt;=1000</formula>
    </cfRule>
  </conditionalFormatting>
  <conditionalFormatting sqref="M5">
    <cfRule type="expression" dxfId="1079" priority="10">
      <formula>ABS(M$7-M$10)&gt;=1000</formula>
    </cfRule>
  </conditionalFormatting>
  <conditionalFormatting sqref="N5">
    <cfRule type="expression" dxfId="1078" priority="9">
      <formula>ABS(N$7-N$10)&gt;=1000</formula>
    </cfRule>
  </conditionalFormatting>
  <conditionalFormatting sqref="O5">
    <cfRule type="expression" dxfId="1077" priority="8">
      <formula>ABS(O$7-O$10)&gt;=1000</formula>
    </cfRule>
  </conditionalFormatting>
  <conditionalFormatting sqref="P5">
    <cfRule type="expression" dxfId="1076" priority="7">
      <formula>ABS(P$7-P$10)&gt;=1000</formula>
    </cfRule>
  </conditionalFormatting>
  <conditionalFormatting sqref="L23">
    <cfRule type="expression" dxfId="1075" priority="6">
      <formula>ABS(L$25-L$28)&gt;=1000</formula>
    </cfRule>
  </conditionalFormatting>
  <conditionalFormatting sqref="Y14">
    <cfRule type="expression" dxfId="1074" priority="5">
      <formula>ABS(Y$16-Y$19)&gt;=1000</formula>
    </cfRule>
  </conditionalFormatting>
  <conditionalFormatting sqref="F14">
    <cfRule type="expression" dxfId="1073" priority="4">
      <formula>ABS(F$16-F$19)&gt;=1000</formula>
    </cfRule>
  </conditionalFormatting>
  <conditionalFormatting sqref="H14">
    <cfRule type="expression" dxfId="1072" priority="3">
      <formula>ABS(H$16-H$19)&gt;=1000</formula>
    </cfRule>
  </conditionalFormatting>
  <conditionalFormatting sqref="AD5">
    <cfRule type="expression" dxfId="1071" priority="2">
      <formula>ABS(AD$7-AD$10)&gt;=1000</formula>
    </cfRule>
  </conditionalFormatting>
  <conditionalFormatting sqref="AE5">
    <cfRule type="expression" dxfId="107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81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1">
    <pageSetUpPr fitToPage="1"/>
  </sheetPr>
  <dimension ref="A1:CU223"/>
  <sheetViews>
    <sheetView view="pageBreakPreview" topLeftCell="A8" zoomScale="70" zoomScaleNormal="100" zoomScaleSheetLayoutView="70" workbookViewId="0">
      <selection activeCell="Z30" sqref="Z30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46043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4" t="s" ph="1">
        <v>177</v>
      </c>
      <c r="D6" s="71">
        <v>4269</v>
      </c>
      <c r="E6" s="71">
        <v>0</v>
      </c>
      <c r="F6" s="71">
        <v>2442</v>
      </c>
      <c r="G6" s="71">
        <v>2032</v>
      </c>
      <c r="H6" s="71">
        <v>5916</v>
      </c>
      <c r="I6" s="71">
        <v>0.1</v>
      </c>
      <c r="J6" s="71">
        <v>6.63</v>
      </c>
      <c r="K6" s="71">
        <v>7.28</v>
      </c>
      <c r="L6" s="71">
        <v>45.35</v>
      </c>
      <c r="M6" s="71">
        <v>1387</v>
      </c>
      <c r="N6" s="71">
        <v>4980</v>
      </c>
      <c r="O6" s="71">
        <v>1428</v>
      </c>
      <c r="P6" s="71">
        <v>5191</v>
      </c>
      <c r="Q6" s="71">
        <v>2422</v>
      </c>
      <c r="R6" s="71">
        <v>1447</v>
      </c>
      <c r="S6" s="71">
        <v>0</v>
      </c>
      <c r="T6" s="71">
        <v>0</v>
      </c>
      <c r="U6" s="71">
        <v>1851</v>
      </c>
      <c r="V6" s="71">
        <v>0</v>
      </c>
      <c r="W6" s="71">
        <v>6959</v>
      </c>
      <c r="X6" s="71">
        <v>7069</v>
      </c>
      <c r="Y6" s="71">
        <v>7010</v>
      </c>
      <c r="Z6" s="71">
        <v>4260</v>
      </c>
      <c r="AA6" s="71">
        <v>3458</v>
      </c>
      <c r="AB6" s="71">
        <v>2255</v>
      </c>
      <c r="AC6" s="71">
        <v>9329</v>
      </c>
      <c r="AD6" s="71">
        <v>4780</v>
      </c>
      <c r="AE6" s="71">
        <v>3810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135085.2852672</v>
      </c>
      <c r="E7" s="73" ph="1">
        <f>E6*51.53*LOOKUP(E8,密度!$A$2:$A$50,密度!$B$2:$B$50)</f>
        <v>0</v>
      </c>
      <c r="F7" s="73" ph="1">
        <f>F6*33.183*LOOKUP(F8,密度!$A$2:$A$50,密度!$C$2:$C$50)</f>
        <v>90481.320507600001</v>
      </c>
      <c r="G7" s="73" ph="1">
        <f xml:space="preserve"> (G6+2)*51.53*LOOKUP(G8,密度!$A$2:$A$50,密度!$B$2:$B$50)</f>
        <v>82591.871760000009</v>
      </c>
      <c r="H7" s="73" ph="1">
        <f>(H6)*51.53*LOOKUP(H8,密度!$A$2:$A$50,密度!$B$2:$B$50)</f>
        <v>241533.82760399999</v>
      </c>
      <c r="I7" s="73" ph="1">
        <f>I6*290.8*1.0267</f>
        <v>29.856435999999999</v>
      </c>
      <c r="J7" s="73" ph="1">
        <f>J6*290.8*0.7892</f>
        <v>1521.5807568</v>
      </c>
      <c r="K7" s="73" ph="1">
        <f>K6*290.8*1.1126</f>
        <v>2355.4009024000006</v>
      </c>
      <c r="L7" s="73" ph="1">
        <f>L6*290.8*0.777</f>
        <v>10246.905060000001</v>
      </c>
      <c r="M7" s="73" ph="1">
        <f>M6*33.183*LOOKUP(M8,密度!$A$2:$A$50,密度!$D$2:$D$50)</f>
        <v>47704.726966499999</v>
      </c>
      <c r="N7" s="73" ph="1">
        <f>N6*33.183*LOOKUP(N8,密度!$A$2:$A$50,密度!$E$2:$E$50)</f>
        <v>130779.91047599999</v>
      </c>
      <c r="O7" s="73" ph="1">
        <f>O6*20.428*LOOKUP(O8,密度!$A$2:$A$50,密度!$C$2:$C$50)</f>
        <v>32473.362028800002</v>
      </c>
      <c r="P7" s="73" ph="1">
        <f>P6*51.53*LOOKUP(P8,密度!$A$2:$A$50,密度!$B$2:$B$50)</f>
        <v>211024.62024699998</v>
      </c>
      <c r="Q7" s="73" ph="1">
        <f>Q6*1.5*1.5*3.1416*LOOKUP(W8,密度!$A$2:$A$50,密度!$L$2:$L$50)</f>
        <v>16195.661143199999</v>
      </c>
      <c r="R7" s="73" ph="1">
        <f>R6*1.5*1.5*3.1416*LOOKUP(R8,密度!$A$2:$A$50,密度!$L$2:$L$50)</f>
        <v>9635.0248763999989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12390.527734199999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46534.106480399998</v>
      </c>
      <c r="X7" s="73" ph="1">
        <f>X6*1.5*1.5*3.1416*LOOKUP(X8,密度!$A$2:$A$50,密度!$L$2:$L$50)</f>
        <v>47819.312263799999</v>
      </c>
      <c r="Y7" s="73" ph="1">
        <f>Y6*1.5*1.5*3.1416*LOOKUP(Y8,密度!$A$2:$A$50,密度!$L$2:$L$50)</f>
        <v>46924.689041999998</v>
      </c>
      <c r="Z7" s="73" ph="1">
        <f>Z6*33.183*LOOKUP(Z8,密度!$A$2:$A$50,密度!$L$2:$L$50)</f>
        <v>134150.24141999998</v>
      </c>
      <c r="AA7" s="73" ph="1">
        <f>AA6*33.183*LOOKUP(AA8,密度!$A$2:$A$50,密度!$D$2:$D$50)</f>
        <v>119038.3448436</v>
      </c>
      <c r="AB7" s="73" ph="1">
        <f>AB6*20.428*LOOKUP(AB8,密度!$A$2:$A$50,密度!$D$2:$D$50)</f>
        <v>47990.662852000001</v>
      </c>
      <c r="AC7" s="73" ph="1">
        <f>AC6*51.53*LOOKUP(AC8,密度!$A$2:$A$50,密度!$Q$2:$Q$50)</f>
        <v>458869.68559980002</v>
      </c>
      <c r="AD7" s="73" ph="1">
        <f>AD6*20.428*LOOKUP(AD8,密度!$A$2:$A$50,密度!$V$2:$V$50)</f>
        <v>94130.589760000003</v>
      </c>
      <c r="AE7" s="73" ph="1">
        <f>AE6*20.428</f>
        <v>77830.680000000008</v>
      </c>
    </row>
    <row r="8" spans="1:99" ph="1">
      <c r="B8" s="191" ph="1"/>
      <c r="C8" s="68" t="s" ph="1">
        <v>179</v>
      </c>
      <c r="D8" s="74">
        <v>16</v>
      </c>
      <c r="E8" s="74">
        <v>12</v>
      </c>
      <c r="F8" s="74">
        <v>14</v>
      </c>
      <c r="G8" s="74">
        <v>15</v>
      </c>
      <c r="H8" s="74">
        <v>10</v>
      </c>
      <c r="I8" s="74">
        <v>25</v>
      </c>
      <c r="J8" s="74">
        <v>25</v>
      </c>
      <c r="K8" s="74">
        <v>25</v>
      </c>
      <c r="L8" s="74">
        <v>25</v>
      </c>
      <c r="M8" s="74">
        <v>14</v>
      </c>
      <c r="N8" s="74">
        <v>18</v>
      </c>
      <c r="O8" s="74">
        <v>19</v>
      </c>
      <c r="P8" s="74">
        <v>14</v>
      </c>
      <c r="Q8" s="74">
        <v>18</v>
      </c>
      <c r="R8" s="74">
        <v>20</v>
      </c>
      <c r="S8" s="74">
        <v>10</v>
      </c>
      <c r="T8" s="74">
        <v>8</v>
      </c>
      <c r="U8" s="74">
        <v>15</v>
      </c>
      <c r="V8" s="74">
        <v>19</v>
      </c>
      <c r="W8" s="74">
        <v>16</v>
      </c>
      <c r="X8" s="74">
        <v>5</v>
      </c>
      <c r="Y8" s="74">
        <v>15</v>
      </c>
      <c r="Z8" s="74">
        <v>13</v>
      </c>
      <c r="AA8" s="74">
        <v>13</v>
      </c>
      <c r="AB8" s="74">
        <v>8</v>
      </c>
      <c r="AC8" s="74">
        <v>10</v>
      </c>
      <c r="AD8" s="74">
        <v>13</v>
      </c>
      <c r="AE8" s="74">
        <v>16</v>
      </c>
    </row>
    <row r="9" spans="1:99" ph="1">
      <c r="B9" s="191" ph="1">
        <v>0.66666666666666663</v>
      </c>
      <c r="C9" s="164" t="s" ph="1">
        <v>180</v>
      </c>
      <c r="D9" s="71">
        <v>3554</v>
      </c>
      <c r="E9" s="71">
        <v>0</v>
      </c>
      <c r="F9" s="71">
        <v>2441</v>
      </c>
      <c r="G9" s="71">
        <v>1747</v>
      </c>
      <c r="H9" s="71">
        <v>5622</v>
      </c>
      <c r="I9" s="71">
        <v>0.1</v>
      </c>
      <c r="J9" s="71">
        <v>6.75</v>
      </c>
      <c r="K9" s="71">
        <v>7.4</v>
      </c>
      <c r="L9" s="71">
        <v>33.700000000000003</v>
      </c>
      <c r="M9" s="71">
        <v>1386</v>
      </c>
      <c r="N9" s="71">
        <v>4980</v>
      </c>
      <c r="O9" s="71">
        <v>1427</v>
      </c>
      <c r="P9" s="71">
        <v>5074</v>
      </c>
      <c r="Q9" s="71">
        <v>7179</v>
      </c>
      <c r="R9" s="71">
        <v>2193</v>
      </c>
      <c r="S9" s="71">
        <v>0</v>
      </c>
      <c r="T9" s="71">
        <v>0</v>
      </c>
      <c r="U9" s="71">
        <v>0</v>
      </c>
      <c r="V9" s="71">
        <v>0</v>
      </c>
      <c r="W9" s="71">
        <v>4575</v>
      </c>
      <c r="X9" s="71">
        <v>7071</v>
      </c>
      <c r="Y9" s="71">
        <v>7012</v>
      </c>
      <c r="Z9" s="71">
        <v>5041</v>
      </c>
      <c r="AA9" s="71">
        <v>3456</v>
      </c>
      <c r="AB9" s="71">
        <v>3062</v>
      </c>
      <c r="AC9" s="71">
        <v>9327</v>
      </c>
      <c r="AD9" s="71">
        <v>4780</v>
      </c>
      <c r="AE9" s="71">
        <v>4750</v>
      </c>
    </row>
    <row r="10" spans="1:99" s="72" customFormat="1" ht="22.5" ph="1">
      <c r="B10" s="191" ph="1"/>
      <c r="C10" s="164" t="s" ph="1">
        <v>178</v>
      </c>
      <c r="D10" s="73" ph="1">
        <f>D9*33.183*LOOKUP(D11,密度!$A$2:$A$50,密度!$Q$2:$Q$50)</f>
        <v>112571.17591428</v>
      </c>
      <c r="E10" s="73" ph="1">
        <f>E9*51.53*LOOKUP(E11,密度!$A$2:$A$50,密度!$B$2:$B$50)</f>
        <v>0</v>
      </c>
      <c r="F10" s="73" ph="1">
        <f>F9*33.183*LOOKUP(F11,密度!$A$2:$A$50,密度!$C$2:$C$50)</f>
        <v>90379.468607399991</v>
      </c>
      <c r="G10" s="73" ph="1">
        <f xml:space="preserve"> (G9+2)*51.53*LOOKUP(G11,密度!$A$2:$A$50,密度!$B$2:$B$50)</f>
        <v>71019.264360000001</v>
      </c>
      <c r="H10" s="73" ph="1">
        <f>(H9)*51.53*LOOKUP(H11,密度!$A$2:$A$50,密度!$B$2:$B$50)</f>
        <v>228777.40090200002</v>
      </c>
      <c r="I10" s="73" ph="1">
        <f>I9*290.8*1.0267</f>
        <v>29.856435999999999</v>
      </c>
      <c r="J10" s="73" ph="1">
        <f>J9*290.8*0.7892</f>
        <v>1549.12068</v>
      </c>
      <c r="K10" s="73" ph="1">
        <f>K9*290.8*1.1126</f>
        <v>2394.2261920000001</v>
      </c>
      <c r="L10" s="73" ph="1">
        <f>L9*290.8*0.777</f>
        <v>7614.5689200000006</v>
      </c>
      <c r="M10" s="73" ph="1">
        <f>M9*33.183*LOOKUP(M11,密度!$A$2:$A$50,密度!$D$2:$D$50)</f>
        <v>47628.940312800005</v>
      </c>
      <c r="N10" s="73" ph="1">
        <f>N9*33.183*LOOKUP(N11,密度!$A$2:$A$50,密度!$E$2:$E$50)</f>
        <v>130961.68694999999</v>
      </c>
      <c r="O10" s="73" ph="1">
        <f>O9*20.428*LOOKUP(O11,密度!$A$2:$A$50,密度!$C$2:$C$50)</f>
        <v>32433.131125600001</v>
      </c>
      <c r="P10" s="73" ph="1">
        <f>P9*51.53*LOOKUP(P11,密度!$A$2:$A$50,密度!$B$2:$B$50)</f>
        <v>205614.67620799999</v>
      </c>
      <c r="Q10" s="73" ph="1">
        <f>Q9*1.5*1.5*3.1416*LOOKUP(W11,密度!$A$2:$A$50,密度!$L$2:$L$50)</f>
        <v>48005.223512399993</v>
      </c>
      <c r="R10" s="73" ph="1">
        <f>R9*1.5*1.5*3.1416*LOOKUP(R11,密度!$A$2:$A$50,密度!$L$2:$L$50)</f>
        <v>14571.353411999999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30592.54737</v>
      </c>
      <c r="X10" s="73" ph="1">
        <f>X9*1.5*1.5*3.1416*LOOKUP(X11,密度!$A$2:$A$50,密度!$L$2:$L$50)</f>
        <v>47682.895352399995</v>
      </c>
      <c r="Y10" s="73" ph="1">
        <f>Y9*1.5*1.5*3.1416*LOOKUP(Y11,密度!$A$2:$A$50,密度!$L$2:$L$50)</f>
        <v>46938.07697039999</v>
      </c>
      <c r="Z10" s="73" ph="1">
        <f>Z9*33.183*LOOKUP(Z11,密度!$A$2:$A$50,密度!$L$2:$L$50)</f>
        <v>158409.90134099999</v>
      </c>
      <c r="AA10" s="73" ph="1">
        <f>AA9*33.183*LOOKUP(AA11,密度!$A$2:$A$50,密度!$D$2:$D$50)</f>
        <v>118866.284352</v>
      </c>
      <c r="AB10" s="73" ph="1">
        <f>AB9*20.428*LOOKUP(AB11,密度!$A$2:$A$50,密度!$D$2:$D$50)</f>
        <v>65165.148404800006</v>
      </c>
      <c r="AC10" s="73" ph="1">
        <f>AC9*51.53*LOOKUP(AC11,密度!$A$2:$A$50,密度!$Q$2:$Q$50)</f>
        <v>458771.31070740003</v>
      </c>
      <c r="AD10" s="73" ph="1">
        <f>AD9*20.428*LOOKUP(AD11,密度!$A$2:$A$50,密度!$V$2:$V$50)</f>
        <v>94130.589760000003</v>
      </c>
      <c r="AE10" s="73" ph="1">
        <f>AE9*20.428</f>
        <v>97033</v>
      </c>
    </row>
    <row r="11" spans="1:99" ph="1">
      <c r="A11" s="64" t="s" ph="1">
        <v>162</v>
      </c>
      <c r="B11" s="191" ph="1"/>
      <c r="C11" s="164" t="s" ph="1">
        <v>179</v>
      </c>
      <c r="D11" s="74">
        <v>15</v>
      </c>
      <c r="E11" s="74">
        <v>15</v>
      </c>
      <c r="F11" s="74">
        <v>15</v>
      </c>
      <c r="G11" s="74">
        <v>15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17</v>
      </c>
      <c r="O11" s="74">
        <v>20</v>
      </c>
      <c r="P11" s="74">
        <v>17</v>
      </c>
      <c r="Q11" s="74">
        <v>19</v>
      </c>
      <c r="R11" s="74">
        <v>22</v>
      </c>
      <c r="S11" s="74">
        <v>13</v>
      </c>
      <c r="T11" s="74">
        <v>21</v>
      </c>
      <c r="U11" s="74">
        <v>15</v>
      </c>
      <c r="V11" s="74">
        <v>21</v>
      </c>
      <c r="W11" s="74">
        <v>16</v>
      </c>
      <c r="X11" s="74">
        <v>8</v>
      </c>
      <c r="Y11" s="74">
        <v>15</v>
      </c>
      <c r="Z11" s="74">
        <v>15</v>
      </c>
      <c r="AA11" s="74">
        <v>14</v>
      </c>
      <c r="AB11" s="74">
        <v>8</v>
      </c>
      <c r="AC11" s="74">
        <v>14</v>
      </c>
      <c r="AD11" s="74">
        <v>14</v>
      </c>
      <c r="AE11" s="74">
        <v>19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4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77" t="s" ph="1">
        <v>637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4" t="s" ph="1">
        <v>177</v>
      </c>
      <c r="D15" s="78">
        <v>3967</v>
      </c>
      <c r="E15" s="78">
        <v>6206</v>
      </c>
      <c r="F15" s="78">
        <v>4135</v>
      </c>
      <c r="G15" s="78">
        <v>4338</v>
      </c>
      <c r="H15" s="78">
        <v>5308</v>
      </c>
      <c r="I15" s="78">
        <v>5212</v>
      </c>
      <c r="J15" s="78">
        <v>4932</v>
      </c>
      <c r="K15" s="78">
        <v>4053</v>
      </c>
      <c r="L15" s="78">
        <v>5121</v>
      </c>
      <c r="M15" s="78">
        <v>6103</v>
      </c>
      <c r="N15" s="78">
        <v>3035</v>
      </c>
      <c r="O15" s="78">
        <v>806</v>
      </c>
      <c r="P15" s="78">
        <v>1135</v>
      </c>
      <c r="Q15" s="78">
        <v>6971</v>
      </c>
      <c r="R15" s="78">
        <v>7337</v>
      </c>
      <c r="S15" s="78">
        <v>6387</v>
      </c>
      <c r="T15" s="78">
        <v>924</v>
      </c>
      <c r="U15" s="78">
        <v>6477</v>
      </c>
      <c r="V15" s="78">
        <v>1430</v>
      </c>
      <c r="W15" s="71">
        <v>-274</v>
      </c>
      <c r="X15" s="78">
        <v>452</v>
      </c>
      <c r="Y15" s="106">
        <v>-9900</v>
      </c>
      <c r="Z15" s="78">
        <v>0</v>
      </c>
      <c r="AA15" s="78">
        <v>10</v>
      </c>
      <c r="AB15" s="78" ph="1">
        <v>6940</v>
      </c>
      <c r="AC15" s="78" ph="1">
        <v>2140</v>
      </c>
      <c r="AD15" s="78">
        <v>57.18</v>
      </c>
      <c r="AE15" s="78">
        <v>5.34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4" t="s" ph="1">
        <v>178</v>
      </c>
      <c r="D16" s="73" ph="1">
        <f>D15*7.0686*LOOKUP(D17,密度!$A$2:$A$50,密度!$L$2:$L$50)</f>
        <v>26414.750300399999</v>
      </c>
      <c r="E16" s="73" ph="1">
        <f>E15*7.0686*LOOKUP(E17,密度!$A$2:$A$50,密度!$L$2:$L$50)</f>
        <v>41323.403167199998</v>
      </c>
      <c r="F16" s="73" ph="1">
        <f>F15*9.0746*LOOKUP(F17,密度!$A$2:$A$50,密度!$L$2:$L$50)</f>
        <v>35647.297449999998</v>
      </c>
      <c r="G16" s="73" ph="1">
        <f>G15*9.0746*LOOKUP(G17,密度!$A$2:$A$50,密度!$B$2:$B$50)</f>
        <v>31020.104462400002</v>
      </c>
      <c r="H16" s="73" ph="1">
        <f>H15*9.0746*LOOKUP(H17,密度!$A$2:$A$50,密度!$L$2:$L$50)</f>
        <v>45855.913913600001</v>
      </c>
      <c r="I16" s="73" ph="1">
        <f>I15*9.0746*LOOKUP(I17,密度!$A$2:$A$50,密度!$U$2:$U$50)</f>
        <v>48621.126025600002</v>
      </c>
      <c r="J16" s="73" ph="1">
        <f>J15*9.0746*LOOKUP(J17,密度!$A$2:$A$50,密度!$L$2:$L$50)</f>
        <v>42383.863058399998</v>
      </c>
      <c r="K16" s="73" ph="1">
        <f>K15*9.0746*LOOKUP(K17,密度!$A$2:$A$50,密度!$C$2:$C$50)</f>
        <v>41038.402970039999</v>
      </c>
      <c r="L16" s="73" ph="1">
        <f>L15*9.0746*LOOKUP(L17,密度!$A$2:$A$50,密度!$E$2:$E$50)</f>
        <v>36879.406709760005</v>
      </c>
      <c r="M16" s="73" ph="1">
        <f>M15*9.0746*LOOKUP(M17,密度!$A$2:$A$50,密度!$M$2:$M$50)</f>
        <v>48753.024429140001</v>
      </c>
      <c r="N16" s="73" ph="1">
        <f>N15*9.0746*LOOKUP(N17,密度!$A$2:$A$50,密度!$M$2:$M$50)</f>
        <v>24244.704103299999</v>
      </c>
      <c r="O16" s="73" ph="1">
        <f>O15*9.0746*LOOKUP(O17,密度!$A$2:$A$50,密度!$G$2:$G$50)</f>
        <v>7103.4807251199991</v>
      </c>
      <c r="P16" s="73" ph="1">
        <f ca="1">P15*9.0746*LOOKUP(P17,密度!$A$2:$A$51,密度!$Q$2:$Q$50)</f>
        <v>9831.44795634</v>
      </c>
      <c r="Q16" s="73" ph="1">
        <f>Q15*9.0746*LOOKUP(Q17,密度!$A$2:$A$50,密度!$Q$2:$Q$50)</f>
        <v>60120.123203907999</v>
      </c>
      <c r="R16" s="73" ph="1">
        <f>MAX(R15*9.0746*LOOKUP(R17,密度!$A$2:$A$50,密度!$B$2:$B$50),0)</f>
        <v>52312.173295140004</v>
      </c>
      <c r="S16" s="73" ph="1">
        <f>S15*9.0746*LOOKUP(S17,密度!$A$2:$A$50,密度!$Q$2:$Q$50)</f>
        <v>55324.632684708005</v>
      </c>
      <c r="T16" s="73" ph="1">
        <f>T15*9.0746*LOOKUP(T17,密度!$A$2:$A$50,密度!$O$2:$O$50)</f>
        <v>7831.5249936000018</v>
      </c>
      <c r="U16" s="73" ph="1">
        <f>U15*9.0746*LOOKUP(U17,密度!$A$2:$A$50,密度!$H$2:$H$50)</f>
        <v>54644.218450740002</v>
      </c>
      <c r="V16" s="73" ph="1">
        <f>MAX(5600*LOOKUP(V17,密度!$A$2:$A$50,密度!$Q$2:$Q$50)+V15*9.0476*LOOKUP(V17,密度!$A$2:$A$50,密度!$Q$2:$Q$50),0)</f>
        <v>17695.32742872</v>
      </c>
      <c r="W16" s="73" ph="1">
        <f>MAX(5600*LOOKUP(W17,密度!$A$2:$A$50,密度!$Q$2:$Q$50)+W15*9.0476*LOOKUP(W17,密度!$A$2:$A$50,密度!$Q$2:$Q$50),0)</f>
        <v>2979.0788675039998</v>
      </c>
      <c r="X16" s="73" ph="1">
        <f>MAX(5600*LOOKUP(X17,密度!$A$2:$A$50,密度!$I$2:$I$50)+X15*9.0476*LOOKUP(X17,密度!$A$2:$A$50,密度!$I$2:$I$50),0)</f>
        <v>10045.120407839999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71.898055800000009</v>
      </c>
      <c r="AB16" s="73" ph="1">
        <f>AB15*9.0746*LOOKUP(AB17,密度!$A$2:$A$50,密度!$L$2:$L$50)</f>
        <v>59576.926904</v>
      </c>
      <c r="AC16" s="73" ph="1">
        <f>AC15*9.0746*LOOKUP(AC17,密度!$A$2:$A$50,密度!$L$2:$L$50)</f>
        <v>18448.661799999998</v>
      </c>
      <c r="AD16" s="73" ph="1">
        <f>AD15*268.68*LOOKUP(AD17,密度!$A$2:$A$50,密度!B2:B50)+IF(AD15&lt;=0,0,1566*LOOKUP(AD17,密度!$A$2:$A$50,密度!B2:B50))</f>
        <v>13197.943823039999</v>
      </c>
      <c r="AE16" s="73" ph="1">
        <f>AE15*268.68*LOOKUP(AE17,密度!$A$2:$A$50,密度!B2:B50)+IF(AE15&lt;=0,0,1566*LOOKUP(AE17,密度!$A$2:$A$50,密度!B2:B50))</f>
        <v>2339.3856355199996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20</v>
      </c>
      <c r="E17" s="74">
        <v>20</v>
      </c>
      <c r="F17" s="74">
        <v>12</v>
      </c>
      <c r="G17" s="74">
        <v>15</v>
      </c>
      <c r="H17" s="74">
        <v>10</v>
      </c>
      <c r="I17" s="74">
        <v>17</v>
      </c>
      <c r="J17" s="74">
        <v>15</v>
      </c>
      <c r="K17" s="74">
        <v>15</v>
      </c>
      <c r="L17" s="74">
        <v>16</v>
      </c>
      <c r="M17" s="74">
        <v>16</v>
      </c>
      <c r="N17" s="74">
        <v>17</v>
      </c>
      <c r="O17" s="74">
        <v>15</v>
      </c>
      <c r="P17" s="74">
        <v>11</v>
      </c>
      <c r="Q17" s="74">
        <v>20</v>
      </c>
      <c r="R17" s="74">
        <v>18</v>
      </c>
      <c r="S17" s="74">
        <v>15</v>
      </c>
      <c r="T17" s="74">
        <v>14</v>
      </c>
      <c r="U17" s="74">
        <v>10</v>
      </c>
      <c r="V17" s="74">
        <v>12</v>
      </c>
      <c r="W17" s="74">
        <v>15</v>
      </c>
      <c r="X17" s="74">
        <v>30</v>
      </c>
      <c r="Y17" s="108">
        <v>30</v>
      </c>
      <c r="Z17" s="74">
        <v>13</v>
      </c>
      <c r="AA17" s="74">
        <v>10</v>
      </c>
      <c r="AB17" s="74">
        <v>16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4006</v>
      </c>
      <c r="E18" s="71">
        <v>6062</v>
      </c>
      <c r="F18" s="71">
        <v>4135</v>
      </c>
      <c r="G18" s="71">
        <v>3214</v>
      </c>
      <c r="H18" s="71">
        <v>5308</v>
      </c>
      <c r="I18" s="71">
        <v>5213</v>
      </c>
      <c r="J18" s="71">
        <v>5105</v>
      </c>
      <c r="K18" s="71">
        <v>4054</v>
      </c>
      <c r="L18" s="71">
        <v>5124</v>
      </c>
      <c r="M18" s="71">
        <v>5191</v>
      </c>
      <c r="N18" s="71">
        <v>1100</v>
      </c>
      <c r="O18" s="71">
        <v>804</v>
      </c>
      <c r="P18" s="71">
        <v>3119</v>
      </c>
      <c r="Q18" s="71">
        <v>5124</v>
      </c>
      <c r="R18" s="71">
        <v>7339</v>
      </c>
      <c r="S18" s="71">
        <v>6388</v>
      </c>
      <c r="T18" s="71">
        <v>6454</v>
      </c>
      <c r="U18" s="71">
        <v>2543</v>
      </c>
      <c r="V18" s="71">
        <v>1998</v>
      </c>
      <c r="W18" s="71">
        <v>738</v>
      </c>
      <c r="X18" s="71">
        <v>449</v>
      </c>
      <c r="Y18" s="109">
        <v>-9902</v>
      </c>
      <c r="Z18" s="71">
        <v>0</v>
      </c>
      <c r="AA18" s="71">
        <v>11</v>
      </c>
      <c r="AB18" s="71">
        <v>6942</v>
      </c>
      <c r="AC18" s="71">
        <v>2139</v>
      </c>
      <c r="AD18" s="71">
        <v>84.29</v>
      </c>
      <c r="AE18" s="71">
        <v>29.75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4" t="s" ph="1">
        <v>178</v>
      </c>
      <c r="D19" s="73" ph="1">
        <f>D18*7.0686*LOOKUP(D20,密度!$A$2:$A$50,密度!$L$2:$L$50)</f>
        <v>26702.753338800001</v>
      </c>
      <c r="E19" s="73" ph="1">
        <f>E18*7.0686*LOOKUP(E20,密度!$A$2:$A$50,密度!$L$2:$L$50)</f>
        <v>40407.411567599993</v>
      </c>
      <c r="F19" s="73" ph="1">
        <f>F18*9.0746*LOOKUP(F20,密度!$A$2:$A$50,密度!$L$2:$L$50)</f>
        <v>35384.633152999995</v>
      </c>
      <c r="G19" s="73" ph="1">
        <f>G18*9.0746*LOOKUP(G20,密度!$A$2:$A$50,密度!$B$2:$B$50)</f>
        <v>22982.622347200002</v>
      </c>
      <c r="H19" s="73" ph="1">
        <f>H18*9.0746*LOOKUP(H20,密度!$A$2:$A$50,密度!$L$2:$L$50)</f>
        <v>45759.577960000002</v>
      </c>
      <c r="I19" s="73" ph="1">
        <f>I18*9.0746*LOOKUP(I20,密度!$A$2:$A$50,密度!$U$2:$U$50)</f>
        <v>48630.454714400003</v>
      </c>
      <c r="J19" s="73" ph="1">
        <f>J18*9.0746*LOOKUP(J20,密度!$A$2:$A$50,密度!$L$2:$L$50)</f>
        <v>43870.563850999999</v>
      </c>
      <c r="K19" s="73" ph="1">
        <f>K18*9.0746*LOOKUP(K20,密度!$A$2:$A$50,密度!$C$2:$C$50)</f>
        <v>41048.528408719998</v>
      </c>
      <c r="L19" s="73" ph="1">
        <f>L18*9.0746*LOOKUP(L20,密度!$A$2:$A$50,密度!$E$2:$E$50)</f>
        <v>36952.159592880002</v>
      </c>
      <c r="M19" s="73" ph="1">
        <f>M18*9.0746*LOOKUP(M20,密度!$A$2:$A$50,密度!$M$2:$M$50)</f>
        <v>41467.630642579999</v>
      </c>
      <c r="N19" s="73" ph="1">
        <f>N18*9.0746*LOOKUP(N20,密度!$A$2:$A$50,密度!$M$2:$M$50)</f>
        <v>8787.207418</v>
      </c>
      <c r="O19" s="73" ph="1">
        <f>O18*9.0746*LOOKUP(O20,密度!$A$2:$A$50,密度!$G$2:$G$50)</f>
        <v>7069.8030695999996</v>
      </c>
      <c r="P19" s="73" ph="1">
        <f ca="1">P18*9.0746*LOOKUP(P20,密度!$A$2:$A$51,密度!$Q$2:$Q$50)</f>
        <v>26796.223541676001</v>
      </c>
      <c r="Q19" s="73" ph="1">
        <f>Q18*9.0746*LOOKUP(Q20,密度!$A$2:$A$50,密度!$Q$2:$Q$50)</f>
        <v>44230.530727992002</v>
      </c>
      <c r="R19" s="73" ph="1">
        <f>MAX(R18*9.0746*LOOKUP(R20,密度!$A$2:$A$50,密度!$B$2:$B$50),0)</f>
        <v>52219.875538540007</v>
      </c>
      <c r="S19" s="73" ph="1">
        <f>S18*9.0746*LOOKUP(S20,密度!$A$2:$A$50,密度!$Q$2:$Q$50)</f>
        <v>55333.294753392009</v>
      </c>
      <c r="T19" s="73" ph="1">
        <f>T18*9.0746*LOOKUP(T20,密度!$A$2:$A$50,密度!$O$2:$O$50)</f>
        <v>54702.015485600001</v>
      </c>
      <c r="U19" s="73" ph="1">
        <f>U18*9.0746*LOOKUP(U20,密度!$A$2:$A$50,密度!$H$2:$H$50)</f>
        <v>21385.18511826</v>
      </c>
      <c r="V19" s="73" ph="1">
        <f>MAX(5600*LOOKUP(V20,密度!$A$2:$A$50,密度!$Q$2:$Q$50)+V18*9.0476*LOOKUP(V20,密度!$A$2:$A$50,密度!$Q$2:$Q$50),0)</f>
        <v>22600.743615791998</v>
      </c>
      <c r="W19" s="73" ph="1">
        <f>MAX(5600*LOOKUP(W20,密度!$A$2:$A$50,密度!$Q$2:$Q$50)+W18*9.0476*LOOKUP(W20,密度!$A$2:$A$50,密度!$Q$2:$Q$50),0)</f>
        <v>11678.373228424</v>
      </c>
      <c r="X19" s="73" ph="1">
        <f>MAX(5600*LOOKUP(X20,密度!$A$2:$A$50,密度!$I$2:$I$50)+X18*9.0476*LOOKUP(X20,密度!$A$2:$A$50,密度!$I$2:$I$50),0)</f>
        <v>10016.981467079999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78.828327819999998</v>
      </c>
      <c r="AB19" s="73" ph="1">
        <f>AB18*9.0746*LOOKUP(AB20,密度!$A$2:$A$50,密度!$L$2:$L$50)</f>
        <v>59531.100173999999</v>
      </c>
      <c r="AC19" s="73" ph="1">
        <f>AC18*9.0746*LOOKUP(AC20,密度!$A$2:$A$50,密度!$L$2:$L$50)</f>
        <v>18420.6303606</v>
      </c>
      <c r="AD19" s="73" ph="1">
        <f>AD18*268.68*LOOKUP(AD20,密度!$A$2:$A$50,密度!B5:B53)+IF(AD18&lt;=0,0,1566*LOOKUP(AD20,密度!$A$2:$A$50,密度!B5:B53))</f>
        <v>18813.529904400002</v>
      </c>
      <c r="AE19" s="73" ph="1">
        <f>AE18*268.68*LOOKUP(AE20,密度!$A$2:$A$50,密度!B5:B53)+IF(AE18&lt;=0,0,1566*LOOKUP(AE20,密度!$A$2:$A$50,密度!B5:B53))</f>
        <v>7427.5217100000009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19</v>
      </c>
      <c r="G20" s="81">
        <v>15</v>
      </c>
      <c r="H20" s="81">
        <v>12</v>
      </c>
      <c r="I20" s="81">
        <v>15</v>
      </c>
      <c r="J20" s="81">
        <v>15</v>
      </c>
      <c r="K20" s="81">
        <v>15</v>
      </c>
      <c r="L20" s="81">
        <v>15</v>
      </c>
      <c r="M20" s="81">
        <v>18</v>
      </c>
      <c r="N20" s="81">
        <v>17</v>
      </c>
      <c r="O20" s="81">
        <v>17</v>
      </c>
      <c r="P20" s="81">
        <v>25</v>
      </c>
      <c r="Q20" s="81">
        <v>19</v>
      </c>
      <c r="R20" s="81">
        <v>20</v>
      </c>
      <c r="S20" s="81">
        <v>15</v>
      </c>
      <c r="T20" s="81">
        <v>19</v>
      </c>
      <c r="U20" s="81">
        <v>13</v>
      </c>
      <c r="V20" s="81">
        <v>12</v>
      </c>
      <c r="W20" s="81">
        <v>19</v>
      </c>
      <c r="X20" s="81">
        <v>30</v>
      </c>
      <c r="Y20" s="110">
        <v>30</v>
      </c>
      <c r="Z20" s="81">
        <v>19</v>
      </c>
      <c r="AA20" s="81">
        <v>13</v>
      </c>
      <c r="AB20" s="81">
        <v>17</v>
      </c>
      <c r="AC20" s="81">
        <v>13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648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4" t="s" ph="1">
        <v>177</v>
      </c>
      <c r="D24" s="71">
        <v>5.41</v>
      </c>
      <c r="E24" s="71">
        <v>4.95</v>
      </c>
      <c r="F24" s="71">
        <v>509</v>
      </c>
      <c r="G24" s="71">
        <v>3528</v>
      </c>
      <c r="H24" s="71">
        <v>3182</v>
      </c>
      <c r="I24" s="71">
        <v>3021</v>
      </c>
      <c r="J24" s="71">
        <v>4923</v>
      </c>
      <c r="K24" s="71">
        <v>4719</v>
      </c>
      <c r="L24" s="71">
        <v>5538</v>
      </c>
      <c r="M24" s="71">
        <v>2836</v>
      </c>
      <c r="N24" s="71">
        <v>591</v>
      </c>
      <c r="O24" s="71">
        <v>5719</v>
      </c>
      <c r="P24" s="71">
        <v>2703</v>
      </c>
      <c r="Q24" s="90">
        <v>1277</v>
      </c>
      <c r="R24" s="71">
        <v>2013</v>
      </c>
      <c r="S24" s="71">
        <v>2975</v>
      </c>
      <c r="T24" s="71">
        <v>1051</v>
      </c>
      <c r="U24" s="71">
        <v>4820</v>
      </c>
      <c r="V24" s="71">
        <v>4266</v>
      </c>
      <c r="W24" s="71">
        <v>1767</v>
      </c>
      <c r="X24" s="71">
        <v>7136</v>
      </c>
      <c r="Y24" s="71">
        <v>7484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2858.7370983119999</v>
      </c>
      <c r="E25" s="91" ph="1">
        <f>E24*268.68*LOOKUP(E26,密度!$A$2:$A$50,密度!$C$2:$C$50)+IF(E24&lt;=0,0,1566*LOOKUP(E26,密度!$A$2:$A$50,密度!$C$2:$C$50))</f>
        <v>3211.3366974</v>
      </c>
      <c r="F25" s="91" ph="1">
        <f>F24*11.702*LOOKUP(F26,密度!$A$2:$A$50,密度!$Q$2:$Q$50)</f>
        <v>5685.5437837200006</v>
      </c>
      <c r="G25" s="91" ph="1">
        <f>G24*18.322*LOOKUP(G26,密度!$A$2:$A$50,密度!$B$2:$B$50)</f>
        <v>50936.332607999997</v>
      </c>
      <c r="H25" s="91" ph="1">
        <f>H24*18.322*LOOKUP(H26,密度!$A$2:$A$50,密度!$B$2:$B$50)</f>
        <v>45940.875952000002</v>
      </c>
      <c r="I25" s="91" ph="1">
        <f>I24*18.322*LOOKUP(I26,密度!$A$2:$A$50,密度!$Q$2:$Q$50)</f>
        <v>52834.516359479996</v>
      </c>
      <c r="J25" s="91" ph="1">
        <f>J24*18.322*LOOKUP(J26,密度!$A$2:$A$50,密度!$Q$2:$Q$50)</f>
        <v>86098.750095240001</v>
      </c>
      <c r="K25" s="91" ph="1">
        <f>K24*18.322*LOOKUP(K26,密度!$A$2:$A$50,密度!$Q$2:$Q$50)</f>
        <v>82530.977391720007</v>
      </c>
      <c r="L25" s="91" ph="1">
        <f>L24*18.322*LOOKUP(L26,密度!$A$2:$A$50,密度!$Q$2:$Q$50)</f>
        <v>96854.535451439995</v>
      </c>
      <c r="M25" s="91" ph="1">
        <f>M24*18.322*LOOKUP(M26,密度!$A$2:$A$50,密度!$Q$2:$Q$50)</f>
        <v>49599.036211679995</v>
      </c>
      <c r="N25" s="91" ph="1">
        <f>N24*18.322*LOOKUP(N26,密度!$A$2:$A$50,密度!$Q$2:$Q$50)</f>
        <v>10336.047391080001</v>
      </c>
      <c r="O25" s="91" ph="1">
        <f>O24*18.322*LOOKUP(O26,密度!$A$2:$A$50,密度!$C$2:$C$50)</f>
        <v>116854.57927359999</v>
      </c>
      <c r="P25" s="91" ph="1">
        <f>P24*11.702*LOOKUP(P26,密度!$A$2:$A$50,密度!$B$2:$B$50)</f>
        <v>24924.838728000002</v>
      </c>
      <c r="Q25" s="92" ph="1">
        <f>Q24*18.322*LOOKUP(Q26,密度!$A$2:$A$50,密度!$B$2:$B$50)</f>
        <v>18436.988872000002</v>
      </c>
      <c r="R25" s="91" ph="1">
        <f>R24*35.891*LOOKUP(R26,密度!$A$2:$A$50,密度!$C$2:$C$50)</f>
        <v>80614.968911399992</v>
      </c>
      <c r="S25" s="91" ph="1">
        <f>S24*35.891*LOOKUP(S26,密度!$A$2:$A$50,密度!$B$2:$B$50)</f>
        <v>84139.271299999993</v>
      </c>
      <c r="T25" s="91" ph="1">
        <f>T24*35.891*LOOKUP(T26,密度!$A$2:$A$50,密度!$Q$2:$Q$50)</f>
        <v>35971.166137599997</v>
      </c>
      <c r="U25" s="91" ph="1">
        <f>U24*35.891</f>
        <v>172994.62</v>
      </c>
      <c r="V25" s="91" ph="1">
        <f>V24*47.051*LOOKUP(V26,密度!$A$2:$A$50,密度!$B$2:$B$50)</f>
        <v>158006.44235520001</v>
      </c>
      <c r="W25" s="91" ph="1">
        <f>W24*47.051*LOOKUP(W26,密度!$A$2:$A$50,密度!$B$2:$B$50)</f>
        <v>65513.624196000004</v>
      </c>
      <c r="X25" s="91" ph="1">
        <f>X24*47.051*LOOKUP(X26,密度!$A$2:$A$61,密度!$I$2:$I$61)</f>
        <v>341329.48453759996</v>
      </c>
      <c r="Y25" s="91" ph="1">
        <f>Y24*47.051*LOOKUP(Y26,密度!$A$2:$A$50,密度!$L$2:$L$50)</f>
        <v>333114.681064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14</v>
      </c>
      <c r="G26" s="74">
        <v>15</v>
      </c>
      <c r="H26" s="74">
        <v>15</v>
      </c>
      <c r="I26" s="74">
        <v>14</v>
      </c>
      <c r="J26" s="74">
        <v>15</v>
      </c>
      <c r="K26" s="74">
        <v>13</v>
      </c>
      <c r="L26" s="74">
        <v>14</v>
      </c>
      <c r="M26" s="74">
        <v>15</v>
      </c>
      <c r="N26" s="74">
        <v>15</v>
      </c>
      <c r="O26" s="74">
        <v>16</v>
      </c>
      <c r="P26" s="74">
        <v>15</v>
      </c>
      <c r="Q26" s="93">
        <v>15</v>
      </c>
      <c r="R26" s="74">
        <v>15</v>
      </c>
      <c r="S26" s="74">
        <v>15</v>
      </c>
      <c r="T26" s="74">
        <v>16</v>
      </c>
      <c r="U26" s="74">
        <v>16</v>
      </c>
      <c r="V26" s="74">
        <v>16</v>
      </c>
      <c r="W26" s="74">
        <v>15</v>
      </c>
      <c r="X26" s="74">
        <v>48</v>
      </c>
      <c r="Y26" s="74">
        <v>16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4" t="s" ph="1">
        <v>180</v>
      </c>
      <c r="D27" s="71">
        <v>5.41</v>
      </c>
      <c r="E27" s="71">
        <v>4.93</v>
      </c>
      <c r="F27" s="71">
        <v>507</v>
      </c>
      <c r="G27" s="71">
        <v>3102</v>
      </c>
      <c r="H27" s="71">
        <v>2772</v>
      </c>
      <c r="I27" s="71">
        <v>3019</v>
      </c>
      <c r="J27" s="71">
        <v>4922</v>
      </c>
      <c r="K27" s="71">
        <v>4716</v>
      </c>
      <c r="L27" s="71">
        <v>5533</v>
      </c>
      <c r="M27" s="71">
        <v>5066</v>
      </c>
      <c r="N27" s="71">
        <v>1702</v>
      </c>
      <c r="O27" s="71">
        <v>5716</v>
      </c>
      <c r="P27" s="71">
        <v>2703</v>
      </c>
      <c r="Q27" s="90">
        <v>1520</v>
      </c>
      <c r="R27" s="71">
        <v>2012</v>
      </c>
      <c r="S27" s="71">
        <v>2973</v>
      </c>
      <c r="T27" s="71">
        <v>614</v>
      </c>
      <c r="U27" s="71">
        <v>4692</v>
      </c>
      <c r="V27" s="71">
        <v>4262</v>
      </c>
      <c r="W27" s="71">
        <v>1763</v>
      </c>
      <c r="X27" s="71">
        <v>7748</v>
      </c>
      <c r="Y27" s="71">
        <v>5570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4" t="s" ph="1">
        <v>178</v>
      </c>
      <c r="D28" s="91" ph="1">
        <f>D27*268.68*LOOKUP(D29,密度!$A$2:$A$50,密度!$Q$2:$Q$50)+IF(D27&lt;=0,0,1566*LOOKUP(D29,密度!$A$2:$A$50,密度!$Q$2:$Q$50))</f>
        <v>2858.7370983119999</v>
      </c>
      <c r="E28" s="91" ph="1">
        <f>E27*268.68*LOOKUP(E29,密度!$A$2:$A$50,密度!$C$2:$C$50)+IF(E27&lt;=0,0,1566*LOOKUP(E29,密度!$A$2:$A$50,密度!$C$2:$C$50))</f>
        <v>3205.3779123599998</v>
      </c>
      <c r="F28" s="91" ph="1">
        <f>F27*11.702*LOOKUP(F29,密度!$A$2:$A$50,密度!$Q$2:$Q$50)</f>
        <v>5657.6267903999997</v>
      </c>
      <c r="G28" s="91" ph="1">
        <f>G27*18.322*LOOKUP(G29,密度!$A$2:$A$50,密度!$B$2:$B$50)</f>
        <v>44655.136930799992</v>
      </c>
      <c r="H28" s="91" ph="1">
        <f>H27*18.322*LOOKUP(H29,密度!$A$2:$A$50,密度!$B$2:$B$50)</f>
        <v>39904.590448799994</v>
      </c>
      <c r="I28" s="91" ph="1">
        <f>I27*18.322*LOOKUP(I29,密度!$A$2:$A$50,密度!$Q$2:$Q$50)</f>
        <v>52616.448465139998</v>
      </c>
      <c r="J28" s="91" ph="1">
        <f>J27*18.322*LOOKUP(J29,密度!$A$2:$A$50,密度!$Q$2:$Q$50)</f>
        <v>85853.103376839994</v>
      </c>
      <c r="K28" s="91" ph="1">
        <f>K27*18.322*LOOKUP(K29,密度!$A$2:$A$50,密度!$Q$2:$Q$50)</f>
        <v>82397.28798719999</v>
      </c>
      <c r="L28" s="91" ph="1">
        <f>L27*18.322*LOOKUP(L29,密度!$A$2:$A$50,密度!$Q$2:$Q$50)</f>
        <v>96590.696452799981</v>
      </c>
      <c r="M28" s="91" ph="1">
        <f>M27*18.322*LOOKUP(M29,密度!$A$2:$A$50,密度!$Q$2:$Q$50)</f>
        <v>88512.438707199995</v>
      </c>
      <c r="N28" s="91" ph="1">
        <f>N27*18.322*LOOKUP(N29,密度!$A$2:$A$50,密度!$Q$2:$Q$50)</f>
        <v>29687.521728439999</v>
      </c>
      <c r="O28" s="91" ph="1">
        <f>O27*18.322*LOOKUP(O29,密度!$A$2:$A$50,密度!$C$2:$C$50)</f>
        <v>116657.13407279998</v>
      </c>
      <c r="P28" s="91" ph="1">
        <f>P27*11.702*LOOKUP(P29,密度!$A$2:$A$50,密度!$B$2:$B$50)</f>
        <v>24826.784159400002</v>
      </c>
      <c r="Q28" s="92" ph="1">
        <f>Q27*18.322*LOOKUP(Q29,密度!$A$2:$A$50,密度!$B$2:$B$50)</f>
        <v>21859.025455999999</v>
      </c>
      <c r="R28" s="91" ph="1">
        <f>R27*35.891*LOOKUP(R29,密度!$A$2:$A$50,密度!$C$2:$C$50)</f>
        <v>80387.168734399995</v>
      </c>
      <c r="S28" s="91" ph="1">
        <f>S27*35.891*LOOKUP(S29,密度!$A$2:$A$50,密度!$B$2:$B$50)</f>
        <v>83666.561706299995</v>
      </c>
      <c r="T28" s="91" ph="1">
        <f>T27*35.891*LOOKUP(T29,密度!$A$2:$A$50,密度!$Q$2:$Q$50)</f>
        <v>20928.388807060001</v>
      </c>
      <c r="U28" s="91" ph="1">
        <f>U27*35.891</f>
        <v>168400.57199999999</v>
      </c>
      <c r="V28" s="91" ph="1">
        <f>V27*47.051*LOOKUP(V29,密度!$A$2:$A$50,密度!$B$2:$B$50)</f>
        <v>157056.16271840001</v>
      </c>
      <c r="W28" s="91" ph="1">
        <f>W27*47.051*LOOKUP(W29,密度!$A$2:$A$50,密度!$B$2:$B$50)</f>
        <v>64967.155061600002</v>
      </c>
      <c r="X28" s="91" ph="1">
        <f>X27*47.051*LOOKUP(X29,密度!$A$2:$A$61,密度!$I$2:$I$61)</f>
        <v>370602.69705679995</v>
      </c>
      <c r="Y28" s="91" ph="1">
        <f>Y27*47.051*LOOKUP(Y29,密度!$A$2:$A$50,密度!$L$2:$L$50)</f>
        <v>247659.99614999999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4" t="s" ph="1">
        <v>179</v>
      </c>
      <c r="D29" s="74">
        <v>25</v>
      </c>
      <c r="E29" s="74">
        <v>25</v>
      </c>
      <c r="F29" s="74">
        <v>16</v>
      </c>
      <c r="G29" s="74">
        <v>18</v>
      </c>
      <c r="H29" s="74">
        <v>18</v>
      </c>
      <c r="I29" s="74">
        <v>19</v>
      </c>
      <c r="J29" s="74">
        <v>18</v>
      </c>
      <c r="K29" s="74">
        <v>16</v>
      </c>
      <c r="L29" s="74">
        <v>17</v>
      </c>
      <c r="M29" s="74">
        <v>16</v>
      </c>
      <c r="N29" s="74">
        <v>18</v>
      </c>
      <c r="O29" s="74">
        <v>18</v>
      </c>
      <c r="P29" s="74">
        <v>19</v>
      </c>
      <c r="Q29" s="93">
        <v>19</v>
      </c>
      <c r="R29" s="74">
        <v>19</v>
      </c>
      <c r="S29" s="74">
        <v>20</v>
      </c>
      <c r="T29" s="74">
        <v>21</v>
      </c>
      <c r="U29" s="74">
        <v>21</v>
      </c>
      <c r="V29" s="74">
        <v>21</v>
      </c>
      <c r="W29" s="74">
        <v>21</v>
      </c>
      <c r="X29" s="74">
        <v>48</v>
      </c>
      <c r="Y29" s="74">
        <v>17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4" t="s" ph="1">
        <v>5</v>
      </c>
      <c r="F32" s="165" t="s" ph="1">
        <v>43</v>
      </c>
      <c r="G32" s="97" t="s" ph="1">
        <v>4</v>
      </c>
      <c r="H32" s="164" t="s" ph="1">
        <v>5</v>
      </c>
      <c r="I32" s="165" t="s" ph="1">
        <v>43</v>
      </c>
      <c r="J32" s="97" t="s" ph="1">
        <v>4</v>
      </c>
      <c r="K32" s="164" t="s" ph="1">
        <v>5</v>
      </c>
      <c r="L32" s="165" t="s" ph="1">
        <v>43</v>
      </c>
      <c r="M32" s="97" t="s" ph="1">
        <v>4</v>
      </c>
      <c r="N32" s="164" t="s" ph="1">
        <v>5</v>
      </c>
      <c r="O32" s="16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4" t="s" ph="1">
        <v>5</v>
      </c>
      <c r="U32" s="99" t="s" ph="1">
        <v>43</v>
      </c>
      <c r="V32" s="97" t="s" ph="1">
        <v>4</v>
      </c>
      <c r="W32" s="164" t="s" ph="1">
        <v>5</v>
      </c>
      <c r="X32" s="99" t="s" ph="1">
        <v>43</v>
      </c>
      <c r="Y32" s="100" t="s" ph="1">
        <v>4</v>
      </c>
      <c r="Z32" s="164" t="s" ph="1">
        <v>5</v>
      </c>
      <c r="AA32" s="165" t="s" ph="1">
        <v>43</v>
      </c>
      <c r="AB32" s="97" t="s" ph="1">
        <v>85</v>
      </c>
      <c r="AC32" s="164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184031.4327568</v>
      </c>
      <c r="E33" s="213" ph="1">
        <f>M10+I10</f>
        <v>47658.796748800007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7" ph="1">
        <f>N19</f>
        <v>8787.207418</v>
      </c>
      <c r="H33" s="213" ph="1">
        <f>M19</f>
        <v>41467.630642579999</v>
      </c>
      <c r="I33" s="226" ph="1">
        <v>0</v>
      </c>
      <c r="J33" s="224" ph="1">
        <f>F10+O28</f>
        <v>207036.60268019995</v>
      </c>
      <c r="K33" s="213" ph="1">
        <f>O10+K10+E28+R28</f>
        <v>118419.90396436</v>
      </c>
      <c r="L33" s="228" ph="1">
        <f>K19</f>
        <v>41048.528408719998</v>
      </c>
      <c r="M33" s="224" ph="1">
        <f>G10+H10+W28+S28+V28+E10+R19+P28+Q28</f>
        <v>704392.2299022401</v>
      </c>
      <c r="N33" s="213" ph="1">
        <f>L10+P10++G28+H28+AD19+AE19</f>
        <v>324030.02412199997</v>
      </c>
      <c r="O33" s="226" ph="1">
        <f>G19</f>
        <v>22982.622347200002</v>
      </c>
      <c r="P33" s="224" ph="1">
        <f>L19</f>
        <v>36952.159592880002</v>
      </c>
      <c r="Q33" s="213" ph="1">
        <f>J10+N10</f>
        <v>132510.80763</v>
      </c>
      <c r="R33" s="226" ph="1">
        <f>BE23</f>
        <v>890</v>
      </c>
      <c r="S33" s="224" ph="1">
        <f>X28</f>
        <v>370602.69705679995</v>
      </c>
      <c r="T33" s="213" ph="1">
        <f>X19</f>
        <v>10016.981467079999</v>
      </c>
      <c r="U33" s="234" ph="1">
        <f>BE21</f>
        <v>730</v>
      </c>
      <c r="V33" s="245" ph="1">
        <f ca="1">P19+Q19+S19+M28+N28+J28+D10+AC10+D19+E19+H19+J19+O19+V19+W19+K28+L28</f>
        <v>1278832.810528436</v>
      </c>
      <c r="W33" s="245" ph="1">
        <f>D28+F28+T28+I28</f>
        <v>82061.201160911995</v>
      </c>
      <c r="X33" s="226" ph="1">
        <f>BE29+BE31</f>
        <v>10200</v>
      </c>
      <c r="Y33" s="247" ph="1">
        <f>+Q10+R10+S10+T10+U10+V10+W10+X10+Y10</f>
        <v>187790.09661719998</v>
      </c>
      <c r="Z33" s="232" ph="1">
        <f>T19+U19+Y28+Z10</f>
        <v>482157.09809485998</v>
      </c>
      <c r="AA33" s="234" ph="1">
        <f>BE19</f>
        <v>1440</v>
      </c>
      <c r="AB33" s="236" ph="1">
        <f>I19</f>
        <v>48630.454714400003</v>
      </c>
      <c r="AC33" s="238" ph="1">
        <f>AD10+AB19</f>
        <v>153661.68993399999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6" t="s" ph="1">
        <v>185</v>
      </c>
      <c r="AA36" s="166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6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6" t="s" ph="1">
        <v>342</v>
      </c>
      <c r="AI37" s="166" t="s" ph="1">
        <v>209</v>
      </c>
      <c r="AJ37" s="166" t="s" ph="1">
        <v>210</v>
      </c>
      <c r="AK37" s="166" t="s" ph="1">
        <v>211</v>
      </c>
      <c r="AM37" s="166" t="s" ph="1">
        <v>210</v>
      </c>
      <c r="AN37" s="166" t="s" ph="1">
        <v>211</v>
      </c>
      <c r="AO37" s="166" t="s" ph="1">
        <v>212</v>
      </c>
      <c r="AP37" s="166" t="s" ph="1">
        <v>210</v>
      </c>
      <c r="AQ37" s="166" t="s" ph="1">
        <v>211</v>
      </c>
      <c r="AR37" s="166" t="s" ph="1">
        <v>212</v>
      </c>
      <c r="AS37" s="166" t="s" ph="1">
        <v>210</v>
      </c>
      <c r="AT37" s="166" t="s" ph="1">
        <v>211</v>
      </c>
      <c r="AU37" s="166" t="s" ph="1">
        <v>212</v>
      </c>
      <c r="AV37" s="166" t="s" ph="1">
        <v>210</v>
      </c>
      <c r="AW37" s="166" t="s" ph="1">
        <v>211</v>
      </c>
      <c r="AX37" s="166" t="s" ph="1">
        <v>212</v>
      </c>
      <c r="AY37" s="166" t="s" ph="1">
        <v>211</v>
      </c>
      <c r="AZ37" s="166" t="s" ph="1">
        <v>213</v>
      </c>
      <c r="BD37" s="166" t="s" ph="1">
        <v>305</v>
      </c>
      <c r="BE37" s="166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039" priority="100">
      <formula>ABS(D$7-D$10)&gt;=1000</formula>
    </cfRule>
  </conditionalFormatting>
  <conditionalFormatting sqref="E4 E6:E11">
    <cfRule type="expression" dxfId="1038" priority="99">
      <formula>ABS(E$7-E$10)&gt;=1000</formula>
    </cfRule>
  </conditionalFormatting>
  <conditionalFormatting sqref="F4:F11">
    <cfRule type="expression" dxfId="1037" priority="98">
      <formula>ABS(F$7-F$10)&gt;=1000</formula>
    </cfRule>
  </conditionalFormatting>
  <conditionalFormatting sqref="G4:G11">
    <cfRule type="expression" dxfId="1036" priority="97">
      <formula>ABS(G$7-G$10)&gt;=1000</formula>
    </cfRule>
  </conditionalFormatting>
  <conditionalFormatting sqref="H4:H11">
    <cfRule type="expression" dxfId="1035" priority="96">
      <formula>ABS(H$7-H$10)&gt;=1000</formula>
    </cfRule>
  </conditionalFormatting>
  <conditionalFormatting sqref="I4:I11">
    <cfRule type="expression" dxfId="1034" priority="95">
      <formula>ABS(I$7-I$10)&gt;=1000</formula>
    </cfRule>
  </conditionalFormatting>
  <conditionalFormatting sqref="J4:J11">
    <cfRule type="expression" dxfId="1033" priority="94">
      <formula>ABS(J$7-J$10)&gt;=1000</formula>
    </cfRule>
  </conditionalFormatting>
  <conditionalFormatting sqref="K4:K11">
    <cfRule type="expression" dxfId="1032" priority="93">
      <formula>ABS(K$7-K$10)&gt;=1000</formula>
    </cfRule>
  </conditionalFormatting>
  <conditionalFormatting sqref="L4:L11">
    <cfRule type="expression" dxfId="1031" priority="92">
      <formula>ABS(L$7-L$10)&gt;=1000</formula>
    </cfRule>
  </conditionalFormatting>
  <conditionalFormatting sqref="M4 M6:M11">
    <cfRule type="expression" dxfId="1030" priority="91">
      <formula>ABS(M$7-M$10)&gt;=1000</formula>
    </cfRule>
  </conditionalFormatting>
  <conditionalFormatting sqref="N4 N6:N11">
    <cfRule type="expression" dxfId="1029" priority="90">
      <formula>ABS(N$7-N$10)&gt;=1000</formula>
    </cfRule>
  </conditionalFormatting>
  <conditionalFormatting sqref="O4 O6:O11">
    <cfRule type="expression" dxfId="1028" priority="89">
      <formula>ABS(O$7-O$10)&gt;=1000</formula>
    </cfRule>
  </conditionalFormatting>
  <conditionalFormatting sqref="P4 P6:P11">
    <cfRule type="expression" dxfId="1027" priority="88">
      <formula>ABS(P$7-P$10)&gt;=1000</formula>
    </cfRule>
  </conditionalFormatting>
  <conditionalFormatting sqref="Q4:Q11">
    <cfRule type="expression" dxfId="1026" priority="87">
      <formula>ABS(Q$7-Q$10)&gt;=1000</formula>
    </cfRule>
  </conditionalFormatting>
  <conditionalFormatting sqref="R4:R11">
    <cfRule type="expression" dxfId="1025" priority="86">
      <formula>ABS(R$7-R$10)&gt;=1000</formula>
    </cfRule>
  </conditionalFormatting>
  <conditionalFormatting sqref="S4:S11">
    <cfRule type="expression" dxfId="1024" priority="85">
      <formula>ABS(S$7-S$10)&gt;=1000</formula>
    </cfRule>
  </conditionalFormatting>
  <conditionalFormatting sqref="T4:T9 T11">
    <cfRule type="expression" dxfId="1023" priority="84">
      <formula>ABS(T$7-T$10)&gt;=1000</formula>
    </cfRule>
  </conditionalFormatting>
  <conditionalFormatting sqref="U4:U9 U11">
    <cfRule type="expression" dxfId="1022" priority="83">
      <formula>ABS(U$7-U$10)&gt;=1000</formula>
    </cfRule>
  </conditionalFormatting>
  <conditionalFormatting sqref="V4:V9 V11">
    <cfRule type="expression" dxfId="1021" priority="82">
      <formula>ABS(V$7-V$10)&gt;=1000</formula>
    </cfRule>
  </conditionalFormatting>
  <conditionalFormatting sqref="W4:W9 W11">
    <cfRule type="expression" dxfId="1020" priority="81">
      <formula>ABS(W$7-W$10)&gt;=1000</formula>
    </cfRule>
  </conditionalFormatting>
  <conditionalFormatting sqref="X4:X9 X11">
    <cfRule type="expression" dxfId="1019" priority="80">
      <formula>ABS(X$7-X$10)&gt;=1000</formula>
    </cfRule>
  </conditionalFormatting>
  <conditionalFormatting sqref="Y4:Y9 Y11">
    <cfRule type="expression" dxfId="1018" priority="79">
      <formula>ABS(Y$7-Y$10)&gt;=1000</formula>
    </cfRule>
  </conditionalFormatting>
  <conditionalFormatting sqref="Z4:Z11">
    <cfRule type="expression" dxfId="1017" priority="78">
      <formula>ABS(Z$7-Z$10)&gt;=1000</formula>
    </cfRule>
  </conditionalFormatting>
  <conditionalFormatting sqref="AA4:AA11">
    <cfRule type="expression" dxfId="1016" priority="77">
      <formula>ABS(AA$7-AA$10)&gt;=1000</formula>
    </cfRule>
  </conditionalFormatting>
  <conditionalFormatting sqref="AB4:AB11">
    <cfRule type="expression" dxfId="1015" priority="76">
      <formula>ABS(AB$7-AB$10)&gt;=1000</formula>
    </cfRule>
  </conditionalFormatting>
  <conditionalFormatting sqref="AC4 AC6:AC11">
    <cfRule type="expression" dxfId="1014" priority="75">
      <formula>ABS(AC$7-AC$10)&gt;=1000</formula>
    </cfRule>
  </conditionalFormatting>
  <conditionalFormatting sqref="AD4 AD6:AD11">
    <cfRule type="expression" dxfId="1013" priority="74">
      <formula>ABS(AD$7-AD$10)&gt;=1000</formula>
    </cfRule>
  </conditionalFormatting>
  <conditionalFormatting sqref="AE4 AE6:AE11">
    <cfRule type="expression" dxfId="1012" priority="73">
      <formula>ABS(AE$7-AE$10)&gt;=1000</formula>
    </cfRule>
  </conditionalFormatting>
  <conditionalFormatting sqref="D13:D20">
    <cfRule type="expression" dxfId="1011" priority="72">
      <formula>ABS(D$16-D$19)&gt;=1000</formula>
    </cfRule>
  </conditionalFormatting>
  <conditionalFormatting sqref="E13:E20">
    <cfRule type="expression" dxfId="1010" priority="71">
      <formula>ABS(E$16-E$19)&gt;=1000</formula>
    </cfRule>
  </conditionalFormatting>
  <conditionalFormatting sqref="F13 F15:F20">
    <cfRule type="expression" dxfId="1009" priority="70">
      <formula>ABS(F$16-F$19)&gt;=1000</formula>
    </cfRule>
  </conditionalFormatting>
  <conditionalFormatting sqref="G13:G20">
    <cfRule type="expression" dxfId="1008" priority="69">
      <formula>ABS(G$16-G$19)&gt;=1000</formula>
    </cfRule>
  </conditionalFormatting>
  <conditionalFormatting sqref="H13 H15:H20">
    <cfRule type="expression" dxfId="1007" priority="68">
      <formula>ABS(H$16-H$19)&gt;=1000</formula>
    </cfRule>
  </conditionalFormatting>
  <conditionalFormatting sqref="I13:I20">
    <cfRule type="expression" dxfId="1006" priority="67">
      <formula>ABS(I$16-I$19)&gt;=1000</formula>
    </cfRule>
  </conditionalFormatting>
  <conditionalFormatting sqref="J13:J20">
    <cfRule type="expression" dxfId="1005" priority="66">
      <formula>ABS(J$16-J$19)&gt;=1000</formula>
    </cfRule>
  </conditionalFormatting>
  <conditionalFormatting sqref="L13:L20">
    <cfRule type="expression" dxfId="1004" priority="65">
      <formula>ABS(L$16-L$19)&gt;=1000</formula>
    </cfRule>
  </conditionalFormatting>
  <conditionalFormatting sqref="M13 M15 M17:M18 M20">
    <cfRule type="expression" dxfId="1003" priority="64">
      <formula>ABS(M$16-M$19)&gt;=1000</formula>
    </cfRule>
  </conditionalFormatting>
  <conditionalFormatting sqref="N13:N20">
    <cfRule type="expression" dxfId="1002" priority="63">
      <formula>ABS(N$16-N$19)&gt;=1000</formula>
    </cfRule>
  </conditionalFormatting>
  <conditionalFormatting sqref="O13:O20">
    <cfRule type="expression" dxfId="1001" priority="62">
      <formula>ABS(O$16-O$19)&gt;=1000</formula>
    </cfRule>
  </conditionalFormatting>
  <conditionalFormatting sqref="P13:P20">
    <cfRule type="expression" dxfId="1000" priority="61">
      <formula>ABS(P$16-P$19)&gt;=1000</formula>
    </cfRule>
  </conditionalFormatting>
  <conditionalFormatting sqref="Q13 Q15:Q20">
    <cfRule type="expression" dxfId="999" priority="60">
      <formula>ABS(Q$16-Q$19)&gt;=1000</formula>
    </cfRule>
  </conditionalFormatting>
  <conditionalFormatting sqref="R13:R20">
    <cfRule type="expression" dxfId="998" priority="59">
      <formula>ABS(R$16-R$19)&gt;=1000</formula>
    </cfRule>
  </conditionalFormatting>
  <conditionalFormatting sqref="S13:S20">
    <cfRule type="expression" dxfId="997" priority="58">
      <formula>ABS(S$16-S$19)&gt;=1000</formula>
    </cfRule>
  </conditionalFormatting>
  <conditionalFormatting sqref="T13:T20">
    <cfRule type="expression" dxfId="996" priority="57">
      <formula>ABS(T$16-T$19)&gt;=1000</formula>
    </cfRule>
  </conditionalFormatting>
  <conditionalFormatting sqref="U13:U20">
    <cfRule type="expression" dxfId="995" priority="56">
      <formula>ABS(U$16-U$19)&gt;=1000</formula>
    </cfRule>
  </conditionalFormatting>
  <conditionalFormatting sqref="V13:V20">
    <cfRule type="expression" dxfId="994" priority="55">
      <formula>ABS(V$16-V$19)&gt;=1000</formula>
    </cfRule>
  </conditionalFormatting>
  <conditionalFormatting sqref="W13 W20 W15:W18">
    <cfRule type="expression" dxfId="993" priority="54">
      <formula>ABS(W$16-W$19)&gt;=1000</formula>
    </cfRule>
  </conditionalFormatting>
  <conditionalFormatting sqref="X13 X15:X20 Y19">
    <cfRule type="expression" dxfId="992" priority="53">
      <formula>ABS(X$16-X$19)&gt;=1000</formula>
    </cfRule>
  </conditionalFormatting>
  <conditionalFormatting sqref="Y13 Y15:Y18 Y20">
    <cfRule type="expression" dxfId="991" priority="52">
      <formula>ABS(Y$16-Y$19)&gt;=1000</formula>
    </cfRule>
  </conditionalFormatting>
  <conditionalFormatting sqref="Z13:Z20">
    <cfRule type="expression" dxfId="990" priority="51">
      <formula>ABS(Z$16-Z$19)&gt;=1000</formula>
    </cfRule>
  </conditionalFormatting>
  <conditionalFormatting sqref="AA13:AA20">
    <cfRule type="expression" dxfId="989" priority="50">
      <formula>ABS(AA$16-AA$19)&gt;=1000</formula>
    </cfRule>
  </conditionalFormatting>
  <conditionalFormatting sqref="AB13 AB15:AB20">
    <cfRule type="expression" dxfId="988" priority="49">
      <formula>ABS(AB$16-AB$19)&gt;=1000</formula>
    </cfRule>
  </conditionalFormatting>
  <conditionalFormatting sqref="AC13 AC15:AC20">
    <cfRule type="expression" dxfId="987" priority="48">
      <formula>ABS(AC$16-AC$19)&gt;=1000</formula>
    </cfRule>
  </conditionalFormatting>
  <conditionalFormatting sqref="AD13:AD20">
    <cfRule type="expression" dxfId="986" priority="47">
      <formula>ABS(AD$16-AD$19)&gt;=1000</formula>
    </cfRule>
  </conditionalFormatting>
  <conditionalFormatting sqref="AE13:AE20">
    <cfRule type="expression" dxfId="985" priority="46">
      <formula>ABS(AE$16-AE$19)&gt;=1000</formula>
    </cfRule>
  </conditionalFormatting>
  <conditionalFormatting sqref="D22:D29">
    <cfRule type="expression" dxfId="984" priority="45">
      <formula>ABS(D$25-D$28)&gt;=1000</formula>
    </cfRule>
  </conditionalFormatting>
  <conditionalFormatting sqref="E22:E29">
    <cfRule type="expression" dxfId="983" priority="44">
      <formula>ABS(E$25-E$28)&gt;=1000</formula>
    </cfRule>
  </conditionalFormatting>
  <conditionalFormatting sqref="F22:F29">
    <cfRule type="expression" dxfId="982" priority="43">
      <formula>ABS(F$25-F$28)&gt;=1000</formula>
    </cfRule>
  </conditionalFormatting>
  <conditionalFormatting sqref="G22:G29">
    <cfRule type="expression" dxfId="981" priority="42">
      <formula>ABS(G$25-G$28)&gt;=1000</formula>
    </cfRule>
  </conditionalFormatting>
  <conditionalFormatting sqref="H22:H29">
    <cfRule type="expression" dxfId="980" priority="41">
      <formula>ABS(H$25-H$28)&gt;=1000</formula>
    </cfRule>
  </conditionalFormatting>
  <conditionalFormatting sqref="I22 I24:I29">
    <cfRule type="expression" dxfId="979" priority="40">
      <formula>ABS(I$25-I$28)&gt;=1000</formula>
    </cfRule>
  </conditionalFormatting>
  <conditionalFormatting sqref="J22:J29 K22">
    <cfRule type="expression" dxfId="978" priority="39">
      <formula>ABS(J$25-J$28)&gt;=1000</formula>
    </cfRule>
  </conditionalFormatting>
  <conditionalFormatting sqref="K23:K29 L25 L28">
    <cfRule type="expression" dxfId="977" priority="38">
      <formula>ABS(K$25-K$28)&gt;=1000</formula>
    </cfRule>
  </conditionalFormatting>
  <conditionalFormatting sqref="L22 L26:L27 L29 L24">
    <cfRule type="expression" dxfId="976" priority="37">
      <formula>ABS(L$25-L$28)&gt;=1000</formula>
    </cfRule>
  </conditionalFormatting>
  <conditionalFormatting sqref="M22:M29">
    <cfRule type="expression" dxfId="975" priority="36">
      <formula>ABS(M$25-M$28)&gt;=1000</formula>
    </cfRule>
  </conditionalFormatting>
  <conditionalFormatting sqref="N22:N29">
    <cfRule type="expression" dxfId="974" priority="35">
      <formula>ABS(N$25-N$28)&gt;=1000</formula>
    </cfRule>
  </conditionalFormatting>
  <conditionalFormatting sqref="O22:O29">
    <cfRule type="expression" dxfId="973" priority="34">
      <formula>ABS(O$25-O$28)&gt;=1000</formula>
    </cfRule>
  </conditionalFormatting>
  <conditionalFormatting sqref="P22:P29">
    <cfRule type="expression" dxfId="972" priority="33">
      <formula>ABS(P$25-P$28)&gt;=1000</formula>
    </cfRule>
  </conditionalFormatting>
  <conditionalFormatting sqref="Q22:Q29">
    <cfRule type="expression" dxfId="971" priority="32">
      <formula>ABS(Q$25-Q$28)&gt;=1000</formula>
    </cfRule>
  </conditionalFormatting>
  <conditionalFormatting sqref="R22:R29">
    <cfRule type="expression" dxfId="970" priority="31">
      <formula>ABS(R$25-R$28)&gt;=1000</formula>
    </cfRule>
  </conditionalFormatting>
  <conditionalFormatting sqref="S22:S29">
    <cfRule type="expression" dxfId="969" priority="30">
      <formula>ABS(S$25-S$28)&gt;=1000</formula>
    </cfRule>
  </conditionalFormatting>
  <conditionalFormatting sqref="T22:T29">
    <cfRule type="expression" dxfId="968" priority="29">
      <formula>ABS(T$25-T$28)&gt;=1000</formula>
    </cfRule>
  </conditionalFormatting>
  <conditionalFormatting sqref="U22:U29">
    <cfRule type="expression" dxfId="967" priority="28">
      <formula>ABS(U$25-U$28)&gt;=1000</formula>
    </cfRule>
  </conditionalFormatting>
  <conditionalFormatting sqref="V22:V29">
    <cfRule type="expression" dxfId="966" priority="27">
      <formula>ABS(V$25-V$28)&gt;=1000</formula>
    </cfRule>
  </conditionalFormatting>
  <conditionalFormatting sqref="W22:W29">
    <cfRule type="expression" dxfId="965" priority="26">
      <formula>ABS(W$25-W$28)&gt;=1000</formula>
    </cfRule>
  </conditionalFormatting>
  <conditionalFormatting sqref="X22:X29">
    <cfRule type="expression" dxfId="964" priority="25">
      <formula>ABS(X$25-X$28)&gt;=1000</formula>
    </cfRule>
  </conditionalFormatting>
  <conditionalFormatting sqref="Y22:Y29">
    <cfRule type="expression" dxfId="963" priority="24">
      <formula>ABS(Y$25-Y$28)&gt;=1000</formula>
    </cfRule>
  </conditionalFormatting>
  <conditionalFormatting sqref="I23">
    <cfRule type="expression" dxfId="962" priority="23">
      <formula>ABS(I$25-I$28)&gt;=1000</formula>
    </cfRule>
  </conditionalFormatting>
  <conditionalFormatting sqref="Q14">
    <cfRule type="expression" dxfId="961" priority="22">
      <formula>ABS(Q$16-Q$19)&gt;=1000</formula>
    </cfRule>
  </conditionalFormatting>
  <conditionalFormatting sqref="W14">
    <cfRule type="expression" dxfId="960" priority="21">
      <formula>ABS(W$16-W$19)&gt;=1000</formula>
    </cfRule>
  </conditionalFormatting>
  <conditionalFormatting sqref="X14">
    <cfRule type="expression" dxfId="959" priority="20">
      <formula>ABS(X$16-X$19)&gt;=1000</formula>
    </cfRule>
  </conditionalFormatting>
  <conditionalFormatting sqref="T10:Y10">
    <cfRule type="expression" dxfId="958" priority="19">
      <formula>ABS(T$7-T$10)&gt;=1000</formula>
    </cfRule>
  </conditionalFormatting>
  <conditionalFormatting sqref="W19">
    <cfRule type="expression" dxfId="957" priority="18">
      <formula>ABS(W$16-W$19)&gt;=1000</formula>
    </cfRule>
  </conditionalFormatting>
  <conditionalFormatting sqref="AC5">
    <cfRule type="expression" dxfId="956" priority="17">
      <formula>ABS(AC$7-AC$10)&gt;=1000</formula>
    </cfRule>
  </conditionalFormatting>
  <conditionalFormatting sqref="M14">
    <cfRule type="expression" dxfId="955" priority="16">
      <formula>ABS(M$16-M$19)&gt;=1000</formula>
    </cfRule>
  </conditionalFormatting>
  <conditionalFormatting sqref="M16">
    <cfRule type="expression" dxfId="954" priority="15">
      <formula>ABS(M$16-M$19)&gt;=1000</formula>
    </cfRule>
  </conditionalFormatting>
  <conditionalFormatting sqref="M19">
    <cfRule type="expression" dxfId="953" priority="14">
      <formula>ABS(M$16-M$19)&gt;=1000</formula>
    </cfRule>
  </conditionalFormatting>
  <conditionalFormatting sqref="K13:K20">
    <cfRule type="expression" dxfId="952" priority="13">
      <formula>ABS(K$16-K$19)&gt;=1000</formula>
    </cfRule>
  </conditionalFormatting>
  <conditionalFormatting sqref="E5">
    <cfRule type="expression" dxfId="951" priority="12">
      <formula>ABS(E$7-E$10)&gt;=1000</formula>
    </cfRule>
  </conditionalFormatting>
  <conditionalFormatting sqref="AB14:AC14">
    <cfRule type="expression" dxfId="950" priority="11">
      <formula>ABS(AB$16-AB$19)&gt;=1000</formula>
    </cfRule>
  </conditionalFormatting>
  <conditionalFormatting sqref="M5">
    <cfRule type="expression" dxfId="949" priority="10">
      <formula>ABS(M$7-M$10)&gt;=1000</formula>
    </cfRule>
  </conditionalFormatting>
  <conditionalFormatting sqref="N5">
    <cfRule type="expression" dxfId="948" priority="9">
      <formula>ABS(N$7-N$10)&gt;=1000</formula>
    </cfRule>
  </conditionalFormatting>
  <conditionalFormatting sqref="O5">
    <cfRule type="expression" dxfId="947" priority="8">
      <formula>ABS(O$7-O$10)&gt;=1000</formula>
    </cfRule>
  </conditionalFormatting>
  <conditionalFormatting sqref="P5">
    <cfRule type="expression" dxfId="946" priority="7">
      <formula>ABS(P$7-P$10)&gt;=1000</formula>
    </cfRule>
  </conditionalFormatting>
  <conditionalFormatting sqref="L23">
    <cfRule type="expression" dxfId="945" priority="6">
      <formula>ABS(L$25-L$28)&gt;=1000</formula>
    </cfRule>
  </conditionalFormatting>
  <conditionalFormatting sqref="Y14">
    <cfRule type="expression" dxfId="944" priority="5">
      <formula>ABS(Y$16-Y$19)&gt;=1000</formula>
    </cfRule>
  </conditionalFormatting>
  <conditionalFormatting sqref="F14">
    <cfRule type="expression" dxfId="943" priority="4">
      <formula>ABS(F$16-F$19)&gt;=1000</formula>
    </cfRule>
  </conditionalFormatting>
  <conditionalFormatting sqref="H14">
    <cfRule type="expression" dxfId="942" priority="3">
      <formula>ABS(H$16-H$19)&gt;=1000</formula>
    </cfRule>
  </conditionalFormatting>
  <conditionalFormatting sqref="AD5">
    <cfRule type="expression" dxfId="941" priority="2">
      <formula>ABS(AD$7-AD$10)&gt;=1000</formula>
    </cfRule>
  </conditionalFormatting>
  <conditionalFormatting sqref="AE5">
    <cfRule type="expression" dxfId="94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92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2">
    <pageSetUpPr fitToPage="1"/>
  </sheetPr>
  <dimension ref="A1:CU223"/>
  <sheetViews>
    <sheetView view="pageBreakPreview" topLeftCell="A7" zoomScale="70" zoomScaleNormal="100" zoomScaleSheetLayoutView="70" workbookViewId="0">
      <selection activeCell="L6" sqref="L6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46044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9" t="s" ph="1">
        <v>177</v>
      </c>
      <c r="D6" s="71">
        <v>2262</v>
      </c>
      <c r="E6" s="71">
        <v>0</v>
      </c>
      <c r="F6" s="71">
        <v>2441</v>
      </c>
      <c r="G6" s="71">
        <v>1205</v>
      </c>
      <c r="H6" s="71">
        <v>5051</v>
      </c>
      <c r="I6" s="71">
        <v>0.1</v>
      </c>
      <c r="J6" s="71">
        <v>6.64</v>
      </c>
      <c r="K6" s="71">
        <v>7.34</v>
      </c>
      <c r="L6" s="71">
        <v>32.869999999999997</v>
      </c>
      <c r="M6" s="71">
        <v>1385</v>
      </c>
      <c r="N6" s="71">
        <v>4801</v>
      </c>
      <c r="O6" s="71">
        <v>1425</v>
      </c>
      <c r="P6" s="71">
        <v>5353</v>
      </c>
      <c r="Q6" s="71">
        <v>7165</v>
      </c>
      <c r="R6" s="71">
        <v>2190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6316</v>
      </c>
      <c r="Y6" s="71">
        <v>6998</v>
      </c>
      <c r="Z6" s="71">
        <v>6178</v>
      </c>
      <c r="AA6" s="71">
        <v>3456</v>
      </c>
      <c r="AB6" s="71">
        <v>3061</v>
      </c>
      <c r="AC6" s="71">
        <v>9319</v>
      </c>
      <c r="AD6" s="71">
        <v>4780</v>
      </c>
      <c r="AE6" s="71">
        <v>3750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71647.720854839994</v>
      </c>
      <c r="E7" s="73" ph="1">
        <f>E6*51.53*LOOKUP(E8,密度!$A$2:$A$50,密度!$B$2:$B$50)</f>
        <v>0</v>
      </c>
      <c r="F7" s="73" ph="1">
        <f>F6*33.183*LOOKUP(F8,密度!$A$2:$A$50,密度!$C$2:$C$50)</f>
        <v>90509.068132199987</v>
      </c>
      <c r="G7" s="73" ph="1">
        <f xml:space="preserve"> (G6+2)*51.53*LOOKUP(G8,密度!$A$2:$A$50,密度!$B$2:$B$50)</f>
        <v>49066.984519000005</v>
      </c>
      <c r="H7" s="73" ph="1">
        <f>(H6)*51.53*LOOKUP(H8,密度!$A$2:$A$50,密度!$B$2:$B$50)</f>
        <v>205984.03294199999</v>
      </c>
      <c r="I7" s="73" ph="1">
        <f>I6*290.8*1.0267</f>
        <v>29.856435999999999</v>
      </c>
      <c r="J7" s="73" ph="1">
        <f>J6*290.8*0.7892</f>
        <v>1523.8757504</v>
      </c>
      <c r="K7" s="73" ph="1">
        <f>K6*290.8*1.1126</f>
        <v>2374.8135472000004</v>
      </c>
      <c r="L7" s="73" ph="1">
        <f>L6*290.8*0.777</f>
        <v>7427.0290919999998</v>
      </c>
      <c r="M7" s="73" ph="1">
        <f>M6*33.183*LOOKUP(M8,密度!$A$2:$A$50,密度!$D$2:$D$50)</f>
        <v>47677.301217000007</v>
      </c>
      <c r="N7" s="73" ph="1">
        <f>N6*33.183*LOOKUP(N8,密度!$A$2:$A$50,密度!$E$2:$E$50)</f>
        <v>126429.6722688</v>
      </c>
      <c r="O7" s="73" ph="1">
        <f>O6*20.428*LOOKUP(O8,密度!$A$2:$A$50,密度!$C$2:$C$50)</f>
        <v>32425.517609999999</v>
      </c>
      <c r="P7" s="73" ph="1">
        <f>P6*51.53*LOOKUP(P8,密度!$A$2:$A$50,密度!$B$2:$B$50)</f>
        <v>217830.919073</v>
      </c>
      <c r="Q7" s="73" ph="1">
        <f>Q6*1.5*1.5*3.1416*LOOKUP(W8,密度!$A$2:$A$50,密度!$L$2:$L$50)</f>
        <v>48012.900011999998</v>
      </c>
      <c r="R7" s="73" ph="1">
        <f>R6*1.5*1.5*3.1416*LOOKUP(R8,密度!$A$2:$A$50,密度!$L$2:$L$50)</f>
        <v>14582.380428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42725.530663199999</v>
      </c>
      <c r="Y7" s="73" ph="1">
        <f>Y6*1.5*1.5*3.1416*LOOKUP(Y8,密度!$A$2:$A$50,密度!$L$2:$L$50)</f>
        <v>46893.827534399999</v>
      </c>
      <c r="Z7" s="73" ph="1">
        <f>Z6*33.183*LOOKUP(Z8,密度!$A$2:$A$50,密度!$L$2:$L$50)</f>
        <v>194754.34529999999</v>
      </c>
      <c r="AA7" s="73" ph="1">
        <f>AA6*33.183*LOOKUP(AA8,密度!$A$2:$A$50,密度!$D$2:$D$50)</f>
        <v>119267.66592000001</v>
      </c>
      <c r="AB7" s="73" ph="1">
        <f>AB6*20.428*LOOKUP(AB8,密度!$A$2:$A$50,密度!$D$2:$D$50)</f>
        <v>65256.420708800004</v>
      </c>
      <c r="AC7" s="73" ph="1">
        <f>AC6*51.53*LOOKUP(AC8,密度!$A$2:$A$50,密度!$Q$2:$Q$50)</f>
        <v>458377.81113780005</v>
      </c>
      <c r="AD7" s="73" ph="1">
        <f>AD6*20.428*LOOKUP(AD8,密度!$A$2:$A$50,密度!$V$2:$V$50)</f>
        <v>94130.589760000003</v>
      </c>
      <c r="AE7" s="73" ph="1">
        <f>AE6*20.428</f>
        <v>76605</v>
      </c>
    </row>
    <row r="8" spans="1:99" ph="1">
      <c r="B8" s="191" ph="1"/>
      <c r="C8" s="68" t="s" ph="1">
        <v>179</v>
      </c>
      <c r="D8" s="74">
        <v>15</v>
      </c>
      <c r="E8" s="74">
        <v>10</v>
      </c>
      <c r="F8" s="74">
        <v>13</v>
      </c>
      <c r="G8" s="74">
        <v>14</v>
      </c>
      <c r="H8" s="74">
        <v>11</v>
      </c>
      <c r="I8" s="74">
        <v>25</v>
      </c>
      <c r="J8" s="74">
        <v>25</v>
      </c>
      <c r="K8" s="74">
        <v>25</v>
      </c>
      <c r="L8" s="74">
        <v>25</v>
      </c>
      <c r="M8" s="74">
        <v>13</v>
      </c>
      <c r="N8" s="74">
        <v>16</v>
      </c>
      <c r="O8" s="74">
        <v>18</v>
      </c>
      <c r="P8" s="74">
        <v>13</v>
      </c>
      <c r="Q8" s="74">
        <v>15</v>
      </c>
      <c r="R8" s="74">
        <v>20</v>
      </c>
      <c r="S8" s="74">
        <v>9</v>
      </c>
      <c r="T8" s="74">
        <v>7</v>
      </c>
      <c r="U8" s="74">
        <v>12</v>
      </c>
      <c r="V8" s="74">
        <v>17</v>
      </c>
      <c r="W8" s="74">
        <v>14</v>
      </c>
      <c r="X8" s="74">
        <v>5</v>
      </c>
      <c r="Y8" s="74">
        <v>14</v>
      </c>
      <c r="Z8" s="74">
        <v>12</v>
      </c>
      <c r="AA8" s="74">
        <v>10</v>
      </c>
      <c r="AB8" s="74">
        <v>6</v>
      </c>
      <c r="AC8" s="74">
        <v>10</v>
      </c>
      <c r="AD8" s="74">
        <v>12</v>
      </c>
      <c r="AE8" s="74">
        <v>15</v>
      </c>
    </row>
    <row r="9" spans="1:99" ph="1">
      <c r="B9" s="191" ph="1">
        <v>0.66666666666666663</v>
      </c>
      <c r="C9" s="169" t="s" ph="1">
        <v>180</v>
      </c>
      <c r="D9" s="71">
        <v>1628</v>
      </c>
      <c r="E9" s="71">
        <v>0</v>
      </c>
      <c r="F9" s="71">
        <v>2811</v>
      </c>
      <c r="G9" s="71">
        <v>935</v>
      </c>
      <c r="H9" s="71">
        <v>4773</v>
      </c>
      <c r="I9" s="71">
        <v>0.09</v>
      </c>
      <c r="J9" s="71">
        <v>6.63</v>
      </c>
      <c r="K9" s="71">
        <v>7.38</v>
      </c>
      <c r="L9" s="71">
        <v>32.58</v>
      </c>
      <c r="M9" s="71">
        <v>1385</v>
      </c>
      <c r="N9" s="71">
        <v>4801</v>
      </c>
      <c r="O9" s="71">
        <v>1425</v>
      </c>
      <c r="P9" s="71">
        <v>5153</v>
      </c>
      <c r="Q9" s="71">
        <v>7165</v>
      </c>
      <c r="R9" s="71">
        <v>7114</v>
      </c>
      <c r="S9" s="71">
        <v>6587</v>
      </c>
      <c r="T9" s="71">
        <v>0</v>
      </c>
      <c r="U9" s="71">
        <v>0</v>
      </c>
      <c r="V9" s="71">
        <v>0</v>
      </c>
      <c r="W9" s="71">
        <v>0</v>
      </c>
      <c r="X9" s="71">
        <v>1597</v>
      </c>
      <c r="Y9" s="71">
        <v>7000</v>
      </c>
      <c r="Z9" s="71">
        <v>6647</v>
      </c>
      <c r="AA9" s="71">
        <v>4032</v>
      </c>
      <c r="AB9" s="71">
        <v>2935</v>
      </c>
      <c r="AC9" s="71">
        <v>9315</v>
      </c>
      <c r="AD9" s="71">
        <v>4780</v>
      </c>
      <c r="AE9" s="71">
        <v>3710</v>
      </c>
    </row>
    <row r="10" spans="1:99" s="72" customFormat="1" ht="22.5" ph="1">
      <c r="B10" s="191" ph="1"/>
      <c r="C10" s="169" t="s" ph="1">
        <v>178</v>
      </c>
      <c r="D10" s="73" ph="1">
        <f>D9*33.183*LOOKUP(D11,密度!$A$2:$A$50,密度!$Q$2:$Q$50)</f>
        <v>51515.306726399998</v>
      </c>
      <c r="E10" s="73" ph="1">
        <f>E9*51.53*LOOKUP(E11,密度!$A$2:$A$50,密度!$B$2:$B$50)</f>
        <v>0</v>
      </c>
      <c r="F10" s="73" ph="1">
        <f>F9*33.183*LOOKUP(F11,密度!$A$2:$A$50,密度!$C$2:$C$50)</f>
        <v>104078.93742539998</v>
      </c>
      <c r="G10" s="73" ph="1">
        <f xml:space="preserve"> (G9+2)*51.53*LOOKUP(G11,密度!$A$2:$A$50,密度!$B$2:$B$50)</f>
        <v>38008.857792000003</v>
      </c>
      <c r="H10" s="73" ph="1">
        <f>(H9)*51.53*LOOKUP(H11,密度!$A$2:$A$50,密度!$B$2:$B$50)</f>
        <v>194228.839293</v>
      </c>
      <c r="I10" s="73" ph="1">
        <f>I9*290.8*1.0267</f>
        <v>26.870792399999999</v>
      </c>
      <c r="J10" s="73" ph="1">
        <f>J9*290.8*0.7892</f>
        <v>1521.5807568</v>
      </c>
      <c r="K10" s="73" ph="1">
        <f>K9*290.8*1.1126</f>
        <v>2387.7553104000003</v>
      </c>
      <c r="L10" s="73" ph="1">
        <f>L9*290.8*0.777</f>
        <v>7361.5031279999994</v>
      </c>
      <c r="M10" s="73" ph="1">
        <f>M9*33.183*LOOKUP(M11,密度!$A$2:$A$50,密度!$D$2:$D$50)</f>
        <v>47594.575998000008</v>
      </c>
      <c r="N10" s="73" ph="1">
        <f>N9*33.183*LOOKUP(N11,密度!$A$2:$A$50,密度!$E$2:$E$50)</f>
        <v>126079.18678620001</v>
      </c>
      <c r="O10" s="73" ph="1">
        <f>O9*20.428*LOOKUP(O11,密度!$A$2:$A$50,密度!$C$2:$C$50)</f>
        <v>32405.14068</v>
      </c>
      <c r="P10" s="73" ph="1">
        <f>P9*51.53*LOOKUP(P11,密度!$A$2:$A$50,密度!$B$2:$B$50)</f>
        <v>209028.43564800001</v>
      </c>
      <c r="Q10" s="73" ph="1">
        <f>Q9*1.5*1.5*3.1416*LOOKUP(W11,密度!$A$2:$A$50,密度!$L$2:$L$50)</f>
        <v>47810.313935999999</v>
      </c>
      <c r="R10" s="73" ph="1">
        <f>R9*1.5*1.5*3.1416*LOOKUP(R11,密度!$A$2:$A$50,密度!$L$2:$L$50)</f>
        <v>47369.431216799996</v>
      </c>
      <c r="S10" s="73" ph="1">
        <f>S9*1.5*1.5*3.1416*LOOKUP(S11,密度!$A$2:$A$50,密度!$L$2:$L$50)</f>
        <v>44232.824789999999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10690.260827399999</v>
      </c>
      <c r="Y10" s="73" ph="1">
        <f>Y9*1.5*1.5*3.1416*LOOKUP(Y11,密度!$A$2:$A$50,密度!$L$2:$L$50)</f>
        <v>47352.551399999997</v>
      </c>
      <c r="Z10" s="73" ph="1">
        <f>Z9*33.183*LOOKUP(Z11,密度!$A$2:$A$50,密度!$L$2:$L$50)</f>
        <v>208877.32874699999</v>
      </c>
      <c r="AA10" s="73" ph="1">
        <f>AA9*33.183*LOOKUP(AA11,密度!$A$2:$A$50,密度!$D$2:$D$50)</f>
        <v>138677.331744</v>
      </c>
      <c r="AB10" s="73" ph="1">
        <f>AB9*20.428*LOOKUP(AB11,密度!$A$2:$A$50,密度!$D$2:$D$50)</f>
        <v>62090.620008000005</v>
      </c>
      <c r="AC10" s="73" ph="1">
        <f>AC9*51.53*LOOKUP(AC11,密度!$A$2:$A$50,密度!$Q$2:$Q$50)</f>
        <v>458181.06135300006</v>
      </c>
      <c r="AD10" s="73" ph="1">
        <f>AD9*20.428*LOOKUP(AD11,密度!$A$2:$A$50,密度!$V$2:$V$50)</f>
        <v>94130.589760000003</v>
      </c>
      <c r="AE10" s="73" ph="1">
        <f>AE9*20.428</f>
        <v>75787.88</v>
      </c>
    </row>
    <row r="11" spans="1:99" ph="1">
      <c r="A11" s="64" t="s" ph="1">
        <v>162</v>
      </c>
      <c r="B11" s="191" ph="1"/>
      <c r="C11" s="169" t="s" ph="1">
        <v>179</v>
      </c>
      <c r="D11" s="74">
        <v>16</v>
      </c>
      <c r="E11" s="74">
        <v>15</v>
      </c>
      <c r="F11" s="74">
        <v>15</v>
      </c>
      <c r="G11" s="74">
        <v>16</v>
      </c>
      <c r="H11" s="74">
        <v>13</v>
      </c>
      <c r="I11" s="74">
        <v>25</v>
      </c>
      <c r="J11" s="74">
        <v>25</v>
      </c>
      <c r="K11" s="74">
        <v>25</v>
      </c>
      <c r="L11" s="74">
        <v>25</v>
      </c>
      <c r="M11" s="74">
        <v>15</v>
      </c>
      <c r="N11" s="74">
        <v>18</v>
      </c>
      <c r="O11" s="74">
        <v>19</v>
      </c>
      <c r="P11" s="74">
        <v>16</v>
      </c>
      <c r="Q11" s="74">
        <v>17</v>
      </c>
      <c r="R11" s="74">
        <v>20</v>
      </c>
      <c r="S11" s="74">
        <v>12</v>
      </c>
      <c r="T11" s="74">
        <v>13</v>
      </c>
      <c r="U11" s="74">
        <v>15</v>
      </c>
      <c r="V11" s="74">
        <v>20</v>
      </c>
      <c r="W11" s="74">
        <v>18</v>
      </c>
      <c r="X11" s="74">
        <v>15</v>
      </c>
      <c r="Y11" s="74">
        <v>5</v>
      </c>
      <c r="Z11" s="74">
        <v>15</v>
      </c>
      <c r="AA11" s="74">
        <v>14</v>
      </c>
      <c r="AB11" s="74">
        <v>15</v>
      </c>
      <c r="AC11" s="74">
        <v>7</v>
      </c>
      <c r="AD11" s="74">
        <v>13</v>
      </c>
      <c r="AE11" s="74">
        <v>14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249" t="s" ph="1">
        <v>649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9" t="s" ph="1">
        <v>177</v>
      </c>
      <c r="D15" s="78">
        <v>2948</v>
      </c>
      <c r="E15" s="78">
        <v>6207</v>
      </c>
      <c r="F15" s="78">
        <v>4131</v>
      </c>
      <c r="G15" s="78">
        <v>4362</v>
      </c>
      <c r="H15" s="78">
        <v>5300</v>
      </c>
      <c r="I15" s="78">
        <v>5206</v>
      </c>
      <c r="J15" s="78">
        <v>5245</v>
      </c>
      <c r="K15" s="78">
        <v>4050</v>
      </c>
      <c r="L15" s="78">
        <v>5111</v>
      </c>
      <c r="M15" s="78">
        <v>5677</v>
      </c>
      <c r="N15" s="78">
        <v>494</v>
      </c>
      <c r="O15" s="78">
        <v>804</v>
      </c>
      <c r="P15" s="78">
        <v>6298</v>
      </c>
      <c r="Q15" s="78">
        <v>5106</v>
      </c>
      <c r="R15" s="78">
        <v>7327</v>
      </c>
      <c r="S15" s="78">
        <v>6377</v>
      </c>
      <c r="T15" s="78">
        <v>6464</v>
      </c>
      <c r="U15" s="78">
        <v>2540</v>
      </c>
      <c r="V15" s="78">
        <v>3198</v>
      </c>
      <c r="W15" s="71">
        <v>1653</v>
      </c>
      <c r="X15" s="78">
        <v>450</v>
      </c>
      <c r="Y15" s="106">
        <v>-9900</v>
      </c>
      <c r="Z15" s="78">
        <v>0</v>
      </c>
      <c r="AA15" s="78">
        <v>10</v>
      </c>
      <c r="AB15" s="78" ph="1">
        <v>6930</v>
      </c>
      <c r="AC15" s="78" ph="1">
        <v>2137</v>
      </c>
      <c r="AD15" s="78">
        <v>54.25</v>
      </c>
      <c r="AE15" s="78">
        <v>5.31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9" t="s" ph="1">
        <v>178</v>
      </c>
      <c r="D16" s="73" ph="1">
        <f>D15*7.0686*LOOKUP(D17,密度!$A$2:$A$50,密度!$L$2:$L$50)</f>
        <v>19733.806461600001</v>
      </c>
      <c r="E16" s="73" ph="1">
        <f>E15*7.0686*LOOKUP(E17,密度!$A$2:$A$50,密度!$L$2:$L$50)</f>
        <v>41549.435789399999</v>
      </c>
      <c r="F16" s="73" ph="1">
        <f>F15*9.0746*LOOKUP(F17,密度!$A$2:$A$50,密度!$L$2:$L$50)</f>
        <v>35650.301142599994</v>
      </c>
      <c r="G16" s="73" ph="1">
        <f>G15*9.0746*LOOKUP(G17,密度!$A$2:$A$50,密度!$B$2:$B$50)</f>
        <v>31259.015086439998</v>
      </c>
      <c r="H16" s="73" ph="1">
        <f>H15*9.0746*LOOKUP(H17,密度!$A$2:$A$50,密度!$L$2:$L$50)</f>
        <v>45786.801760000002</v>
      </c>
      <c r="I16" s="73" ph="1">
        <f>I15*9.0746*LOOKUP(I17,密度!$A$2:$A$50,密度!$U$2:$U$50)</f>
        <v>48565.153892800001</v>
      </c>
      <c r="J16" s="73" ph="1">
        <f>J15*9.0746*LOOKUP(J17,密度!$A$2:$A$50,密度!$L$2:$L$50)</f>
        <v>45216.463150000003</v>
      </c>
      <c r="K16" s="73" ph="1">
        <f>K15*9.0746*LOOKUP(K17,密度!$A$2:$A$50,密度!$C$2:$C$50)</f>
        <v>41096.231765999997</v>
      </c>
      <c r="L16" s="73" ph="1">
        <f>L15*9.0746*LOOKUP(L17,密度!$A$2:$A$50,密度!$E$2:$E$50)</f>
        <v>37071.758283579999</v>
      </c>
      <c r="M16" s="73" ph="1">
        <f>M15*9.0746*LOOKUP(M17,密度!$A$2:$A$50,密度!$M$2:$M$50)</f>
        <v>45349.978647260003</v>
      </c>
      <c r="N16" s="73" ph="1">
        <f>N15*9.0746*LOOKUP(N17,密度!$A$2:$A$50,密度!$M$2:$M$50)</f>
        <v>3946.2549677199995</v>
      </c>
      <c r="O16" s="73" ph="1">
        <f>O15*9.0746*LOOKUP(O17,密度!$A$2:$A$50,密度!$G$2:$G$50)</f>
        <v>7100.4461788799999</v>
      </c>
      <c r="P16" s="73" ph="1">
        <f ca="1">P15*9.0746*LOOKUP(P17,密度!$A$2:$A$51,密度!$Q$2:$Q$50)</f>
        <v>54364.536011884004</v>
      </c>
      <c r="Q16" s="73" ph="1">
        <f>Q15*9.0746*LOOKUP(Q17,密度!$A$2:$A$50,密度!$Q$2:$Q$50)</f>
        <v>44228.522700504</v>
      </c>
      <c r="R16" s="73" ph="1">
        <f>MAX(R15*9.0746*LOOKUP(R17,密度!$A$2:$A$50,密度!$B$2:$B$50),0)</f>
        <v>52393.800229600005</v>
      </c>
      <c r="S16" s="73" ph="1">
        <f>S15*9.0746*LOOKUP(S17,密度!$A$2:$A$50,密度!$Q$2:$Q$50)</f>
        <v>55238.011997868009</v>
      </c>
      <c r="T16" s="73" ph="1">
        <f>T15*9.0746*LOOKUP(T17,密度!$A$2:$A$50,密度!$O$2:$O$50)</f>
        <v>54786.772249600006</v>
      </c>
      <c r="U16" s="73" ph="1">
        <f>U15*9.0746*LOOKUP(U17,密度!$A$2:$A$50,密度!$H$2:$H$50)</f>
        <v>21429.1052748</v>
      </c>
      <c r="V16" s="73" ph="1">
        <f>MAX(5600*LOOKUP(V17,密度!$A$2:$A$50,密度!$Q$2:$Q$50)+V15*9.0476*LOOKUP(V17,密度!$A$2:$A$50,密度!$Q$2:$Q$50),0)</f>
        <v>32964.298940592002</v>
      </c>
      <c r="W16" s="73" ph="1">
        <f>MAX(5600*LOOKUP(W17,密度!$A$2:$A$50,密度!$Q$2:$Q$50)+W15*9.0476*LOOKUP(W17,密度!$A$2:$A$50,密度!$Q$2:$Q$50),0)</f>
        <v>19621.221459911998</v>
      </c>
      <c r="X16" s="73" ph="1">
        <f>MAX(5600*LOOKUP(X17,密度!$A$2:$A$50,密度!$I$2:$I$50)+X15*9.0476*LOOKUP(X17,密度!$A$2:$A$50,密度!$I$2:$I$50),0)</f>
        <v>10036.999675999999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71.898055800000009</v>
      </c>
      <c r="AB16" s="73" ph="1">
        <f>AB15*9.0746*LOOKUP(AB17,密度!$A$2:$A$50,密度!$L$2:$L$50)</f>
        <v>59553.968165999999</v>
      </c>
      <c r="AC16" s="73" ph="1">
        <f>AC15*9.0746*LOOKUP(AC17,密度!$A$2:$A$50,密度!$L$2:$L$50)</f>
        <v>18461.584030400001</v>
      </c>
      <c r="AD16" s="73" ph="1">
        <f>AD15*268.68*LOOKUP(AD17,密度!$A$2:$A$50,密度!B2:B50)+IF(AD15&lt;=0,0,1566*LOOKUP(AD17,密度!$A$2:$A$50,密度!B2:B50))</f>
        <v>12584.217444</v>
      </c>
      <c r="AE16" s="73" ph="1">
        <f>AE15*268.68*LOOKUP(AE17,密度!$A$2:$A$50,密度!B2:B50)+IF(AE15&lt;=0,0,1566*LOOKUP(AE17,密度!$A$2:$A$50,密度!B2:B50))</f>
        <v>2333.1017476799998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15</v>
      </c>
      <c r="E17" s="74">
        <v>15</v>
      </c>
      <c r="F17" s="74">
        <v>11</v>
      </c>
      <c r="G17" s="74">
        <v>13</v>
      </c>
      <c r="H17" s="74">
        <v>10</v>
      </c>
      <c r="I17" s="74">
        <v>13</v>
      </c>
      <c r="J17" s="74">
        <v>12</v>
      </c>
      <c r="K17" s="74">
        <v>12</v>
      </c>
      <c r="L17" s="74">
        <v>12</v>
      </c>
      <c r="M17" s="74">
        <v>15</v>
      </c>
      <c r="N17" s="74">
        <v>12</v>
      </c>
      <c r="O17" s="74">
        <v>13</v>
      </c>
      <c r="P17" s="74">
        <v>19</v>
      </c>
      <c r="Q17" s="74">
        <v>15</v>
      </c>
      <c r="R17" s="74">
        <v>15</v>
      </c>
      <c r="S17" s="74">
        <v>12</v>
      </c>
      <c r="T17" s="74">
        <v>14</v>
      </c>
      <c r="U17" s="74">
        <v>10</v>
      </c>
      <c r="V17" s="74">
        <v>10</v>
      </c>
      <c r="W17" s="74">
        <v>10</v>
      </c>
      <c r="X17" s="74">
        <v>29</v>
      </c>
      <c r="Y17" s="108">
        <v>29</v>
      </c>
      <c r="Z17" s="74">
        <v>13</v>
      </c>
      <c r="AA17" s="74">
        <v>10</v>
      </c>
      <c r="AB17" s="74">
        <v>15</v>
      </c>
      <c r="AC17" s="74">
        <v>10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4768</v>
      </c>
      <c r="E18" s="71">
        <v>5700</v>
      </c>
      <c r="F18" s="71">
        <v>1852</v>
      </c>
      <c r="G18" s="71">
        <v>4420</v>
      </c>
      <c r="H18" s="71">
        <v>5301</v>
      </c>
      <c r="I18" s="71">
        <v>5206</v>
      </c>
      <c r="J18" s="71">
        <v>5246</v>
      </c>
      <c r="K18" s="71">
        <v>4050</v>
      </c>
      <c r="L18" s="71">
        <v>5113</v>
      </c>
      <c r="M18" s="71">
        <v>3380</v>
      </c>
      <c r="N18" s="71">
        <v>1327</v>
      </c>
      <c r="O18" s="71">
        <v>803</v>
      </c>
      <c r="P18" s="71">
        <v>6992</v>
      </c>
      <c r="Q18" s="71">
        <v>3410</v>
      </c>
      <c r="R18" s="71">
        <v>7327</v>
      </c>
      <c r="S18" s="71">
        <v>6379</v>
      </c>
      <c r="T18" s="71">
        <v>5609</v>
      </c>
      <c r="U18" s="71">
        <v>2540</v>
      </c>
      <c r="V18" s="71">
        <v>4567</v>
      </c>
      <c r="W18" s="71">
        <v>2315</v>
      </c>
      <c r="X18" s="71">
        <v>450</v>
      </c>
      <c r="Y18" s="109">
        <v>-9900</v>
      </c>
      <c r="Z18" s="71">
        <v>0</v>
      </c>
      <c r="AA18" s="71">
        <v>10</v>
      </c>
      <c r="AB18" s="71">
        <v>6930</v>
      </c>
      <c r="AC18" s="71">
        <v>2137</v>
      </c>
      <c r="AD18" s="71">
        <v>84.43</v>
      </c>
      <c r="AE18" s="71">
        <v>24.96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9" t="s" ph="1">
        <v>178</v>
      </c>
      <c r="D19" s="73" ph="1">
        <f>D18*7.0686*LOOKUP(D20,密度!$A$2:$A$50,密度!$L$2:$L$50)</f>
        <v>31815.712051199996</v>
      </c>
      <c r="E19" s="73" ph="1">
        <f>E18*7.0686*LOOKUP(E20,密度!$A$2:$A$50,密度!$L$2:$L$50)</f>
        <v>38155.595939999992</v>
      </c>
      <c r="F19" s="73" ph="1">
        <f>F18*9.0746*LOOKUP(F20,密度!$A$2:$A$50,密度!$L$2:$L$50)</f>
        <v>15915.432762400002</v>
      </c>
      <c r="G19" s="73" ph="1">
        <f>G18*9.0746*LOOKUP(G20,密度!$A$2:$A$50,密度!$B$2:$B$50)</f>
        <v>31514.2164324</v>
      </c>
      <c r="H19" s="73" ph="1">
        <f>H18*9.0746*LOOKUP(H20,密度!$A$2:$A$50,密度!$L$2:$L$50)</f>
        <v>45554.918506200003</v>
      </c>
      <c r="I19" s="73" ph="1">
        <f>I18*9.0746*LOOKUP(I20,密度!$A$2:$A$50,密度!$U$2:$U$50)</f>
        <v>48565.153892800001</v>
      </c>
      <c r="J19" s="73" ph="1">
        <f>J18*9.0746*LOOKUP(J20,密度!$A$2:$A$50,密度!$L$2:$L$50)</f>
        <v>45082.267965200001</v>
      </c>
      <c r="K19" s="73" ph="1">
        <f>K18*9.0746*LOOKUP(K20,密度!$A$2:$A$50,密度!$C$2:$C$50)</f>
        <v>39882.676433399996</v>
      </c>
      <c r="L19" s="73" ph="1">
        <f>L18*9.0746*LOOKUP(L20,密度!$A$2:$A$50,密度!$E$2:$E$50)</f>
        <v>37457.452377540001</v>
      </c>
      <c r="M19" s="73" ph="1">
        <f>M18*9.0746*LOOKUP(M20,密度!$A$2:$A$50,密度!$M$2:$M$50)</f>
        <v>27000.691884399999</v>
      </c>
      <c r="N19" s="73" ph="1">
        <f>N18*9.0746*LOOKUP(N20,密度!$A$2:$A$50,密度!$M$2:$M$50)</f>
        <v>10600.56749426</v>
      </c>
      <c r="O19" s="73" ph="1">
        <f>O18*9.0746*LOOKUP(O20,密度!$A$2:$A$50,密度!$G$2:$G$50)</f>
        <v>7053.7228783999999</v>
      </c>
      <c r="P19" s="73" ph="1">
        <f ca="1">P18*9.0746*LOOKUP(P20,密度!$A$2:$A$51,密度!$Q$2:$Q$50)</f>
        <v>60301.233889216004</v>
      </c>
      <c r="Q19" s="73" ph="1">
        <f>Q18*9.0746*LOOKUP(Q20,密度!$A$2:$A$50,密度!$Q$2:$Q$50)</f>
        <v>29537.654212440004</v>
      </c>
      <c r="R19" s="73" ph="1">
        <f>MAX(R18*9.0746*LOOKUP(R20,密度!$A$2:$A$50,密度!$B$2:$B$50),0)</f>
        <v>52187.682487580008</v>
      </c>
      <c r="S19" s="73" ph="1">
        <f>S18*9.0746*LOOKUP(S20,密度!$A$2:$A$50,密度!$Q$2:$Q$50)</f>
        <v>55255.336135236008</v>
      </c>
      <c r="T19" s="73" ph="1">
        <f>T18*9.0746*LOOKUP(T20,密度!$A$2:$A$50,密度!$O$2:$O$50)</f>
        <v>47540.068927600005</v>
      </c>
      <c r="U19" s="73" ph="1">
        <f>U18*9.0746*LOOKUP(U20,密度!$A$2:$A$50,密度!$H$2:$H$50)</f>
        <v>21383.006306799998</v>
      </c>
      <c r="V19" s="73" ph="1">
        <f>MAX(5600*LOOKUP(V20,密度!$A$2:$A$50,密度!$Q$2:$Q$50)+V18*9.0476*LOOKUP(V20,密度!$A$2:$A$50,密度!$Q$2:$Q$50),0)</f>
        <v>44787.388306968001</v>
      </c>
      <c r="W19" s="73" ph="1">
        <f>MAX(5600*LOOKUP(W20,密度!$A$2:$A$50,密度!$Q$2:$Q$50)+W18*9.0476*LOOKUP(W20,密度!$A$2:$A$50,密度!$Q$2:$Q$50),0)</f>
        <v>25271.29013994</v>
      </c>
      <c r="X19" s="73" ph="1">
        <f>MAX(5600*LOOKUP(X20,密度!$A$2:$A$50,密度!$I$2:$I$50)+X18*9.0476*LOOKUP(X20,密度!$A$2:$A$50,密度!$I$2:$I$50),0)</f>
        <v>10026.361113999999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71.6621162</v>
      </c>
      <c r="AB19" s="73" ph="1">
        <f>AB18*9.0746*LOOKUP(AB20,密度!$A$2:$A$50,密度!$L$2:$L$50)</f>
        <v>59553.968165999999</v>
      </c>
      <c r="AC19" s="73" ph="1">
        <f>AC18*9.0746*LOOKUP(AC20,密度!$A$2:$A$50,密度!$L$2:$L$50)</f>
        <v>18403.4067698</v>
      </c>
      <c r="AD19" s="73" ph="1">
        <f>AD18*268.68*LOOKUP(AD20,密度!$A$2:$A$50,密度!B5:B53)+IF(AD18&lt;=0,0,1566*LOOKUP(AD20,密度!$A$2:$A$50,密度!B5:B53))</f>
        <v>18842.7569148</v>
      </c>
      <c r="AE19" s="73" ph="1">
        <f>AE18*268.68*LOOKUP(AE20,密度!$A$2:$A$50,密度!B5:B53)+IF(AE18&lt;=0,0,1566*LOOKUP(AE20,密度!$A$2:$A$50,密度!B5:B53))</f>
        <v>6427.5404256000002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18</v>
      </c>
      <c r="E20" s="81">
        <v>15</v>
      </c>
      <c r="F20" s="81">
        <v>15</v>
      </c>
      <c r="G20" s="81">
        <v>18</v>
      </c>
      <c r="H20" s="81">
        <v>15</v>
      </c>
      <c r="I20" s="81">
        <v>11</v>
      </c>
      <c r="J20" s="81">
        <v>15</v>
      </c>
      <c r="K20" s="81">
        <v>151</v>
      </c>
      <c r="L20" s="81">
        <v>5</v>
      </c>
      <c r="M20" s="81">
        <v>17</v>
      </c>
      <c r="N20" s="81">
        <v>17</v>
      </c>
      <c r="O20" s="81">
        <v>18</v>
      </c>
      <c r="P20" s="81">
        <v>20</v>
      </c>
      <c r="Q20" s="81">
        <v>15</v>
      </c>
      <c r="R20" s="81">
        <v>19</v>
      </c>
      <c r="S20" s="81">
        <v>15</v>
      </c>
      <c r="T20" s="81">
        <v>15</v>
      </c>
      <c r="U20" s="81">
        <v>12</v>
      </c>
      <c r="V20" s="81">
        <v>15</v>
      </c>
      <c r="W20" s="81">
        <v>18</v>
      </c>
      <c r="X20" s="81">
        <v>30</v>
      </c>
      <c r="Y20" s="110">
        <v>30</v>
      </c>
      <c r="Z20" s="81">
        <v>16</v>
      </c>
      <c r="AA20" s="81">
        <v>13</v>
      </c>
      <c r="AB20" s="81">
        <v>15</v>
      </c>
      <c r="AC20" s="81">
        <v>13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646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9" t="s" ph="1">
        <v>177</v>
      </c>
      <c r="D24" s="71">
        <v>5.39</v>
      </c>
      <c r="E24" s="71">
        <v>4.9400000000000004</v>
      </c>
      <c r="F24" s="71">
        <v>508</v>
      </c>
      <c r="G24" s="71">
        <v>3573</v>
      </c>
      <c r="H24" s="71">
        <v>3562</v>
      </c>
      <c r="I24" s="71">
        <v>3016</v>
      </c>
      <c r="J24" s="71">
        <v>4917</v>
      </c>
      <c r="K24" s="71">
        <v>4712</v>
      </c>
      <c r="L24" s="71">
        <v>5530</v>
      </c>
      <c r="M24" s="71">
        <v>5061</v>
      </c>
      <c r="N24" s="71">
        <v>1703</v>
      </c>
      <c r="O24" s="71">
        <v>5715</v>
      </c>
      <c r="P24" s="71">
        <v>2699</v>
      </c>
      <c r="Q24" s="90">
        <v>1589</v>
      </c>
      <c r="R24" s="71">
        <v>2012</v>
      </c>
      <c r="S24" s="71">
        <v>2972</v>
      </c>
      <c r="T24" s="71">
        <v>180</v>
      </c>
      <c r="U24" s="71">
        <v>4504</v>
      </c>
      <c r="V24" s="71">
        <v>4262</v>
      </c>
      <c r="W24" s="71">
        <v>1766</v>
      </c>
      <c r="X24" s="71">
        <v>7762</v>
      </c>
      <c r="Y24" s="71">
        <v>5352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2853.6496962479996</v>
      </c>
      <c r="E25" s="91" ph="1">
        <f>E24*268.68*LOOKUP(E26,密度!$A$2:$A$50,密度!$C$2:$C$50)+IF(E24&lt;=0,0,1566*LOOKUP(E26,密度!$A$2:$A$50,密度!$C$2:$C$50))</f>
        <v>3208.3573048799999</v>
      </c>
      <c r="F25" s="91" ph="1">
        <f>F24*11.702*LOOKUP(F26,密度!$A$2:$A$50,密度!$Q$2:$Q$50)</f>
        <v>5674.3737566400005</v>
      </c>
      <c r="G25" s="91" ph="1">
        <f>G24*18.322*LOOKUP(G26,密度!$A$2:$A$50,密度!$B$2:$B$50)</f>
        <v>51697.320388199994</v>
      </c>
      <c r="H25" s="91" ph="1">
        <f>H24*18.322*LOOKUP(H26,密度!$A$2:$A$50,密度!$B$2:$B$50)</f>
        <v>51427.215631999999</v>
      </c>
      <c r="I25" s="91" ph="1">
        <f>I24*18.322*LOOKUP(I26,密度!$A$2:$A$50,密度!$Q$2:$Q$50)</f>
        <v>52747.07095008</v>
      </c>
      <c r="J25" s="91" ph="1">
        <f>J24*18.322*LOOKUP(J26,密度!$A$2:$A$50,密度!$Q$2:$Q$50)</f>
        <v>85993.81560396</v>
      </c>
      <c r="K25" s="91" ph="1">
        <f>K24*18.322*LOOKUP(K26,密度!$A$2:$A$50,密度!$Q$2:$Q$50)</f>
        <v>82408.553818560002</v>
      </c>
      <c r="L25" s="91" ph="1">
        <f>L24*18.322*LOOKUP(L26,密度!$A$2:$A$50,密度!$Q$2:$Q$50)</f>
        <v>96714.622796399999</v>
      </c>
      <c r="M25" s="91" ph="1">
        <f>M24*18.322*LOOKUP(M26,密度!$A$2:$A$50,密度!$Q$2:$Q$50)</f>
        <v>88512.243394680001</v>
      </c>
      <c r="N25" s="91" ph="1">
        <f>N24*18.322*LOOKUP(N26,密度!$A$2:$A$50,密度!$Q$2:$Q$50)</f>
        <v>29783.90644164</v>
      </c>
      <c r="O25" s="91" ph="1">
        <f>O24*18.322*LOOKUP(O26,密度!$A$2:$A$50,密度!$C$2:$C$50)</f>
        <v>117086.979186</v>
      </c>
      <c r="P25" s="91" ph="1">
        <f>P24*11.702*LOOKUP(P26,密度!$A$2:$A$50,密度!$B$2:$B$50)</f>
        <v>24970.0716388</v>
      </c>
      <c r="Q25" s="92" ph="1">
        <f>Q24*18.322*LOOKUP(Q26,密度!$A$2:$A$50,密度!$B$2:$B$50)</f>
        <v>22991.055722599998</v>
      </c>
      <c r="R25" s="91" ph="1">
        <f>R24*35.891*LOOKUP(R26,密度!$A$2:$A$50,密度!$C$2:$C$50)</f>
        <v>80748.2321944</v>
      </c>
      <c r="S25" s="91" ph="1">
        <f>S24*35.891*LOOKUP(S26,密度!$A$2:$A$50,密度!$B$2:$B$50)</f>
        <v>84331.761911199996</v>
      </c>
      <c r="T25" s="91" ph="1">
        <f>T24*35.891*LOOKUP(T26,密度!$A$2:$A$50,密度!$Q$2:$Q$50)</f>
        <v>6166.6911252000009</v>
      </c>
      <c r="U25" s="91" ph="1">
        <f>U24*35.891</f>
        <v>161653.06399999998</v>
      </c>
      <c r="V25" s="91" ph="1">
        <f>V24*47.051*LOOKUP(V26,密度!$A$2:$A$50,密度!$B$2:$B$50)</f>
        <v>158018.71325599999</v>
      </c>
      <c r="W25" s="91" ph="1">
        <f>W24*47.051*LOOKUP(W26,密度!$A$2:$A$50,密度!$B$2:$B$50)</f>
        <v>65476.548008000005</v>
      </c>
      <c r="X25" s="91" ph="1">
        <f>X24*47.051*LOOKUP(X26,密度!$A$2:$A$61,密度!$I$2:$I$61)</f>
        <v>370432.36302660004</v>
      </c>
      <c r="Y25" s="91" ph="1">
        <f>Y24*47.051*LOOKUP(Y26,密度!$A$2:$A$50,密度!$L$2:$L$50)</f>
        <v>238218.83659200001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13</v>
      </c>
      <c r="G26" s="74">
        <v>13</v>
      </c>
      <c r="H26" s="74">
        <v>15</v>
      </c>
      <c r="I26" s="74">
        <v>15</v>
      </c>
      <c r="J26" s="74">
        <v>13</v>
      </c>
      <c r="K26" s="74">
        <v>14</v>
      </c>
      <c r="L26" s="74">
        <v>14</v>
      </c>
      <c r="M26" s="74">
        <v>13</v>
      </c>
      <c r="N26" s="74">
        <v>14</v>
      </c>
      <c r="O26" s="74">
        <v>12</v>
      </c>
      <c r="P26" s="74">
        <v>12</v>
      </c>
      <c r="Q26" s="93">
        <v>13</v>
      </c>
      <c r="R26" s="74">
        <v>12</v>
      </c>
      <c r="S26" s="74">
        <v>12</v>
      </c>
      <c r="T26" s="74">
        <v>12</v>
      </c>
      <c r="U26" s="74">
        <v>13</v>
      </c>
      <c r="V26" s="74">
        <v>15</v>
      </c>
      <c r="W26" s="74">
        <v>15</v>
      </c>
      <c r="X26" s="74">
        <v>50</v>
      </c>
      <c r="Y26" s="74">
        <v>16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9" t="s" ph="1">
        <v>180</v>
      </c>
      <c r="D27" s="71">
        <v>5.4</v>
      </c>
      <c r="E27" s="71">
        <v>4.91</v>
      </c>
      <c r="F27" s="71">
        <v>507</v>
      </c>
      <c r="G27" s="71">
        <v>3144</v>
      </c>
      <c r="H27" s="71">
        <v>3412</v>
      </c>
      <c r="I27" s="71">
        <v>2135</v>
      </c>
      <c r="J27" s="71">
        <v>4916</v>
      </c>
      <c r="K27" s="71">
        <v>4711</v>
      </c>
      <c r="L27" s="71">
        <v>5528</v>
      </c>
      <c r="M27" s="71">
        <v>5061</v>
      </c>
      <c r="N27" s="71">
        <v>2841</v>
      </c>
      <c r="O27" s="71">
        <v>5713</v>
      </c>
      <c r="P27" s="71">
        <v>2698</v>
      </c>
      <c r="Q27" s="90">
        <v>1798</v>
      </c>
      <c r="R27" s="71">
        <v>2010</v>
      </c>
      <c r="S27" s="71">
        <v>2969</v>
      </c>
      <c r="T27" s="71">
        <v>179</v>
      </c>
      <c r="U27" s="71">
        <v>4302</v>
      </c>
      <c r="V27" s="71">
        <v>4948</v>
      </c>
      <c r="W27" s="71">
        <v>2694</v>
      </c>
      <c r="X27" s="71">
        <v>7637</v>
      </c>
      <c r="Y27" s="71">
        <v>4124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9" t="s" ph="1">
        <v>178</v>
      </c>
      <c r="D28" s="91" ph="1">
        <f>D27*268.68*LOOKUP(D29,密度!$A$2:$A$50,密度!$Q$2:$Q$50)+IF(D27&lt;=0,0,1566*LOOKUP(D29,密度!$A$2:$A$50,密度!$Q$2:$Q$50))</f>
        <v>2856.1933972799998</v>
      </c>
      <c r="E28" s="91" ph="1">
        <f>E27*268.68*LOOKUP(E29,密度!$A$2:$A$50,密度!$C$2:$C$50)+IF(E27&lt;=0,0,1566*LOOKUP(E29,密度!$A$2:$A$50,密度!$C$2:$C$50))</f>
        <v>3199.4191273200004</v>
      </c>
      <c r="F28" s="91" ph="1">
        <f>F27*11.702*LOOKUP(F29,密度!$A$2:$A$50,密度!$Q$2:$Q$50)</f>
        <v>5663.2037295600003</v>
      </c>
      <c r="G28" s="91" ph="1">
        <f>G27*18.322*LOOKUP(G29,密度!$A$2:$A$50,密度!$B$2:$B$50)</f>
        <v>45392.241984</v>
      </c>
      <c r="H28" s="91" ph="1">
        <f>H27*18.322*LOOKUP(H29,密度!$A$2:$A$50,密度!$B$2:$B$50)</f>
        <v>49211.543500799999</v>
      </c>
      <c r="I28" s="91" ph="1">
        <f>I27*18.322*LOOKUP(I29,密度!$A$2:$A$50,密度!$Q$2:$Q$50)</f>
        <v>37339.189813800003</v>
      </c>
      <c r="J28" s="91" ph="1">
        <f>J27*18.322*LOOKUP(J29,密度!$A$2:$A$50,密度!$Q$2:$Q$50)</f>
        <v>85976.326522079995</v>
      </c>
      <c r="K28" s="91" ph="1">
        <f>K27*18.322*LOOKUP(K29,密度!$A$2:$A$50,密度!$Q$2:$Q$50)</f>
        <v>82309.928691199995</v>
      </c>
      <c r="L28" s="91" ph="1">
        <f>L27*18.322*LOOKUP(L29,密度!$A$2:$A$50,密度!$Q$2:$Q$50)</f>
        <v>96584.437657599992</v>
      </c>
      <c r="M28" s="91" ph="1">
        <f>M27*18.322*LOOKUP(M29,密度!$A$2:$A$50,密度!$Q$2:$Q$50)</f>
        <v>88350.897297599993</v>
      </c>
      <c r="N28" s="91" ph="1">
        <f>N27*18.322*LOOKUP(N29,密度!$A$2:$A$50,密度!$Q$2:$Q$50)</f>
        <v>49595.909745599994</v>
      </c>
      <c r="O28" s="91" ph="1">
        <f>O27*18.322*LOOKUP(O29,密度!$A$2:$A$50,密度!$C$2:$C$50)</f>
        <v>116794.78725879999</v>
      </c>
      <c r="P28" s="91" ph="1">
        <f>P27*11.702*LOOKUP(P29,密度!$A$2:$A$50,密度!$B$2:$B$50)</f>
        <v>24853.475251200001</v>
      </c>
      <c r="Q28" s="92" ph="1">
        <f>Q27*18.322*LOOKUP(Q29,密度!$A$2:$A$50,密度!$B$2:$B$50)</f>
        <v>25932.6949632</v>
      </c>
      <c r="R28" s="91" ph="1">
        <f>R27*35.891*LOOKUP(R29,密度!$A$2:$A$50,密度!$C$2:$C$50)</f>
        <v>80494.827378000002</v>
      </c>
      <c r="S28" s="91" ph="1">
        <f>S27*35.891*LOOKUP(S29,密度!$A$2:$A$50,密度!$B$2:$B$50)</f>
        <v>83969.578652000011</v>
      </c>
      <c r="T28" s="91" ph="1">
        <f>T27*35.891*LOOKUP(T29,密度!$A$2:$A$50,密度!$Q$2:$Q$50)</f>
        <v>6132.4317300599996</v>
      </c>
      <c r="U28" s="91" ph="1">
        <f>U27*35.891</f>
        <v>154403.08199999999</v>
      </c>
      <c r="V28" s="91" ph="1">
        <f>V27*47.051*LOOKUP(V29,密度!$A$2:$A$50,密度!$B$2:$B$50)</f>
        <v>183266.73154559999</v>
      </c>
      <c r="W28" s="91" ph="1">
        <f>W27*47.051*LOOKUP(W29,密度!$A$2:$A$50,密度!$B$2:$B$50)</f>
        <v>99591.713065799995</v>
      </c>
      <c r="X28" s="91" ph="1">
        <f>X27*47.051*LOOKUP(X29,密度!$A$2:$A$61,密度!$I$2:$I$61)</f>
        <v>364466.8843641</v>
      </c>
      <c r="Y28" s="91" ph="1">
        <f>Y27*47.051*LOOKUP(Y29,密度!$A$2:$A$50,密度!$L$2:$L$50)</f>
        <v>183172.17785600002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9" t="s" ph="1">
        <v>179</v>
      </c>
      <c r="D29" s="74">
        <v>25</v>
      </c>
      <c r="E29" s="74">
        <v>25</v>
      </c>
      <c r="F29" s="74">
        <v>15</v>
      </c>
      <c r="G29" s="74">
        <v>15</v>
      </c>
      <c r="H29" s="74">
        <v>16</v>
      </c>
      <c r="I29" s="74">
        <v>15</v>
      </c>
      <c r="J29" s="74">
        <v>15</v>
      </c>
      <c r="K29" s="74">
        <v>16</v>
      </c>
      <c r="L29" s="74">
        <v>16</v>
      </c>
      <c r="M29" s="74">
        <v>17</v>
      </c>
      <c r="N29" s="74">
        <v>17</v>
      </c>
      <c r="O29" s="74">
        <v>15</v>
      </c>
      <c r="P29" s="74">
        <v>16</v>
      </c>
      <c r="Q29" s="93">
        <v>16</v>
      </c>
      <c r="R29" s="74">
        <v>15</v>
      </c>
      <c r="S29" s="74">
        <v>15</v>
      </c>
      <c r="T29" s="74">
        <v>15</v>
      </c>
      <c r="U29" s="74">
        <v>18</v>
      </c>
      <c r="V29" s="74">
        <v>16</v>
      </c>
      <c r="W29" s="74">
        <v>18</v>
      </c>
      <c r="X29" s="74">
        <v>50</v>
      </c>
      <c r="Y29" s="74">
        <v>18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9" t="s" ph="1">
        <v>5</v>
      </c>
      <c r="F32" s="168" t="s" ph="1">
        <v>43</v>
      </c>
      <c r="G32" s="97" t="s" ph="1">
        <v>4</v>
      </c>
      <c r="H32" s="169" t="s" ph="1">
        <v>5</v>
      </c>
      <c r="I32" s="168" t="s" ph="1">
        <v>43</v>
      </c>
      <c r="J32" s="97" t="s" ph="1">
        <v>4</v>
      </c>
      <c r="K32" s="169" t="s" ph="1">
        <v>5</v>
      </c>
      <c r="L32" s="168" t="s" ph="1">
        <v>43</v>
      </c>
      <c r="M32" s="97" t="s" ph="1">
        <v>4</v>
      </c>
      <c r="N32" s="169" t="s" ph="1">
        <v>5</v>
      </c>
      <c r="O32" s="16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9" t="s" ph="1">
        <v>5</v>
      </c>
      <c r="U32" s="99" t="s" ph="1">
        <v>43</v>
      </c>
      <c r="V32" s="97" t="s" ph="1">
        <v>4</v>
      </c>
      <c r="W32" s="169" t="s" ph="1">
        <v>5</v>
      </c>
      <c r="X32" s="99" t="s" ph="1">
        <v>43</v>
      </c>
      <c r="Y32" s="100" t="s" ph="1">
        <v>4</v>
      </c>
      <c r="Z32" s="169" t="s" ph="1">
        <v>5</v>
      </c>
      <c r="AA32" s="168" t="s" ph="1">
        <v>43</v>
      </c>
      <c r="AB32" s="97" t="s" ph="1">
        <v>85</v>
      </c>
      <c r="AC32" s="169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200767.95175199999</v>
      </c>
      <c r="E33" s="213" ph="1">
        <f>M10+I10</f>
        <v>47621.446790400005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7" ph="1">
        <f>N19</f>
        <v>10600.56749426</v>
      </c>
      <c r="H33" s="213" ph="1">
        <f>M19</f>
        <v>27000.691884399999</v>
      </c>
      <c r="I33" s="226" ph="1">
        <v>0</v>
      </c>
      <c r="J33" s="224" ph="1">
        <f>F10+O28</f>
        <v>220873.72468419996</v>
      </c>
      <c r="K33" s="213" ph="1">
        <f>O10+K10+E28+R28</f>
        <v>118487.14249572001</v>
      </c>
      <c r="L33" s="228" ph="1">
        <f>K19</f>
        <v>39882.676433399996</v>
      </c>
      <c r="M33" s="224" ph="1">
        <f>G10+H10+W28+S28+V28+E10+R19+P28+Q28</f>
        <v>702039.5730503801</v>
      </c>
      <c r="N33" s="213" ph="1">
        <f>L10+P10++G28+H28+AD19+AE19</f>
        <v>336264.02160119999</v>
      </c>
      <c r="O33" s="226" ph="1">
        <f>G19</f>
        <v>31514.2164324</v>
      </c>
      <c r="P33" s="224" ph="1">
        <f>L19</f>
        <v>37457.452377540001</v>
      </c>
      <c r="Q33" s="213" ph="1">
        <f>J10+N10</f>
        <v>127600.76754300001</v>
      </c>
      <c r="R33" s="226" ph="1">
        <f>BE23</f>
        <v>890</v>
      </c>
      <c r="S33" s="224" ph="1">
        <f>X28</f>
        <v>364466.8843641</v>
      </c>
      <c r="T33" s="213" ph="1">
        <f>X19</f>
        <v>10026.361113999999</v>
      </c>
      <c r="U33" s="234" ph="1">
        <f>BE21</f>
        <v>730</v>
      </c>
      <c r="V33" s="245" ph="1">
        <f ca="1">P19+Q19+S19+M28+N28+J28+D10+AC10+D19+E19+H19+J19+O19+V19+W19+K28+L28</f>
        <v>1295328.9880182801</v>
      </c>
      <c r="W33" s="245" ph="1">
        <f>D28+F28+T28+I28</f>
        <v>51991.018670700003</v>
      </c>
      <c r="X33" s="226" ph="1">
        <f>BE29+BE31</f>
        <v>10200</v>
      </c>
      <c r="Y33" s="247" ph="1">
        <f>+Q10+R10+S10+T10+U10+V10+W10+X10+Y10</f>
        <v>197455.38217019997</v>
      </c>
      <c r="Z33" s="232" ph="1">
        <f>T19+U19+Y28+Z10</f>
        <v>460972.58183739998</v>
      </c>
      <c r="AA33" s="234" ph="1">
        <f>BE19</f>
        <v>1440</v>
      </c>
      <c r="AB33" s="236" ph="1">
        <f>I19</f>
        <v>48565.153892800001</v>
      </c>
      <c r="AC33" s="238" ph="1">
        <f>AD10+AB19</f>
        <v>153684.55792600001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7" t="s" ph="1">
        <v>185</v>
      </c>
      <c r="AA36" s="167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342</v>
      </c>
      <c r="AI37" s="167" t="s" ph="1">
        <v>209</v>
      </c>
      <c r="AJ37" s="167" t="s" ph="1">
        <v>210</v>
      </c>
      <c r="AK37" s="167" t="s" ph="1">
        <v>211</v>
      </c>
      <c r="AM37" s="167" t="s" ph="1">
        <v>210</v>
      </c>
      <c r="AN37" s="167" t="s" ph="1">
        <v>211</v>
      </c>
      <c r="AO37" s="167" t="s" ph="1">
        <v>212</v>
      </c>
      <c r="AP37" s="167" t="s" ph="1">
        <v>210</v>
      </c>
      <c r="AQ37" s="167" t="s" ph="1">
        <v>211</v>
      </c>
      <c r="AR37" s="167" t="s" ph="1">
        <v>212</v>
      </c>
      <c r="AS37" s="167" t="s" ph="1">
        <v>210</v>
      </c>
      <c r="AT37" s="167" t="s" ph="1">
        <v>211</v>
      </c>
      <c r="AU37" s="167" t="s" ph="1">
        <v>212</v>
      </c>
      <c r="AV37" s="167" t="s" ph="1">
        <v>210</v>
      </c>
      <c r="AW37" s="167" t="s" ph="1">
        <v>211</v>
      </c>
      <c r="AX37" s="167" t="s" ph="1">
        <v>212</v>
      </c>
      <c r="AY37" s="167" t="s" ph="1">
        <v>211</v>
      </c>
      <c r="AZ37" s="167" t="s" ph="1">
        <v>213</v>
      </c>
      <c r="BD37" s="167" t="s" ph="1">
        <v>305</v>
      </c>
      <c r="BE37" s="16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09" priority="100">
      <formula>ABS(D$7-D$10)&gt;=1000</formula>
    </cfRule>
  </conditionalFormatting>
  <conditionalFormatting sqref="E4 E6:E11">
    <cfRule type="expression" dxfId="908" priority="99">
      <formula>ABS(E$7-E$10)&gt;=1000</formula>
    </cfRule>
  </conditionalFormatting>
  <conditionalFormatting sqref="F4:F11">
    <cfRule type="expression" dxfId="907" priority="98">
      <formula>ABS(F$7-F$10)&gt;=1000</formula>
    </cfRule>
  </conditionalFormatting>
  <conditionalFormatting sqref="G4:G11">
    <cfRule type="expression" dxfId="906" priority="97">
      <formula>ABS(G$7-G$10)&gt;=1000</formula>
    </cfRule>
  </conditionalFormatting>
  <conditionalFormatting sqref="H4:H11">
    <cfRule type="expression" dxfId="905" priority="96">
      <formula>ABS(H$7-H$10)&gt;=1000</formula>
    </cfRule>
  </conditionalFormatting>
  <conditionalFormatting sqref="I4:I11">
    <cfRule type="expression" dxfId="904" priority="95">
      <formula>ABS(I$7-I$10)&gt;=1000</formula>
    </cfRule>
  </conditionalFormatting>
  <conditionalFormatting sqref="J4:J11">
    <cfRule type="expression" dxfId="903" priority="94">
      <formula>ABS(J$7-J$10)&gt;=1000</formula>
    </cfRule>
  </conditionalFormatting>
  <conditionalFormatting sqref="K4:K11">
    <cfRule type="expression" dxfId="902" priority="93">
      <formula>ABS(K$7-K$10)&gt;=1000</formula>
    </cfRule>
  </conditionalFormatting>
  <conditionalFormatting sqref="L4:L11">
    <cfRule type="expression" dxfId="901" priority="92">
      <formula>ABS(L$7-L$10)&gt;=1000</formula>
    </cfRule>
  </conditionalFormatting>
  <conditionalFormatting sqref="M4 M6:M11">
    <cfRule type="expression" dxfId="900" priority="91">
      <formula>ABS(M$7-M$10)&gt;=1000</formula>
    </cfRule>
  </conditionalFormatting>
  <conditionalFormatting sqref="N4 N6:N11">
    <cfRule type="expression" dxfId="899" priority="90">
      <formula>ABS(N$7-N$10)&gt;=1000</formula>
    </cfRule>
  </conditionalFormatting>
  <conditionalFormatting sqref="O4 O6:O11">
    <cfRule type="expression" dxfId="898" priority="89">
      <formula>ABS(O$7-O$10)&gt;=1000</formula>
    </cfRule>
  </conditionalFormatting>
  <conditionalFormatting sqref="P4 P6:P11">
    <cfRule type="expression" dxfId="897" priority="88">
      <formula>ABS(P$7-P$10)&gt;=1000</formula>
    </cfRule>
  </conditionalFormatting>
  <conditionalFormatting sqref="Q4:Q11">
    <cfRule type="expression" dxfId="896" priority="87">
      <formula>ABS(Q$7-Q$10)&gt;=1000</formula>
    </cfRule>
  </conditionalFormatting>
  <conditionalFormatting sqref="R4:R11">
    <cfRule type="expression" dxfId="895" priority="86">
      <formula>ABS(R$7-R$10)&gt;=1000</formula>
    </cfRule>
  </conditionalFormatting>
  <conditionalFormatting sqref="S4:S11">
    <cfRule type="expression" dxfId="894" priority="85">
      <formula>ABS(S$7-S$10)&gt;=1000</formula>
    </cfRule>
  </conditionalFormatting>
  <conditionalFormatting sqref="T4:T9 T11">
    <cfRule type="expression" dxfId="893" priority="84">
      <formula>ABS(T$7-T$10)&gt;=1000</formula>
    </cfRule>
  </conditionalFormatting>
  <conditionalFormatting sqref="U4:U9 U11">
    <cfRule type="expression" dxfId="892" priority="83">
      <formula>ABS(U$7-U$10)&gt;=1000</formula>
    </cfRule>
  </conditionalFormatting>
  <conditionalFormatting sqref="V4:V9 V11">
    <cfRule type="expression" dxfId="891" priority="82">
      <formula>ABS(V$7-V$10)&gt;=1000</formula>
    </cfRule>
  </conditionalFormatting>
  <conditionalFormatting sqref="W4:W9 W11">
    <cfRule type="expression" dxfId="890" priority="81">
      <formula>ABS(W$7-W$10)&gt;=1000</formula>
    </cfRule>
  </conditionalFormatting>
  <conditionalFormatting sqref="X4:X9 X11">
    <cfRule type="expression" dxfId="889" priority="80">
      <formula>ABS(X$7-X$10)&gt;=1000</formula>
    </cfRule>
  </conditionalFormatting>
  <conditionalFormatting sqref="Y4:Y9 Y11">
    <cfRule type="expression" dxfId="888" priority="79">
      <formula>ABS(Y$7-Y$10)&gt;=1000</formula>
    </cfRule>
  </conditionalFormatting>
  <conditionalFormatting sqref="Z4:Z11">
    <cfRule type="expression" dxfId="887" priority="78">
      <formula>ABS(Z$7-Z$10)&gt;=1000</formula>
    </cfRule>
  </conditionalFormatting>
  <conditionalFormatting sqref="AA4:AA11">
    <cfRule type="expression" dxfId="886" priority="77">
      <formula>ABS(AA$7-AA$10)&gt;=1000</formula>
    </cfRule>
  </conditionalFormatting>
  <conditionalFormatting sqref="AB4:AB11">
    <cfRule type="expression" dxfId="885" priority="76">
      <formula>ABS(AB$7-AB$10)&gt;=1000</formula>
    </cfRule>
  </conditionalFormatting>
  <conditionalFormatting sqref="AC4 AC6:AC11">
    <cfRule type="expression" dxfId="884" priority="75">
      <formula>ABS(AC$7-AC$10)&gt;=1000</formula>
    </cfRule>
  </conditionalFormatting>
  <conditionalFormatting sqref="AD4 AD6:AD11">
    <cfRule type="expression" dxfId="883" priority="74">
      <formula>ABS(AD$7-AD$10)&gt;=1000</formula>
    </cfRule>
  </conditionalFormatting>
  <conditionalFormatting sqref="AE4 AE6:AE11">
    <cfRule type="expression" dxfId="882" priority="73">
      <formula>ABS(AE$7-AE$10)&gt;=1000</formula>
    </cfRule>
  </conditionalFormatting>
  <conditionalFormatting sqref="D13:D20">
    <cfRule type="expression" dxfId="881" priority="72">
      <formula>ABS(D$16-D$19)&gt;=1000</formula>
    </cfRule>
  </conditionalFormatting>
  <conditionalFormatting sqref="E13:E20">
    <cfRule type="expression" dxfId="880" priority="71">
      <formula>ABS(E$16-E$19)&gt;=1000</formula>
    </cfRule>
  </conditionalFormatting>
  <conditionalFormatting sqref="F13 F15:F20">
    <cfRule type="expression" dxfId="879" priority="70">
      <formula>ABS(F$16-F$19)&gt;=1000</formula>
    </cfRule>
  </conditionalFormatting>
  <conditionalFormatting sqref="G13:G20">
    <cfRule type="expression" dxfId="878" priority="69">
      <formula>ABS(G$16-G$19)&gt;=1000</formula>
    </cfRule>
  </conditionalFormatting>
  <conditionalFormatting sqref="H13 H15:H20">
    <cfRule type="expression" dxfId="877" priority="68">
      <formula>ABS(H$16-H$19)&gt;=1000</formula>
    </cfRule>
  </conditionalFormatting>
  <conditionalFormatting sqref="I13:I20">
    <cfRule type="expression" dxfId="876" priority="67">
      <formula>ABS(I$16-I$19)&gt;=1000</formula>
    </cfRule>
  </conditionalFormatting>
  <conditionalFormatting sqref="J13:J20">
    <cfRule type="expression" dxfId="875" priority="66">
      <formula>ABS(J$16-J$19)&gt;=1000</formula>
    </cfRule>
  </conditionalFormatting>
  <conditionalFormatting sqref="L13:L20">
    <cfRule type="expression" dxfId="874" priority="65">
      <formula>ABS(L$16-L$19)&gt;=1000</formula>
    </cfRule>
  </conditionalFormatting>
  <conditionalFormatting sqref="M13 M15 M17:M18 M20">
    <cfRule type="expression" dxfId="873" priority="64">
      <formula>ABS(M$16-M$19)&gt;=1000</formula>
    </cfRule>
  </conditionalFormatting>
  <conditionalFormatting sqref="N13:N20">
    <cfRule type="expression" dxfId="872" priority="63">
      <formula>ABS(N$16-N$19)&gt;=1000</formula>
    </cfRule>
  </conditionalFormatting>
  <conditionalFormatting sqref="O13:O20">
    <cfRule type="expression" dxfId="871" priority="62">
      <formula>ABS(O$16-O$19)&gt;=1000</formula>
    </cfRule>
  </conditionalFormatting>
  <conditionalFormatting sqref="P13:P20">
    <cfRule type="expression" dxfId="870" priority="61">
      <formula>ABS(P$16-P$19)&gt;=1000</formula>
    </cfRule>
  </conditionalFormatting>
  <conditionalFormatting sqref="Q13 Q15:Q20">
    <cfRule type="expression" dxfId="869" priority="60">
      <formula>ABS(Q$16-Q$19)&gt;=1000</formula>
    </cfRule>
  </conditionalFormatting>
  <conditionalFormatting sqref="R13:R20">
    <cfRule type="expression" dxfId="868" priority="59">
      <formula>ABS(R$16-R$19)&gt;=1000</formula>
    </cfRule>
  </conditionalFormatting>
  <conditionalFormatting sqref="S13:S20">
    <cfRule type="expression" dxfId="867" priority="58">
      <formula>ABS(S$16-S$19)&gt;=1000</formula>
    </cfRule>
  </conditionalFormatting>
  <conditionalFormatting sqref="T13:T20">
    <cfRule type="expression" dxfId="866" priority="57">
      <formula>ABS(T$16-T$19)&gt;=1000</formula>
    </cfRule>
  </conditionalFormatting>
  <conditionalFormatting sqref="U13:U20">
    <cfRule type="expression" dxfId="865" priority="56">
      <formula>ABS(U$16-U$19)&gt;=1000</formula>
    </cfRule>
  </conditionalFormatting>
  <conditionalFormatting sqref="V13:V20">
    <cfRule type="expression" dxfId="864" priority="55">
      <formula>ABS(V$16-V$19)&gt;=1000</formula>
    </cfRule>
  </conditionalFormatting>
  <conditionalFormatting sqref="W13 W20 W15:W18">
    <cfRule type="expression" dxfId="863" priority="54">
      <formula>ABS(W$16-W$19)&gt;=1000</formula>
    </cfRule>
  </conditionalFormatting>
  <conditionalFormatting sqref="X13 X15:X20 Y19">
    <cfRule type="expression" dxfId="862" priority="53">
      <formula>ABS(X$16-X$19)&gt;=1000</formula>
    </cfRule>
  </conditionalFormatting>
  <conditionalFormatting sqref="Y13 Y15:Y18 Y20">
    <cfRule type="expression" dxfId="861" priority="52">
      <formula>ABS(Y$16-Y$19)&gt;=1000</formula>
    </cfRule>
  </conditionalFormatting>
  <conditionalFormatting sqref="Z13:Z20">
    <cfRule type="expression" dxfId="860" priority="51">
      <formula>ABS(Z$16-Z$19)&gt;=1000</formula>
    </cfRule>
  </conditionalFormatting>
  <conditionalFormatting sqref="AA13:AA20">
    <cfRule type="expression" dxfId="859" priority="50">
      <formula>ABS(AA$16-AA$19)&gt;=1000</formula>
    </cfRule>
  </conditionalFormatting>
  <conditionalFormatting sqref="AB13 AB15:AB20">
    <cfRule type="expression" dxfId="858" priority="49">
      <formula>ABS(AB$16-AB$19)&gt;=1000</formula>
    </cfRule>
  </conditionalFormatting>
  <conditionalFormatting sqref="AC13 AC15:AC20">
    <cfRule type="expression" dxfId="857" priority="48">
      <formula>ABS(AC$16-AC$19)&gt;=1000</formula>
    </cfRule>
  </conditionalFormatting>
  <conditionalFormatting sqref="AD13:AD20">
    <cfRule type="expression" dxfId="856" priority="47">
      <formula>ABS(AD$16-AD$19)&gt;=1000</formula>
    </cfRule>
  </conditionalFormatting>
  <conditionalFormatting sqref="AE13:AE20">
    <cfRule type="expression" dxfId="855" priority="46">
      <formula>ABS(AE$16-AE$19)&gt;=1000</formula>
    </cfRule>
  </conditionalFormatting>
  <conditionalFormatting sqref="D22:D29">
    <cfRule type="expression" dxfId="854" priority="45">
      <formula>ABS(D$25-D$28)&gt;=1000</formula>
    </cfRule>
  </conditionalFormatting>
  <conditionalFormatting sqref="E22:E29">
    <cfRule type="expression" dxfId="853" priority="44">
      <formula>ABS(E$25-E$28)&gt;=1000</formula>
    </cfRule>
  </conditionalFormatting>
  <conditionalFormatting sqref="F22:F29">
    <cfRule type="expression" dxfId="852" priority="43">
      <formula>ABS(F$25-F$28)&gt;=1000</formula>
    </cfRule>
  </conditionalFormatting>
  <conditionalFormatting sqref="G22:G29">
    <cfRule type="expression" dxfId="851" priority="42">
      <formula>ABS(G$25-G$28)&gt;=1000</formula>
    </cfRule>
  </conditionalFormatting>
  <conditionalFormatting sqref="H22:H29">
    <cfRule type="expression" dxfId="850" priority="41">
      <formula>ABS(H$25-H$28)&gt;=1000</formula>
    </cfRule>
  </conditionalFormatting>
  <conditionalFormatting sqref="I22 I24:I29">
    <cfRule type="expression" dxfId="849" priority="40">
      <formula>ABS(I$25-I$28)&gt;=1000</formula>
    </cfRule>
  </conditionalFormatting>
  <conditionalFormatting sqref="J22:J29 K22">
    <cfRule type="expression" dxfId="848" priority="39">
      <formula>ABS(J$25-J$28)&gt;=1000</formula>
    </cfRule>
  </conditionalFormatting>
  <conditionalFormatting sqref="K23:K29 L25 L28">
    <cfRule type="expression" dxfId="847" priority="38">
      <formula>ABS(K$25-K$28)&gt;=1000</formula>
    </cfRule>
  </conditionalFormatting>
  <conditionalFormatting sqref="L22 L26:L27 L29 L24">
    <cfRule type="expression" dxfId="846" priority="37">
      <formula>ABS(L$25-L$28)&gt;=1000</formula>
    </cfRule>
  </conditionalFormatting>
  <conditionalFormatting sqref="M22:M29">
    <cfRule type="expression" dxfId="845" priority="36">
      <formula>ABS(M$25-M$28)&gt;=1000</formula>
    </cfRule>
  </conditionalFormatting>
  <conditionalFormatting sqref="N22:N29">
    <cfRule type="expression" dxfId="844" priority="35">
      <formula>ABS(N$25-N$28)&gt;=1000</formula>
    </cfRule>
  </conditionalFormatting>
  <conditionalFormatting sqref="O22:O29">
    <cfRule type="expression" dxfId="843" priority="34">
      <formula>ABS(O$25-O$28)&gt;=1000</formula>
    </cfRule>
  </conditionalFormatting>
  <conditionalFormatting sqref="P22:P29">
    <cfRule type="expression" dxfId="842" priority="33">
      <formula>ABS(P$25-P$28)&gt;=1000</formula>
    </cfRule>
  </conditionalFormatting>
  <conditionalFormatting sqref="Q22:Q29">
    <cfRule type="expression" dxfId="841" priority="32">
      <formula>ABS(Q$25-Q$28)&gt;=1000</formula>
    </cfRule>
  </conditionalFormatting>
  <conditionalFormatting sqref="R22:R29">
    <cfRule type="expression" dxfId="840" priority="31">
      <formula>ABS(R$25-R$28)&gt;=1000</formula>
    </cfRule>
  </conditionalFormatting>
  <conditionalFormatting sqref="S22:S29">
    <cfRule type="expression" dxfId="839" priority="30">
      <formula>ABS(S$25-S$28)&gt;=1000</formula>
    </cfRule>
  </conditionalFormatting>
  <conditionalFormatting sqref="T22:T29">
    <cfRule type="expression" dxfId="838" priority="29">
      <formula>ABS(T$25-T$28)&gt;=1000</formula>
    </cfRule>
  </conditionalFormatting>
  <conditionalFormatting sqref="U22:U29">
    <cfRule type="expression" dxfId="837" priority="28">
      <formula>ABS(U$25-U$28)&gt;=1000</formula>
    </cfRule>
  </conditionalFormatting>
  <conditionalFormatting sqref="V22:V29">
    <cfRule type="expression" dxfId="836" priority="27">
      <formula>ABS(V$25-V$28)&gt;=1000</formula>
    </cfRule>
  </conditionalFormatting>
  <conditionalFormatting sqref="W22:W29">
    <cfRule type="expression" dxfId="835" priority="26">
      <formula>ABS(W$25-W$28)&gt;=1000</formula>
    </cfRule>
  </conditionalFormatting>
  <conditionalFormatting sqref="X22:X29">
    <cfRule type="expression" dxfId="834" priority="25">
      <formula>ABS(X$25-X$28)&gt;=1000</formula>
    </cfRule>
  </conditionalFormatting>
  <conditionalFormatting sqref="Y22:Y29">
    <cfRule type="expression" dxfId="833" priority="24">
      <formula>ABS(Y$25-Y$28)&gt;=1000</formula>
    </cfRule>
  </conditionalFormatting>
  <conditionalFormatting sqref="I23">
    <cfRule type="expression" dxfId="832" priority="23">
      <formula>ABS(I$25-I$28)&gt;=1000</formula>
    </cfRule>
  </conditionalFormatting>
  <conditionalFormatting sqref="Q14">
    <cfRule type="expression" dxfId="831" priority="22">
      <formula>ABS(Q$16-Q$19)&gt;=1000</formula>
    </cfRule>
  </conditionalFormatting>
  <conditionalFormatting sqref="W14">
    <cfRule type="expression" dxfId="830" priority="21">
      <formula>ABS(W$16-W$19)&gt;=1000</formula>
    </cfRule>
  </conditionalFormatting>
  <conditionalFormatting sqref="X14">
    <cfRule type="expression" dxfId="829" priority="20">
      <formula>ABS(X$16-X$19)&gt;=1000</formula>
    </cfRule>
  </conditionalFormatting>
  <conditionalFormatting sqref="T10:Y10">
    <cfRule type="expression" dxfId="828" priority="19">
      <formula>ABS(T$7-T$10)&gt;=1000</formula>
    </cfRule>
  </conditionalFormatting>
  <conditionalFormatting sqref="W19">
    <cfRule type="expression" dxfId="827" priority="18">
      <formula>ABS(W$16-W$19)&gt;=1000</formula>
    </cfRule>
  </conditionalFormatting>
  <conditionalFormatting sqref="AC5">
    <cfRule type="expression" dxfId="826" priority="17">
      <formula>ABS(AC$7-AC$10)&gt;=1000</formula>
    </cfRule>
  </conditionalFormatting>
  <conditionalFormatting sqref="M14">
    <cfRule type="expression" dxfId="825" priority="16">
      <formula>ABS(M$16-M$19)&gt;=1000</formula>
    </cfRule>
  </conditionalFormatting>
  <conditionalFormatting sqref="M16">
    <cfRule type="expression" dxfId="824" priority="15">
      <formula>ABS(M$16-M$19)&gt;=1000</formula>
    </cfRule>
  </conditionalFormatting>
  <conditionalFormatting sqref="M19">
    <cfRule type="expression" dxfId="823" priority="14">
      <formula>ABS(M$16-M$19)&gt;=1000</formula>
    </cfRule>
  </conditionalFormatting>
  <conditionalFormatting sqref="K13:K20">
    <cfRule type="expression" dxfId="822" priority="13">
      <formula>ABS(K$16-K$19)&gt;=1000</formula>
    </cfRule>
  </conditionalFormatting>
  <conditionalFormatting sqref="E5">
    <cfRule type="expression" dxfId="821" priority="12">
      <formula>ABS(E$7-E$10)&gt;=1000</formula>
    </cfRule>
  </conditionalFormatting>
  <conditionalFormatting sqref="AB14:AC14">
    <cfRule type="expression" dxfId="820" priority="11">
      <formula>ABS(AB$16-AB$19)&gt;=1000</formula>
    </cfRule>
  </conditionalFormatting>
  <conditionalFormatting sqref="M5">
    <cfRule type="expression" dxfId="819" priority="10">
      <formula>ABS(M$7-M$10)&gt;=1000</formula>
    </cfRule>
  </conditionalFormatting>
  <conditionalFormatting sqref="N5">
    <cfRule type="expression" dxfId="818" priority="9">
      <formula>ABS(N$7-N$10)&gt;=1000</formula>
    </cfRule>
  </conditionalFormatting>
  <conditionalFormatting sqref="O5">
    <cfRule type="expression" dxfId="817" priority="8">
      <formula>ABS(O$7-O$10)&gt;=1000</formula>
    </cfRule>
  </conditionalFormatting>
  <conditionalFormatting sqref="P5">
    <cfRule type="expression" dxfId="816" priority="7">
      <formula>ABS(P$7-P$10)&gt;=1000</formula>
    </cfRule>
  </conditionalFormatting>
  <conditionalFormatting sqref="L23">
    <cfRule type="expression" dxfId="815" priority="6">
      <formula>ABS(L$25-L$28)&gt;=1000</formula>
    </cfRule>
  </conditionalFormatting>
  <conditionalFormatting sqref="Y14">
    <cfRule type="expression" dxfId="814" priority="5">
      <formula>ABS(Y$16-Y$19)&gt;=1000</formula>
    </cfRule>
  </conditionalFormatting>
  <conditionalFormatting sqref="F14">
    <cfRule type="expression" dxfId="813" priority="4">
      <formula>ABS(F$16-F$19)&gt;=1000</formula>
    </cfRule>
  </conditionalFormatting>
  <conditionalFormatting sqref="H14">
    <cfRule type="expression" dxfId="812" priority="3">
      <formula>ABS(H$16-H$19)&gt;=1000</formula>
    </cfRule>
  </conditionalFormatting>
  <conditionalFormatting sqref="AD5">
    <cfRule type="expression" dxfId="811" priority="2">
      <formula>ABS(AD$7-AD$10)&gt;=1000</formula>
    </cfRule>
  </conditionalFormatting>
  <conditionalFormatting sqref="AE5">
    <cfRule type="expression" dxfId="81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02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3">
    <pageSetUpPr fitToPage="1"/>
  </sheetPr>
  <dimension ref="A1:CU223"/>
  <sheetViews>
    <sheetView view="pageBreakPreview" topLeftCell="A13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46045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9" t="s" ph="1">
        <v>177</v>
      </c>
      <c r="D6" s="71">
        <v>429</v>
      </c>
      <c r="E6" s="71">
        <v>0</v>
      </c>
      <c r="F6" s="71">
        <v>4041</v>
      </c>
      <c r="G6" s="71">
        <v>378</v>
      </c>
      <c r="H6" s="71">
        <v>4502</v>
      </c>
      <c r="I6" s="71">
        <v>0.09</v>
      </c>
      <c r="J6" s="71">
        <v>6.61</v>
      </c>
      <c r="K6" s="71">
        <v>7.49</v>
      </c>
      <c r="L6" s="71">
        <v>7.87</v>
      </c>
      <c r="M6" s="71">
        <v>1386</v>
      </c>
      <c r="N6" s="71">
        <v>4798</v>
      </c>
      <c r="O6" s="71">
        <v>1425</v>
      </c>
      <c r="P6" s="71">
        <v>5551</v>
      </c>
      <c r="Q6" s="71">
        <v>7161</v>
      </c>
      <c r="R6" s="71">
        <v>7110</v>
      </c>
      <c r="S6" s="71">
        <v>6749</v>
      </c>
      <c r="T6" s="71">
        <v>0</v>
      </c>
      <c r="U6" s="71">
        <v>0</v>
      </c>
      <c r="V6" s="71">
        <v>0</v>
      </c>
      <c r="W6" s="71">
        <v>0</v>
      </c>
      <c r="X6" s="71">
        <v>0</v>
      </c>
      <c r="Y6" s="71">
        <v>312</v>
      </c>
      <c r="Z6" s="71">
        <v>6638</v>
      </c>
      <c r="AA6" s="71">
        <v>4034</v>
      </c>
      <c r="AB6" s="71">
        <v>2935</v>
      </c>
      <c r="AC6" s="71">
        <v>9296</v>
      </c>
      <c r="AD6" s="71">
        <v>4780</v>
      </c>
      <c r="AE6" s="71">
        <v>4705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13588.36085178</v>
      </c>
      <c r="E7" s="73" ph="1">
        <f>E6*51.53*LOOKUP(E8,密度!$A$2:$A$50,密度!$B$2:$B$50)</f>
        <v>0</v>
      </c>
      <c r="F7" s="73" ph="1">
        <f>F6*33.183*LOOKUP(F8,密度!$A$2:$A$50,密度!$C$2:$C$50)</f>
        <v>149620.41484739998</v>
      </c>
      <c r="G7" s="73" ph="1">
        <f xml:space="preserve"> (G6+2)*51.53*LOOKUP(G8,密度!$A$2:$A$50,密度!$B$2:$B$50)</f>
        <v>15447.766460000003</v>
      </c>
      <c r="H7" s="73" ph="1">
        <f>(H6)*51.53*LOOKUP(H8,密度!$A$2:$A$50,密度!$B$2:$B$50)</f>
        <v>183409.760236</v>
      </c>
      <c r="I7" s="73" ph="1">
        <f>I6*290.8*1.0267</f>
        <v>26.870792399999999</v>
      </c>
      <c r="J7" s="73" ph="1">
        <f>J6*290.8*0.7892</f>
        <v>1516.9907696</v>
      </c>
      <c r="K7" s="73" ph="1">
        <f>K6*290.8*1.1126</f>
        <v>2423.3451592000001</v>
      </c>
      <c r="L7" s="73" ph="1">
        <f>L6*290.8*0.777</f>
        <v>1778.239092</v>
      </c>
      <c r="M7" s="73" ph="1">
        <f>M6*33.183*LOOKUP(M8,密度!$A$2:$A$50,密度!$D$2:$D$50)</f>
        <v>47628.940312800005</v>
      </c>
      <c r="N7" s="73" ph="1">
        <f>N6*33.183*LOOKUP(N8,密度!$A$2:$A$50,密度!$E$2:$E$50)</f>
        <v>126175.53694499999</v>
      </c>
      <c r="O7" s="73" ph="1">
        <f>O6*20.428*LOOKUP(O8,密度!$A$2:$A$50,密度!$C$2:$C$50)</f>
        <v>32425.517609999999</v>
      </c>
      <c r="P7" s="73" ph="1">
        <f>P6*51.53*LOOKUP(P8,密度!$A$2:$A$50,密度!$B$2:$B$50)</f>
        <v>225659.34636700005</v>
      </c>
      <c r="Q7" s="73" ph="1">
        <f>Q6*1.5*1.5*3.1416*LOOKUP(W8,密度!$A$2:$A$50,密度!$L$2:$L$50)</f>
        <v>47884.859391599995</v>
      </c>
      <c r="R7" s="73" ph="1">
        <f>R6*1.5*1.5*3.1416*LOOKUP(R8,密度!$A$2:$A$50,密度!$L$2:$L$50)</f>
        <v>47342.796731999995</v>
      </c>
      <c r="S7" s="73" ph="1">
        <f>S6*1.5*1.5*3.1416*LOOKUP(S8,密度!$A$2:$A$50,密度!$L$2:$L$50)</f>
        <v>45320.682329999996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2088.5168303999994</v>
      </c>
      <c r="Z7" s="73" ph="1">
        <f>Z6*33.183*LOOKUP(Z8,密度!$A$2:$A$50,密度!$L$2:$L$50)</f>
        <v>209255.31629999998</v>
      </c>
      <c r="AA7" s="73" ph="1">
        <f>AA6*33.183*LOOKUP(AA8,密度!$A$2:$A$50,密度!$D$2:$D$50)</f>
        <v>138625.64590320003</v>
      </c>
      <c r="AB7" s="73" ph="1">
        <f>AB6*20.428*LOOKUP(AB8,密度!$A$2:$A$50,密度!$D$2:$D$50)</f>
        <v>62570.269448000006</v>
      </c>
      <c r="AC7" s="73" ph="1">
        <f>AC6*51.53*LOOKUP(AC8,密度!$A$2:$A$50,密度!$Q$2:$Q$50)</f>
        <v>457246.49987520004</v>
      </c>
      <c r="AD7" s="73" ph="1">
        <f>AD6*20.428*LOOKUP(AD8,密度!$A$2:$A$50,密度!$V$2:$V$50)</f>
        <v>94130.589760000003</v>
      </c>
      <c r="AE7" s="73" ph="1">
        <f>AE6*20.428</f>
        <v>96113.74</v>
      </c>
    </row>
    <row r="8" spans="1:99" ph="1">
      <c r="B8" s="191" ph="1"/>
      <c r="C8" s="68" t="s" ph="1">
        <v>179</v>
      </c>
      <c r="D8" s="74">
        <v>14</v>
      </c>
      <c r="E8" s="74">
        <v>13</v>
      </c>
      <c r="F8" s="74">
        <v>15</v>
      </c>
      <c r="G8" s="74">
        <v>14</v>
      </c>
      <c r="H8" s="74">
        <v>12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17</v>
      </c>
      <c r="O8" s="74">
        <v>18</v>
      </c>
      <c r="P8" s="74">
        <v>14</v>
      </c>
      <c r="Q8" s="74">
        <v>16</v>
      </c>
      <c r="R8" s="74">
        <v>20</v>
      </c>
      <c r="S8" s="74">
        <v>12</v>
      </c>
      <c r="T8" s="74">
        <v>9</v>
      </c>
      <c r="U8" s="74">
        <v>14</v>
      </c>
      <c r="V8" s="74">
        <v>20</v>
      </c>
      <c r="W8" s="74">
        <v>16</v>
      </c>
      <c r="X8" s="74">
        <v>5</v>
      </c>
      <c r="Y8" s="74">
        <v>15</v>
      </c>
      <c r="Z8" s="74">
        <v>12</v>
      </c>
      <c r="AA8" s="74">
        <v>15</v>
      </c>
      <c r="AB8" s="74">
        <v>6</v>
      </c>
      <c r="AC8" s="74">
        <v>11</v>
      </c>
      <c r="AD8" s="74">
        <v>12</v>
      </c>
      <c r="AE8" s="74">
        <v>16</v>
      </c>
    </row>
    <row r="9" spans="1:99" ph="1">
      <c r="B9" s="191" ph="1">
        <v>0.66666666666666663</v>
      </c>
      <c r="C9" s="169" t="s" ph="1">
        <v>180</v>
      </c>
      <c r="D9" s="71">
        <v>769</v>
      </c>
      <c r="E9" s="71">
        <v>0</v>
      </c>
      <c r="F9" s="71">
        <v>4856</v>
      </c>
      <c r="G9" s="71">
        <v>110</v>
      </c>
      <c r="H9" s="71">
        <v>4498</v>
      </c>
      <c r="I9" s="71">
        <v>7.0000000000000007E-2</v>
      </c>
      <c r="J9" s="71">
        <v>6.76</v>
      </c>
      <c r="K9" s="71">
        <v>7.43</v>
      </c>
      <c r="L9" s="71">
        <v>7.81</v>
      </c>
      <c r="M9" s="71">
        <v>1384</v>
      </c>
      <c r="N9" s="71">
        <v>4802</v>
      </c>
      <c r="O9" s="71">
        <v>425</v>
      </c>
      <c r="P9" s="71">
        <v>5015</v>
      </c>
      <c r="Q9" s="71">
        <v>6692</v>
      </c>
      <c r="R9" s="71">
        <v>7116</v>
      </c>
      <c r="S9" s="71">
        <v>6756</v>
      </c>
      <c r="T9" s="71">
        <v>2704</v>
      </c>
      <c r="U9" s="71">
        <v>2584</v>
      </c>
      <c r="V9" s="71">
        <v>0</v>
      </c>
      <c r="W9" s="71">
        <v>0</v>
      </c>
      <c r="X9" s="71">
        <v>0</v>
      </c>
      <c r="Y9" s="71">
        <v>0</v>
      </c>
      <c r="Z9" s="71">
        <v>4336</v>
      </c>
      <c r="AA9" s="71">
        <v>4032</v>
      </c>
      <c r="AB9" s="71">
        <v>2462</v>
      </c>
      <c r="AC9" s="71">
        <v>9060</v>
      </c>
      <c r="AD9" s="71">
        <v>4780</v>
      </c>
      <c r="AE9" s="71">
        <v>3665</v>
      </c>
    </row>
    <row r="10" spans="1:99" s="72" customFormat="1" ht="22.5" ph="1">
      <c r="B10" s="191" ph="1"/>
      <c r="C10" s="169" t="s" ph="1">
        <v>178</v>
      </c>
      <c r="D10" s="73" ph="1">
        <f>D9*33.183*LOOKUP(D11,密度!$A$2:$A$50,密度!$Q$2:$Q$50)</f>
        <v>24333.704467199997</v>
      </c>
      <c r="E10" s="73" ph="1">
        <f>E9*51.53*LOOKUP(E11,密度!$A$2:$A$50,密度!$B$2:$B$50)</f>
        <v>0</v>
      </c>
      <c r="F10" s="73" ph="1">
        <f>F9*33.183*LOOKUP(F11,密度!$A$2:$A$50,密度!$C$2:$C$50)</f>
        <v>179490.11220719997</v>
      </c>
      <c r="G10" s="73" ph="1">
        <f xml:space="preserve"> (G9+2)*51.53*LOOKUP(G11,密度!$A$2:$A$50,密度!$B$2:$B$50)</f>
        <v>4534.5575520000002</v>
      </c>
      <c r="H10" s="73" ph="1">
        <f>(H9)*51.53*LOOKUP(H11,密度!$A$2:$A$50,密度!$B$2:$B$50)</f>
        <v>182852.77246600002</v>
      </c>
      <c r="I10" s="73" ph="1">
        <f>I9*290.8*1.0267</f>
        <v>20.8995052</v>
      </c>
      <c r="J10" s="73" ph="1">
        <f>J9*290.8*0.7892</f>
        <v>1551.4156736</v>
      </c>
      <c r="K10" s="73" ph="1">
        <f>K9*290.8*1.1126</f>
        <v>2403.9325143999999</v>
      </c>
      <c r="L10" s="73" ph="1">
        <f>L9*290.8*0.777</f>
        <v>1764.6819960000003</v>
      </c>
      <c r="M10" s="73" ph="1">
        <f>M9*33.183*LOOKUP(M11,密度!$A$2:$A$50,密度!$D$2:$D$50)</f>
        <v>47482.138720800001</v>
      </c>
      <c r="N10" s="73" ph="1">
        <f>N9*33.183*LOOKUP(N11,密度!$A$2:$A$50,密度!$E$2:$E$50)</f>
        <v>126105.4478124</v>
      </c>
      <c r="O10" s="73" ph="1">
        <f>O9*20.428*LOOKUP(O11,密度!$A$2:$A$50,密度!$C$2:$C$50)</f>
        <v>9646.4590900000003</v>
      </c>
      <c r="P10" s="73" ph="1">
        <f>P9*51.53*LOOKUP(P11,密度!$A$2:$A$50,密度!$B$2:$B$50)</f>
        <v>202836.17345500001</v>
      </c>
      <c r="Q10" s="73" ph="1">
        <f>Q9*1.5*1.5*3.1416*LOOKUP(W11,密度!$A$2:$A$50,密度!$L$2:$L$50)</f>
        <v>44228.371572000004</v>
      </c>
      <c r="R10" s="73" ph="1">
        <f>R9*1.5*1.5*3.1416*LOOKUP(R11,密度!$A$2:$A$50,密度!$L$2:$L$50)</f>
        <v>47332.448301599994</v>
      </c>
      <c r="S10" s="73" ph="1">
        <f>S9*1.5*1.5*3.1416*LOOKUP(S11,密度!$A$2:$A$50,密度!$L$2:$L$50)</f>
        <v>45319.933058399998</v>
      </c>
      <c r="T10" s="73" ph="1">
        <f>T9*1.5*1.5*3.1416*LOOKUP(T11,密度!$A$2:$A$50,密度!$L$2:$L$50)</f>
        <v>18138.7061856</v>
      </c>
      <c r="U10" s="73" ph="1">
        <f>U9*1.5*1.5*3.1416*LOOKUP(U11,密度!$A$2:$A$50,密度!$L$2:$L$50)</f>
        <v>17297.203492799999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136399.650624</v>
      </c>
      <c r="AA10" s="73" ph="1">
        <f>AA9*33.183*LOOKUP(AA11,密度!$A$2:$A$50,密度!$D$2:$D$50)</f>
        <v>138222.43263359999</v>
      </c>
      <c r="AB10" s="73" ph="1">
        <f>AB9*20.428*LOOKUP(AB11,密度!$A$2:$A$50,密度!$D$2:$D$50)</f>
        <v>52350.749802400001</v>
      </c>
      <c r="AC10" s="73" ph="1">
        <f>AC9*51.53*LOOKUP(AC11,密度!$A$2:$A$50,密度!$Q$2:$Q$50)</f>
        <v>445199.41248</v>
      </c>
      <c r="AD10" s="73" ph="1">
        <f>AD9*20.428*LOOKUP(AD11,密度!$A$2:$A$50,密度!$V$2:$V$50)</f>
        <v>94130.589760000003</v>
      </c>
      <c r="AE10" s="73" ph="1">
        <f>AE9*20.428</f>
        <v>74868.62000000001</v>
      </c>
    </row>
    <row r="11" spans="1:99" ph="1">
      <c r="A11" s="64" t="s" ph="1">
        <v>162</v>
      </c>
      <c r="B11" s="191" ph="1"/>
      <c r="C11" s="169" t="s" ph="1">
        <v>179</v>
      </c>
      <c r="D11" s="74">
        <v>16</v>
      </c>
      <c r="E11" s="74">
        <v>18</v>
      </c>
      <c r="F11" s="74">
        <v>18</v>
      </c>
      <c r="G11" s="74">
        <v>18</v>
      </c>
      <c r="H11" s="74">
        <v>14</v>
      </c>
      <c r="I11" s="74">
        <v>25</v>
      </c>
      <c r="J11" s="74">
        <v>25</v>
      </c>
      <c r="K11" s="74">
        <v>25</v>
      </c>
      <c r="L11" s="74">
        <v>25</v>
      </c>
      <c r="M11" s="74">
        <v>17</v>
      </c>
      <c r="N11" s="74">
        <v>18</v>
      </c>
      <c r="O11" s="74">
        <v>22</v>
      </c>
      <c r="P11" s="74">
        <v>19</v>
      </c>
      <c r="Q11" s="74">
        <v>18</v>
      </c>
      <c r="R11" s="74">
        <v>21</v>
      </c>
      <c r="S11" s="74">
        <v>13</v>
      </c>
      <c r="T11" s="74">
        <v>13</v>
      </c>
      <c r="U11" s="74">
        <v>15</v>
      </c>
      <c r="V11" s="74">
        <v>25</v>
      </c>
      <c r="W11" s="74">
        <v>27</v>
      </c>
      <c r="X11" s="74">
        <v>13</v>
      </c>
      <c r="Y11" s="74">
        <v>19</v>
      </c>
      <c r="Z11" s="74">
        <v>14</v>
      </c>
      <c r="AA11" s="74">
        <v>18</v>
      </c>
      <c r="AB11" s="74">
        <v>9</v>
      </c>
      <c r="AC11" s="74">
        <v>16</v>
      </c>
      <c r="AD11" s="74">
        <v>15</v>
      </c>
      <c r="AE11" s="74">
        <v>19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249" t="s" ph="1">
        <v>649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9" t="s" ph="1">
        <v>177</v>
      </c>
      <c r="D15" s="78">
        <v>4898</v>
      </c>
      <c r="E15" s="78">
        <v>6203</v>
      </c>
      <c r="F15" s="78">
        <v>1852</v>
      </c>
      <c r="G15" s="78">
        <v>5096</v>
      </c>
      <c r="H15" s="78">
        <v>5298</v>
      </c>
      <c r="I15" s="78">
        <v>5203</v>
      </c>
      <c r="J15" s="78">
        <v>5241</v>
      </c>
      <c r="K15" s="78">
        <v>4048</v>
      </c>
      <c r="L15" s="78">
        <v>5108</v>
      </c>
      <c r="M15" s="78">
        <v>4341</v>
      </c>
      <c r="N15" s="78">
        <v>290</v>
      </c>
      <c r="O15" s="78">
        <v>804</v>
      </c>
      <c r="P15" s="78">
        <v>6971</v>
      </c>
      <c r="Q15" s="78">
        <v>7030</v>
      </c>
      <c r="R15" s="78">
        <v>7321</v>
      </c>
      <c r="S15" s="78">
        <v>6375</v>
      </c>
      <c r="T15" s="78">
        <v>5096</v>
      </c>
      <c r="U15" s="78">
        <v>2538</v>
      </c>
      <c r="V15" s="78">
        <v>4996</v>
      </c>
      <c r="W15" s="71">
        <v>2872</v>
      </c>
      <c r="X15" s="78">
        <v>449</v>
      </c>
      <c r="Y15" s="106">
        <v>-9900</v>
      </c>
      <c r="Z15" s="78">
        <v>0</v>
      </c>
      <c r="AA15" s="78">
        <v>10</v>
      </c>
      <c r="AB15" s="78" ph="1">
        <v>6926</v>
      </c>
      <c r="AC15" s="78" ph="1">
        <v>2136</v>
      </c>
      <c r="AD15" s="78">
        <v>50.81</v>
      </c>
      <c r="AE15" s="78">
        <v>40.64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9" t="s" ph="1">
        <v>178</v>
      </c>
      <c r="D16" s="73" ph="1">
        <f>D15*7.0686*LOOKUP(D17,密度!$A$2:$A$50,密度!$L$2:$L$50)</f>
        <v>32648.5486404</v>
      </c>
      <c r="E16" s="73" ph="1">
        <f>E15*7.0686*LOOKUP(E17,密度!$A$2:$A$50,密度!$L$2:$L$50)</f>
        <v>41347.273829400001</v>
      </c>
      <c r="F16" s="73" ph="1">
        <f>F15*9.0746*LOOKUP(F17,密度!$A$2:$A$50,密度!$L$2:$L$50)</f>
        <v>15949.045080800001</v>
      </c>
      <c r="G16" s="73" ph="1">
        <f>G15*9.0746*LOOKUP(G17,密度!$A$2:$A$50,密度!$B$2:$B$50)</f>
        <v>36440.399340800002</v>
      </c>
      <c r="H16" s="73" ph="1">
        <f>H15*9.0746*LOOKUP(H17,密度!$A$2:$A$50,密度!$L$2:$L$50)</f>
        <v>45721.446490799994</v>
      </c>
      <c r="I16" s="73" ph="1">
        <f>I15*9.0746*LOOKUP(I17,密度!$A$2:$A$50,密度!$U$2:$U$50)</f>
        <v>48537.1678264</v>
      </c>
      <c r="J16" s="73" ph="1">
        <f>J15*9.0746*LOOKUP(J17,密度!$A$2:$A$50,密度!$L$2:$L$50)</f>
        <v>45039.299734200002</v>
      </c>
      <c r="K16" s="73" ph="1">
        <f>K15*9.0746*LOOKUP(K17,密度!$A$2:$A$50,密度!$C$2:$C$50)</f>
        <v>41046.550145919995</v>
      </c>
      <c r="L16" s="73" ph="1">
        <f>L15*9.0746*LOOKUP(L17,密度!$A$2:$A$50,密度!$E$2:$E$50)</f>
        <v>37049.998300239997</v>
      </c>
      <c r="M16" s="73" ph="1">
        <f>M15*9.0746*LOOKUP(M17,密度!$A$2:$A$50,密度!$M$2:$M$50)</f>
        <v>34677.515819580003</v>
      </c>
      <c r="N16" s="73" ph="1">
        <f>N15*9.0746*LOOKUP(N17,密度!$A$2:$A$50,密度!$M$2:$M$50)</f>
        <v>2316.6274101999998</v>
      </c>
      <c r="O16" s="73" ph="1">
        <f>O15*9.0746*LOOKUP(O17,密度!$A$2:$A$50,密度!$G$2:$G$50)</f>
        <v>7085.85422208</v>
      </c>
      <c r="P16" s="73" ph="1">
        <f ca="1">P15*9.0746*LOOKUP(P17,密度!$A$2:$A$51,密度!$Q$2:$Q$50)</f>
        <v>60223.235433565998</v>
      </c>
      <c r="Q16" s="73" ph="1">
        <f>Q15*9.0746*LOOKUP(Q17,密度!$A$2:$A$50,密度!$Q$2:$Q$50)</f>
        <v>60683.183258740006</v>
      </c>
      <c r="R16" s="73" ph="1">
        <f>MAX(R15*9.0746*LOOKUP(R17,密度!$A$2:$A$50,密度!$B$2:$B$50),0)</f>
        <v>52297.747403520007</v>
      </c>
      <c r="S16" s="73" ph="1">
        <f>S15*9.0746*LOOKUP(S17,密度!$A$2:$A$50,密度!$Q$2:$Q$50)</f>
        <v>55220.687860500009</v>
      </c>
      <c r="T16" s="73" ph="1">
        <f>T15*9.0746*LOOKUP(T17,密度!$A$2:$A$50,密度!$O$2:$O$50)</f>
        <v>43192.046934400001</v>
      </c>
      <c r="U16" s="73" ph="1">
        <f>U15*9.0746*LOOKUP(U17,密度!$A$2:$A$50,密度!$H$2:$H$50)</f>
        <v>21412.23196356</v>
      </c>
      <c r="V16" s="73" ph="1">
        <f>MAX(5600*LOOKUP(V17,密度!$A$2:$A$50,密度!$Q$2:$Q$50)+V15*9.0476*LOOKUP(V17,密度!$A$2:$A$50,密度!$Q$2:$Q$50),0)</f>
        <v>48492.359335583998</v>
      </c>
      <c r="W16" s="73" ph="1">
        <f>MAX(5600*LOOKUP(W17,密度!$A$2:$A$50,密度!$Q$2:$Q$50)+W15*9.0476*LOOKUP(W17,密度!$A$2:$A$50,密度!$Q$2:$Q$50),0)</f>
        <v>30148.866410687999</v>
      </c>
      <c r="X16" s="73" ph="1">
        <f>MAX(5600*LOOKUP(X17,密度!$A$2:$A$50,密度!$I$2:$I$50)+X15*9.0476*LOOKUP(X17,密度!$A$2:$A$50,密度!$I$2:$I$50),0)</f>
        <v>10016.981467079999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71.816384400000004</v>
      </c>
      <c r="AB16" s="73" ph="1">
        <f>AB15*9.0746*LOOKUP(AB17,密度!$A$2:$A$50,密度!$L$2:$L$50)</f>
        <v>59519.593581200003</v>
      </c>
      <c r="AC16" s="73" ph="1">
        <f>AC15*9.0746*LOOKUP(AC17,密度!$A$2:$A$50,密度!$L$2:$L$50)</f>
        <v>18414.178319999999</v>
      </c>
      <c r="AD16" s="73" ph="1">
        <f>AD15*268.68*LOOKUP(AD17,密度!$A$2:$A$50,密度!B2:B50)+IF(AD15&lt;=0,0,1566*LOOKUP(AD17,密度!$A$2:$A$50,密度!B2:B50))</f>
        <v>11863.66497168</v>
      </c>
      <c r="AE16" s="73" ph="1">
        <f>AE15*268.68*LOOKUP(AE17,密度!$A$2:$A$50,密度!B2:B50)+IF(AE15&lt;=0,0,1566*LOOKUP(AE17,密度!$A$2:$A$50,密度!B2:B50))</f>
        <v>9733.4269939200003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19</v>
      </c>
      <c r="E17" s="74">
        <v>19</v>
      </c>
      <c r="F17" s="74">
        <v>13</v>
      </c>
      <c r="G17" s="74">
        <v>15</v>
      </c>
      <c r="H17" s="74">
        <v>11</v>
      </c>
      <c r="I17" s="74">
        <v>12</v>
      </c>
      <c r="J17" s="74">
        <v>15</v>
      </c>
      <c r="K17" s="74">
        <v>13</v>
      </c>
      <c r="L17" s="74">
        <v>12</v>
      </c>
      <c r="M17" s="74">
        <v>15</v>
      </c>
      <c r="N17" s="74">
        <v>14</v>
      </c>
      <c r="O17" s="74">
        <v>15</v>
      </c>
      <c r="P17" s="74">
        <v>18</v>
      </c>
      <c r="Q17" s="74">
        <v>19</v>
      </c>
      <c r="R17" s="74">
        <v>16</v>
      </c>
      <c r="S17" s="74">
        <v>12</v>
      </c>
      <c r="T17" s="74">
        <v>14</v>
      </c>
      <c r="U17" s="74">
        <v>10</v>
      </c>
      <c r="V17" s="74">
        <v>12</v>
      </c>
      <c r="W17" s="74">
        <v>14</v>
      </c>
      <c r="X17" s="74">
        <v>30</v>
      </c>
      <c r="Y17" s="108">
        <v>30</v>
      </c>
      <c r="Z17" s="74">
        <v>14</v>
      </c>
      <c r="AA17" s="74">
        <v>11</v>
      </c>
      <c r="AB17" s="74">
        <v>15</v>
      </c>
      <c r="AC17" s="74">
        <v>12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5534</v>
      </c>
      <c r="E18" s="71">
        <v>5963</v>
      </c>
      <c r="F18" s="71">
        <v>1852</v>
      </c>
      <c r="G18" s="71">
        <v>5254</v>
      </c>
      <c r="H18" s="71">
        <v>5302</v>
      </c>
      <c r="I18" s="71">
        <v>5207</v>
      </c>
      <c r="J18" s="71">
        <v>5260</v>
      </c>
      <c r="K18" s="71">
        <v>4049</v>
      </c>
      <c r="L18" s="71">
        <v>5117</v>
      </c>
      <c r="M18" s="71">
        <v>1385</v>
      </c>
      <c r="N18" s="71">
        <v>1627</v>
      </c>
      <c r="O18" s="71">
        <v>938</v>
      </c>
      <c r="P18" s="71">
        <v>6981</v>
      </c>
      <c r="Q18" s="71">
        <v>7029</v>
      </c>
      <c r="R18" s="71">
        <v>7332</v>
      </c>
      <c r="S18" s="71">
        <v>6384</v>
      </c>
      <c r="T18" s="71">
        <v>5104</v>
      </c>
      <c r="U18" s="71">
        <v>4300</v>
      </c>
      <c r="V18" s="71">
        <v>4996</v>
      </c>
      <c r="W18" s="71">
        <v>3443</v>
      </c>
      <c r="X18" s="71">
        <v>408</v>
      </c>
      <c r="Y18" s="109">
        <v>-9902</v>
      </c>
      <c r="Z18" s="71">
        <v>0</v>
      </c>
      <c r="AA18" s="71">
        <v>11</v>
      </c>
      <c r="AB18" s="71">
        <v>6934</v>
      </c>
      <c r="AC18" s="71">
        <v>2138</v>
      </c>
      <c r="AD18" s="71">
        <v>84.45</v>
      </c>
      <c r="AE18" s="71">
        <v>58.72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9" t="s" ph="1">
        <v>178</v>
      </c>
      <c r="D19" s="73" ph="1">
        <f>D18*7.0686*LOOKUP(D20,密度!$A$2:$A$50,密度!$L$2:$L$50)</f>
        <v>36848.809720800004</v>
      </c>
      <c r="E19" s="73" ph="1">
        <f>E18*7.0686*LOOKUP(E20,密度!$A$2:$A$50,密度!$L$2:$L$50)</f>
        <v>39705.358215599997</v>
      </c>
      <c r="F19" s="73" ph="1">
        <f>F18*9.0746*LOOKUP(F20,密度!$A$2:$A$50,密度!$L$2:$L$50)</f>
        <v>15865.014284800001</v>
      </c>
      <c r="G19" s="73" ph="1">
        <f>G18*9.0746*LOOKUP(G20,密度!$A$2:$A$50,密度!$B$2:$B$50)</f>
        <v>37460.564057880001</v>
      </c>
      <c r="H19" s="73" ph="1">
        <f>H18*9.0746*LOOKUP(H20,密度!$A$2:$A$50,密度!$L$2:$L$50)</f>
        <v>45707.852740000002</v>
      </c>
      <c r="I19" s="73" ph="1">
        <f>I18*9.0746*LOOKUP(I20,密度!$A$2:$A$50,密度!$U$2:$U$50)</f>
        <v>48574.482581600001</v>
      </c>
      <c r="J19" s="73" ph="1">
        <f>J18*9.0746*LOOKUP(J20,密度!$A$2:$A$50,密度!$L$2:$L$50)</f>
        <v>45059.381823999996</v>
      </c>
      <c r="K19" s="73" ph="1">
        <f>K18*9.0746*LOOKUP(K20,密度!$A$2:$A$50,密度!$C$2:$C$50)</f>
        <v>40928.089410059991</v>
      </c>
      <c r="L19" s="73" ph="1">
        <f>L18*9.0746*LOOKUP(L20,密度!$A$2:$A$50,密度!$E$2:$E$50)</f>
        <v>36850.600299519996</v>
      </c>
      <c r="M19" s="73" ph="1">
        <f>M18*9.0746*LOOKUP(M20,密度!$A$2:$A$50,密度!$M$2:$M$50)</f>
        <v>11063.8929763</v>
      </c>
      <c r="N19" s="73" ph="1">
        <f>N18*9.0746*LOOKUP(N20,密度!$A$2:$A$50,密度!$M$2:$M$50)</f>
        <v>12997.078608259999</v>
      </c>
      <c r="O19" s="73" ph="1">
        <f>O18*9.0746*LOOKUP(O20,密度!$A$2:$A$50,密度!$G$2:$G$50)</f>
        <v>8221.7164593199996</v>
      </c>
      <c r="P19" s="73" ph="1">
        <f ca="1">P18*9.0746*LOOKUP(P20,密度!$A$2:$A$51,密度!$Q$2:$Q$50)</f>
        <v>60206.366387388</v>
      </c>
      <c r="Q19" s="73" ph="1">
        <f>Q18*9.0746*LOOKUP(Q20,密度!$A$2:$A$50,密度!$Q$2:$Q$50)</f>
        <v>60620.333668092004</v>
      </c>
      <c r="R19" s="73" ph="1">
        <f>MAX(R18*9.0746*LOOKUP(R20,密度!$A$2:$A$50,密度!$B$2:$B$50),0)</f>
        <v>52170.067781520003</v>
      </c>
      <c r="S19" s="73" ph="1">
        <f>S18*9.0746*LOOKUP(S20,密度!$A$2:$A$50,密度!$Q$2:$Q$50)</f>
        <v>55244.190167040004</v>
      </c>
      <c r="T19" s="73" ph="1">
        <f>T18*9.0746*LOOKUP(T20,密度!$A$2:$A$50,密度!$O$2:$O$50)</f>
        <v>43074.585312000003</v>
      </c>
      <c r="U19" s="73" ph="1">
        <f>U18*9.0746*LOOKUP(U20,密度!$A$2:$A$50,密度!$H$2:$H$50)</f>
        <v>36082.515265999995</v>
      </c>
      <c r="V19" s="73" ph="1">
        <f>MAX(5600*LOOKUP(V20,密度!$A$2:$A$50,密度!$Q$2:$Q$50)+V18*9.0476*LOOKUP(V20,密度!$A$2:$A$50,密度!$Q$2:$Q$50),0)</f>
        <v>48324.20534580799</v>
      </c>
      <c r="W19" s="73" ph="1">
        <f>MAX(5600*LOOKUP(W20,密度!$A$2:$A$50,密度!$Q$2:$Q$50)+W18*9.0476*LOOKUP(W20,密度!$A$2:$A$50,密度!$Q$2:$Q$50),0)</f>
        <v>34958.546050763995</v>
      </c>
      <c r="X19" s="73" ph="1">
        <f>MAX(5600*LOOKUP(X20,密度!$A$2:$A$50,密度!$I$2:$I$50)+X18*9.0476*LOOKUP(X20,密度!$A$2:$A$50,密度!$I$2:$I$50),0)</f>
        <v>9632.4159433599998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78.429045419999994</v>
      </c>
      <c r="AB19" s="73" ph="1">
        <f>AB18*9.0746*LOOKUP(AB20,密度!$A$2:$A$50,密度!$L$2:$L$50)</f>
        <v>59462.496198000001</v>
      </c>
      <c r="AC19" s="73" ph="1">
        <f>AC18*9.0746*LOOKUP(AC20,密度!$A$2:$A$50,密度!$L$2:$L$50)</f>
        <v>18373.215575599999</v>
      </c>
      <c r="AD19" s="73" ph="1">
        <f>AD18*268.68*LOOKUP(AD20,密度!$A$2:$A$50,密度!B5:B53)+IF(AD18&lt;=0,0,1566*LOOKUP(AD20,密度!$A$2:$A$50,密度!B5:B53))</f>
        <v>18846.932202</v>
      </c>
      <c r="AE19" s="73" ph="1">
        <f>AE18*268.68*LOOKUP(AE20,密度!$A$2:$A$50,密度!B5:B53)+IF(AE18&lt;=0,0,1566*LOOKUP(AE20,密度!$A$2:$A$50,密度!B5:B53))</f>
        <v>13475.4252192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20</v>
      </c>
      <c r="E20" s="81">
        <v>20</v>
      </c>
      <c r="F20" s="81">
        <v>18</v>
      </c>
      <c r="G20" s="81">
        <v>18</v>
      </c>
      <c r="H20" s="81">
        <v>12</v>
      </c>
      <c r="I20" s="81">
        <v>18</v>
      </c>
      <c r="J20" s="81">
        <v>18</v>
      </c>
      <c r="K20" s="81">
        <v>18</v>
      </c>
      <c r="L20" s="81">
        <v>16</v>
      </c>
      <c r="M20" s="81">
        <v>20</v>
      </c>
      <c r="N20" s="81">
        <v>18</v>
      </c>
      <c r="O20" s="81">
        <v>20</v>
      </c>
      <c r="P20" s="81">
        <v>20</v>
      </c>
      <c r="Q20" s="81">
        <v>20</v>
      </c>
      <c r="R20" s="81">
        <v>20</v>
      </c>
      <c r="S20" s="81">
        <v>16</v>
      </c>
      <c r="T20" s="81">
        <v>20</v>
      </c>
      <c r="U20" s="81">
        <v>15</v>
      </c>
      <c r="V20" s="81">
        <v>19</v>
      </c>
      <c r="W20" s="81">
        <v>19</v>
      </c>
      <c r="X20" s="81">
        <v>30</v>
      </c>
      <c r="Y20" s="110">
        <v>30</v>
      </c>
      <c r="Z20" s="81">
        <v>25</v>
      </c>
      <c r="AA20" s="81">
        <v>18</v>
      </c>
      <c r="AB20" s="81">
        <v>17</v>
      </c>
      <c r="AC20" s="81">
        <v>15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647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9" t="s" ph="1">
        <v>177</v>
      </c>
      <c r="D24" s="71">
        <v>5.4</v>
      </c>
      <c r="E24" s="71">
        <v>4.93</v>
      </c>
      <c r="F24" s="71">
        <v>508</v>
      </c>
      <c r="G24" s="71">
        <v>3604</v>
      </c>
      <c r="H24" s="71">
        <v>3645</v>
      </c>
      <c r="I24" s="71">
        <v>2134</v>
      </c>
      <c r="J24" s="71">
        <v>4915</v>
      </c>
      <c r="K24" s="71">
        <v>4710</v>
      </c>
      <c r="L24" s="71">
        <v>5527</v>
      </c>
      <c r="M24" s="71">
        <v>5059</v>
      </c>
      <c r="N24" s="71">
        <v>2841</v>
      </c>
      <c r="O24" s="71">
        <v>5713</v>
      </c>
      <c r="P24" s="71">
        <v>344</v>
      </c>
      <c r="Q24" s="90">
        <v>3449</v>
      </c>
      <c r="R24" s="71">
        <v>2011</v>
      </c>
      <c r="S24" s="71">
        <v>2959</v>
      </c>
      <c r="T24" s="71">
        <v>180</v>
      </c>
      <c r="U24" s="71">
        <v>4512</v>
      </c>
      <c r="V24" s="71">
        <v>5201</v>
      </c>
      <c r="W24" s="71">
        <v>2706</v>
      </c>
      <c r="X24" s="71">
        <v>7633</v>
      </c>
      <c r="Y24" s="71">
        <v>4408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2856.1933972799998</v>
      </c>
      <c r="E25" s="91" ph="1">
        <f>E24*268.68*LOOKUP(E26,密度!$A$2:$A$50,密度!$C$2:$C$50)+IF(E24&lt;=0,0,1566*LOOKUP(E26,密度!$A$2:$A$50,密度!$C$2:$C$50))</f>
        <v>3205.3779123599998</v>
      </c>
      <c r="F25" s="91" ph="1">
        <f>F24*11.702*LOOKUP(F26,密度!$A$2:$A$50,密度!$Q$2:$Q$50)</f>
        <v>5674.3737566400005</v>
      </c>
      <c r="G25" s="91" ph="1">
        <f>G24*18.322*LOOKUP(G26,密度!$A$2:$A$50,密度!$B$2:$B$50)</f>
        <v>51980.7745536</v>
      </c>
      <c r="H25" s="91" ph="1">
        <f>H24*18.322*LOOKUP(H26,密度!$A$2:$A$50,密度!$B$2:$B$50)</f>
        <v>52572.120768000001</v>
      </c>
      <c r="I25" s="91" ph="1">
        <f>I24*18.322*LOOKUP(I26,密度!$A$2:$A$50,密度!$Q$2:$Q$50)</f>
        <v>37321.700731920006</v>
      </c>
      <c r="J25" s="91" ph="1">
        <f>J24*18.322*LOOKUP(J26,密度!$A$2:$A$50,密度!$Q$2:$Q$50)</f>
        <v>85958.83744019999</v>
      </c>
      <c r="K25" s="91" ph="1">
        <f>K24*18.322*LOOKUP(K26,密度!$A$2:$A$50,密度!$Q$2:$Q$50)</f>
        <v>82292.456831999996</v>
      </c>
      <c r="L25" s="91" ph="1">
        <f>L24*18.322*LOOKUP(L26,密度!$A$2:$A$50,密度!$Q$2:$Q$50)</f>
        <v>96566.965798399993</v>
      </c>
      <c r="M25" s="91" ph="1">
        <f>M24*18.322*LOOKUP(M26,密度!$A$2:$A$50,密度!$Q$2:$Q$50)</f>
        <v>88477.265230919991</v>
      </c>
      <c r="N25" s="91" ph="1">
        <f>N24*18.322*LOOKUP(N26,密度!$A$2:$A$50,密度!$Q$2:$Q$50)</f>
        <v>49686.481621079998</v>
      </c>
      <c r="O25" s="91" ph="1">
        <f>O24*18.322*LOOKUP(O26,密度!$A$2:$A$50,密度!$C$2:$C$50)</f>
        <v>116794.78725879999</v>
      </c>
      <c r="P25" s="91" ph="1">
        <f>P24*11.702*LOOKUP(P26,密度!$A$2:$A$50,密度!$B$2:$B$50)</f>
        <v>3165.6437631999997</v>
      </c>
      <c r="Q25" s="92" ph="1">
        <f>Q24*18.322*LOOKUP(Q26,密度!$A$2:$A$50,密度!$B$2:$B$50)</f>
        <v>49795.751464000001</v>
      </c>
      <c r="R25" s="91" ph="1">
        <f>R24*35.891*LOOKUP(R26,密度!$A$2:$A$50,密度!$C$2:$C$50)</f>
        <v>80534.874555799979</v>
      </c>
      <c r="S25" s="91" ph="1">
        <f>S24*35.891*LOOKUP(S26,密度!$A$2:$A$50,密度!$B$2:$B$50)</f>
        <v>83601.796396799997</v>
      </c>
      <c r="T25" s="91" ph="1">
        <f>T24*35.891*LOOKUP(T26,密度!$A$2:$A$50,密度!$Q$2:$Q$50)</f>
        <v>6166.6911252000009</v>
      </c>
      <c r="U25" s="91" ph="1">
        <f>U24*35.891</f>
        <v>161940.19199999998</v>
      </c>
      <c r="V25" s="91" ph="1">
        <f>V24*47.051*LOOKUP(V26,密度!$A$2:$A$50,密度!$B$2:$B$50)</f>
        <v>192441.7141864</v>
      </c>
      <c r="W25" s="91" ph="1">
        <f>W24*47.051*LOOKUP(W26,密度!$A$2:$A$50,密度!$B$2:$B$50)</f>
        <v>100328.16472800002</v>
      </c>
      <c r="X25" s="91" ph="1">
        <f>X24*47.051*LOOKUP(X26,密度!$A$2:$A$61,密度!$I$2:$I$61)</f>
        <v>365102.01169779996</v>
      </c>
      <c r="Y25" s="91" ph="1">
        <f>Y24*47.051*LOOKUP(Y26,密度!$A$2:$A$50,密度!$L$2:$L$50)</f>
        <v>195786.36275200002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15</v>
      </c>
      <c r="G26" s="74">
        <v>16</v>
      </c>
      <c r="H26" s="74">
        <v>16</v>
      </c>
      <c r="I26" s="74">
        <v>15</v>
      </c>
      <c r="J26" s="74">
        <v>15</v>
      </c>
      <c r="K26" s="74">
        <v>16</v>
      </c>
      <c r="L26" s="74">
        <v>16</v>
      </c>
      <c r="M26" s="74">
        <v>15</v>
      </c>
      <c r="N26" s="74">
        <v>15</v>
      </c>
      <c r="O26" s="74">
        <v>15</v>
      </c>
      <c r="P26" s="74">
        <v>17</v>
      </c>
      <c r="Q26" s="93">
        <v>15</v>
      </c>
      <c r="R26" s="74">
        <v>15</v>
      </c>
      <c r="S26" s="74">
        <v>16</v>
      </c>
      <c r="T26" s="74">
        <v>14</v>
      </c>
      <c r="U26" s="74">
        <v>15</v>
      </c>
      <c r="V26" s="74">
        <v>17</v>
      </c>
      <c r="W26" s="74">
        <v>15</v>
      </c>
      <c r="X26" s="74">
        <v>48</v>
      </c>
      <c r="Y26" s="74">
        <v>18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9" t="s" ph="1">
        <v>180</v>
      </c>
      <c r="D27" s="71">
        <v>5.41</v>
      </c>
      <c r="E27" s="71">
        <v>4.92</v>
      </c>
      <c r="F27" s="71">
        <v>507</v>
      </c>
      <c r="G27" s="71">
        <v>3158</v>
      </c>
      <c r="H27" s="71">
        <v>3226</v>
      </c>
      <c r="I27" s="71">
        <v>1250</v>
      </c>
      <c r="J27" s="71">
        <v>4910</v>
      </c>
      <c r="K27" s="71">
        <v>4711</v>
      </c>
      <c r="L27" s="71">
        <v>5525</v>
      </c>
      <c r="M27" s="71">
        <v>5059</v>
      </c>
      <c r="N27" s="71">
        <v>2838</v>
      </c>
      <c r="O27" s="71">
        <v>5711</v>
      </c>
      <c r="P27" s="71">
        <v>338</v>
      </c>
      <c r="Q27" s="90">
        <v>3706</v>
      </c>
      <c r="R27" s="71">
        <v>2009</v>
      </c>
      <c r="S27" s="71">
        <v>2965</v>
      </c>
      <c r="T27" s="71">
        <v>177</v>
      </c>
      <c r="U27" s="71">
        <v>4430</v>
      </c>
      <c r="V27" s="71">
        <v>6146</v>
      </c>
      <c r="W27" s="71">
        <v>4116</v>
      </c>
      <c r="X27" s="71">
        <v>7630</v>
      </c>
      <c r="Y27" s="71">
        <v>4921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9" t="s" ph="1">
        <v>178</v>
      </c>
      <c r="D28" s="91" ph="1">
        <f>D27*268.68*LOOKUP(D29,密度!$A$2:$A$50,密度!$Q$2:$Q$50)+IF(D27&lt;=0,0,1566*LOOKUP(D29,密度!$A$2:$A$50,密度!$Q$2:$Q$50))</f>
        <v>2858.7370983119999</v>
      </c>
      <c r="E28" s="91" ph="1">
        <f>E27*268.68*LOOKUP(E29,密度!$A$2:$A$50,密度!$C$2:$C$50)+IF(E27&lt;=0,0,1566*LOOKUP(E29,密度!$A$2:$A$50,密度!$C$2:$C$50))</f>
        <v>3202.3985198400001</v>
      </c>
      <c r="F28" s="91" ph="1">
        <f>F27*11.702*LOOKUP(F29,密度!$A$2:$A$50,密度!$Q$2:$Q$50)</f>
        <v>5663.2037295600003</v>
      </c>
      <c r="G28" s="91" ph="1">
        <f>G27*18.322*LOOKUP(G29,密度!$A$2:$A$50,密度!$B$2:$B$50)</f>
        <v>45594.370287999998</v>
      </c>
      <c r="H28" s="91" ph="1">
        <f>H27*18.322*LOOKUP(H29,密度!$A$2:$A$50,密度!$B$2:$B$50)</f>
        <v>46576.136336000003</v>
      </c>
      <c r="I28" s="91" ph="1">
        <f>I27*18.322*LOOKUP(I29,密度!$A$2:$A$50,密度!$Q$2:$Q$50)</f>
        <v>21861.352350000001</v>
      </c>
      <c r="J28" s="91" ph="1">
        <f>J27*18.322*LOOKUP(J29,密度!$A$2:$A$50,密度!$Q$2:$Q$50)</f>
        <v>85871.392030799994</v>
      </c>
      <c r="K28" s="91" ph="1">
        <f>K27*18.322*LOOKUP(K29,密度!$A$2:$A$50,密度!$Q$2:$Q$50)</f>
        <v>82309.928691199995</v>
      </c>
      <c r="L28" s="91" ph="1">
        <f>L27*18.322*LOOKUP(L29,密度!$A$2:$A$50,密度!$Q$2:$Q$50)</f>
        <v>96627.177386999989</v>
      </c>
      <c r="M28" s="91" ph="1">
        <f>M27*18.322*LOOKUP(M29,密度!$A$2:$A$50,密度!$Q$2:$Q$50)</f>
        <v>88477.265230919991</v>
      </c>
      <c r="N28" s="91" ph="1">
        <f>N27*18.322*LOOKUP(N29,密度!$A$2:$A$50,密度!$Q$2:$Q$50)</f>
        <v>49634.014375439998</v>
      </c>
      <c r="O28" s="91" ph="1">
        <f>O27*18.322*LOOKUP(O29,密度!$A$2:$A$50,密度!$C$2:$C$50)</f>
        <v>116753.89988359998</v>
      </c>
      <c r="P28" s="91" ph="1">
        <f>P27*11.702*LOOKUP(P29,密度!$A$2:$A$50,密度!$B$2:$B$50)</f>
        <v>3113.5932671999999</v>
      </c>
      <c r="Q28" s="92" ph="1">
        <f>Q27*18.322*LOOKUP(Q29,密度!$A$2:$A$50,密度!$B$2:$B$50)</f>
        <v>53506.249616000001</v>
      </c>
      <c r="R28" s="91" ph="1">
        <f>R27*35.891*LOOKUP(R29,密度!$A$2:$A$50,密度!$C$2:$C$50)</f>
        <v>80454.780200199995</v>
      </c>
      <c r="S28" s="91" ph="1">
        <f>S27*35.891*LOOKUP(S29,密度!$A$2:$A$50,密度!$B$2:$B$50)</f>
        <v>83952.225353499991</v>
      </c>
      <c r="T28" s="91" ph="1">
        <f>T27*35.891*LOOKUP(T29,密度!$A$2:$A$50,密度!$Q$2:$Q$50)</f>
        <v>6047.8405910699994</v>
      </c>
      <c r="U28" s="91" ph="1">
        <f>U27*35.891</f>
        <v>158997.13</v>
      </c>
      <c r="V28" s="91" ph="1">
        <f>V27*47.051*LOOKUP(V29,密度!$A$2:$A$50,密度!$B$2:$B$50)</f>
        <v>228130.5093494</v>
      </c>
      <c r="W28" s="91" ph="1">
        <f>W27*47.051*LOOKUP(W29,密度!$A$2:$A$50,密度!$B$2:$B$50)</f>
        <v>152605.58980800002</v>
      </c>
      <c r="X28" s="91" ph="1">
        <f>X27*47.051*LOOKUP(X29,密度!$A$2:$A$61,密度!$I$2:$I$61)</f>
        <v>364958.51555800001</v>
      </c>
      <c r="Y28" s="91" ph="1">
        <f>Y27*47.051*LOOKUP(Y29,密度!$A$2:$A$50,密度!$L$2:$L$50)</f>
        <v>218108.76868199999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9" t="s" ph="1">
        <v>179</v>
      </c>
      <c r="D29" s="74">
        <v>25</v>
      </c>
      <c r="E29" s="74">
        <v>25</v>
      </c>
      <c r="F29" s="74">
        <v>15</v>
      </c>
      <c r="G29" s="74">
        <v>15</v>
      </c>
      <c r="H29" s="74">
        <v>15</v>
      </c>
      <c r="I29" s="74">
        <v>15</v>
      </c>
      <c r="J29" s="74">
        <v>15</v>
      </c>
      <c r="K29" s="74">
        <v>16</v>
      </c>
      <c r="L29" s="74">
        <v>15</v>
      </c>
      <c r="M29" s="74">
        <v>15</v>
      </c>
      <c r="N29" s="74">
        <v>15</v>
      </c>
      <c r="O29" s="74">
        <v>15</v>
      </c>
      <c r="P29" s="74">
        <v>16</v>
      </c>
      <c r="Q29" s="93">
        <v>15</v>
      </c>
      <c r="R29" s="74">
        <v>15</v>
      </c>
      <c r="S29" s="74">
        <v>14</v>
      </c>
      <c r="T29" s="74">
        <v>18</v>
      </c>
      <c r="U29" s="74">
        <v>13</v>
      </c>
      <c r="V29" s="74">
        <v>14</v>
      </c>
      <c r="W29" s="74">
        <v>15</v>
      </c>
      <c r="X29" s="74">
        <v>48</v>
      </c>
      <c r="Y29" s="74">
        <v>20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9" t="s" ph="1">
        <v>5</v>
      </c>
      <c r="F32" s="168" t="s" ph="1">
        <v>43</v>
      </c>
      <c r="G32" s="97" t="s" ph="1">
        <v>4</v>
      </c>
      <c r="H32" s="169" t="s" ph="1">
        <v>5</v>
      </c>
      <c r="I32" s="168" t="s" ph="1">
        <v>43</v>
      </c>
      <c r="J32" s="97" t="s" ph="1">
        <v>4</v>
      </c>
      <c r="K32" s="169" t="s" ph="1">
        <v>5</v>
      </c>
      <c r="L32" s="168" t="s" ph="1">
        <v>43</v>
      </c>
      <c r="M32" s="97" t="s" ph="1">
        <v>4</v>
      </c>
      <c r="N32" s="169" t="s" ph="1">
        <v>5</v>
      </c>
      <c r="O32" s="16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9" t="s" ph="1">
        <v>5</v>
      </c>
      <c r="U32" s="99" t="s" ph="1">
        <v>43</v>
      </c>
      <c r="V32" s="97" t="s" ph="1">
        <v>4</v>
      </c>
      <c r="W32" s="169" t="s" ph="1">
        <v>5</v>
      </c>
      <c r="X32" s="99" t="s" ph="1">
        <v>43</v>
      </c>
      <c r="Y32" s="100" t="s" ph="1">
        <v>4</v>
      </c>
      <c r="Z32" s="169" t="s" ph="1">
        <v>5</v>
      </c>
      <c r="AA32" s="168" t="s" ph="1">
        <v>43</v>
      </c>
      <c r="AB32" s="97" t="s" ph="1">
        <v>85</v>
      </c>
      <c r="AC32" s="169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190573.182436</v>
      </c>
      <c r="E33" s="213" ph="1">
        <f>M10+I10</f>
        <v>47503.038226000004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7" ph="1">
        <f>N19</f>
        <v>12997.078608259999</v>
      </c>
      <c r="H33" s="213" ph="1">
        <f>M19</f>
        <v>11063.8929763</v>
      </c>
      <c r="I33" s="226" ph="1">
        <v>0</v>
      </c>
      <c r="J33" s="224" ph="1">
        <f>F10+O28</f>
        <v>296244.01209079998</v>
      </c>
      <c r="K33" s="213" ph="1">
        <f>O10+K10+E28+R28</f>
        <v>95707.570324439992</v>
      </c>
      <c r="L33" s="228" ph="1">
        <f>K19</f>
        <v>40928.089410059991</v>
      </c>
      <c r="M33" s="224" ph="1">
        <f>G10+H10+W28+S28+V28+E10+R19+P28+Q28</f>
        <v>760865.56519362004</v>
      </c>
      <c r="N33" s="213" ph="1">
        <f>L10+P10++G28+H28+AD19+AE19</f>
        <v>329093.71949620004</v>
      </c>
      <c r="O33" s="226" ph="1">
        <f>G19</f>
        <v>37460.564057880001</v>
      </c>
      <c r="P33" s="224" ph="1">
        <f>L19</f>
        <v>36850.600299519996</v>
      </c>
      <c r="Q33" s="213" ph="1">
        <f>J10+N10</f>
        <v>127656.863486</v>
      </c>
      <c r="R33" s="226" ph="1">
        <f>BE23</f>
        <v>890</v>
      </c>
      <c r="S33" s="224" ph="1">
        <f>X28</f>
        <v>364958.51555800001</v>
      </c>
      <c r="T33" s="213" ph="1">
        <f>X19</f>
        <v>9632.4159433599998</v>
      </c>
      <c r="U33" s="234" ph="1">
        <f>BE21</f>
        <v>730</v>
      </c>
      <c r="V33" s="245" ph="1">
        <f ca="1">P19+Q19+S19+M28+N28+J28+D10+AC10+D19+E19+H19+J19+O19+V19+W19+K28+L28</f>
        <v>1307349.6552413721</v>
      </c>
      <c r="W33" s="245" ph="1">
        <f>D28+F28+T28+I28</f>
        <v>36431.133768942003</v>
      </c>
      <c r="X33" s="226" ph="1">
        <f>BE29+BE31</f>
        <v>10200</v>
      </c>
      <c r="Y33" s="247" ph="1">
        <f>+Q10+R10+S10+T10+U10+V10+W10+X10+Y10</f>
        <v>172316.6626104</v>
      </c>
      <c r="Z33" s="232" ph="1">
        <f>T19+U19+Y28+Z10</f>
        <v>433665.51988400001</v>
      </c>
      <c r="AA33" s="234" ph="1">
        <f>BE19</f>
        <v>1440</v>
      </c>
      <c r="AB33" s="236" ph="1">
        <f>I19</f>
        <v>48574.482581600001</v>
      </c>
      <c r="AC33" s="238" ph="1">
        <f>AD10+AB19</f>
        <v>153593.08595800001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7" t="s" ph="1">
        <v>185</v>
      </c>
      <c r="AA36" s="167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342</v>
      </c>
      <c r="AI37" s="167" t="s" ph="1">
        <v>209</v>
      </c>
      <c r="AJ37" s="167" t="s" ph="1">
        <v>210</v>
      </c>
      <c r="AK37" s="167" t="s" ph="1">
        <v>211</v>
      </c>
      <c r="AM37" s="167" t="s" ph="1">
        <v>210</v>
      </c>
      <c r="AN37" s="167" t="s" ph="1">
        <v>211</v>
      </c>
      <c r="AO37" s="167" t="s" ph="1">
        <v>212</v>
      </c>
      <c r="AP37" s="167" t="s" ph="1">
        <v>210</v>
      </c>
      <c r="AQ37" s="167" t="s" ph="1">
        <v>211</v>
      </c>
      <c r="AR37" s="167" t="s" ph="1">
        <v>212</v>
      </c>
      <c r="AS37" s="167" t="s" ph="1">
        <v>210</v>
      </c>
      <c r="AT37" s="167" t="s" ph="1">
        <v>211</v>
      </c>
      <c r="AU37" s="167" t="s" ph="1">
        <v>212</v>
      </c>
      <c r="AV37" s="167" t="s" ph="1">
        <v>210</v>
      </c>
      <c r="AW37" s="167" t="s" ph="1">
        <v>211</v>
      </c>
      <c r="AX37" s="167" t="s" ph="1">
        <v>212</v>
      </c>
      <c r="AY37" s="167" t="s" ph="1">
        <v>211</v>
      </c>
      <c r="AZ37" s="167" t="s" ph="1">
        <v>213</v>
      </c>
      <c r="BD37" s="167" t="s" ph="1">
        <v>305</v>
      </c>
      <c r="BE37" s="16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79" priority="100">
      <formula>ABS(D$7-D$10)&gt;=1000</formula>
    </cfRule>
  </conditionalFormatting>
  <conditionalFormatting sqref="E4 E6:E11">
    <cfRule type="expression" dxfId="778" priority="99">
      <formula>ABS(E$7-E$10)&gt;=1000</formula>
    </cfRule>
  </conditionalFormatting>
  <conditionalFormatting sqref="F4:F11">
    <cfRule type="expression" dxfId="777" priority="98">
      <formula>ABS(F$7-F$10)&gt;=1000</formula>
    </cfRule>
  </conditionalFormatting>
  <conditionalFormatting sqref="G4:G11">
    <cfRule type="expression" dxfId="776" priority="97">
      <formula>ABS(G$7-G$10)&gt;=1000</formula>
    </cfRule>
  </conditionalFormatting>
  <conditionalFormatting sqref="H4:H11">
    <cfRule type="expression" dxfId="775" priority="96">
      <formula>ABS(H$7-H$10)&gt;=1000</formula>
    </cfRule>
  </conditionalFormatting>
  <conditionalFormatting sqref="I4:I11">
    <cfRule type="expression" dxfId="774" priority="95">
      <formula>ABS(I$7-I$10)&gt;=1000</formula>
    </cfRule>
  </conditionalFormatting>
  <conditionalFormatting sqref="J4:J11">
    <cfRule type="expression" dxfId="773" priority="94">
      <formula>ABS(J$7-J$10)&gt;=1000</formula>
    </cfRule>
  </conditionalFormatting>
  <conditionalFormatting sqref="K4:K11">
    <cfRule type="expression" dxfId="772" priority="93">
      <formula>ABS(K$7-K$10)&gt;=1000</formula>
    </cfRule>
  </conditionalFormatting>
  <conditionalFormatting sqref="L4:L11">
    <cfRule type="expression" dxfId="771" priority="92">
      <formula>ABS(L$7-L$10)&gt;=1000</formula>
    </cfRule>
  </conditionalFormatting>
  <conditionalFormatting sqref="M4 M6:M11">
    <cfRule type="expression" dxfId="770" priority="91">
      <formula>ABS(M$7-M$10)&gt;=1000</formula>
    </cfRule>
  </conditionalFormatting>
  <conditionalFormatting sqref="N4 N6:N11">
    <cfRule type="expression" dxfId="769" priority="90">
      <formula>ABS(N$7-N$10)&gt;=1000</formula>
    </cfRule>
  </conditionalFormatting>
  <conditionalFormatting sqref="O4 O6:O11">
    <cfRule type="expression" dxfId="768" priority="89">
      <formula>ABS(O$7-O$10)&gt;=1000</formula>
    </cfRule>
  </conditionalFormatting>
  <conditionalFormatting sqref="P4 P6:P11">
    <cfRule type="expression" dxfId="767" priority="88">
      <formula>ABS(P$7-P$10)&gt;=1000</formula>
    </cfRule>
  </conditionalFormatting>
  <conditionalFormatting sqref="Q4:Q11">
    <cfRule type="expression" dxfId="766" priority="87">
      <formula>ABS(Q$7-Q$10)&gt;=1000</formula>
    </cfRule>
  </conditionalFormatting>
  <conditionalFormatting sqref="R4:R11">
    <cfRule type="expression" dxfId="765" priority="86">
      <formula>ABS(R$7-R$10)&gt;=1000</formula>
    </cfRule>
  </conditionalFormatting>
  <conditionalFormatting sqref="S4:S11">
    <cfRule type="expression" dxfId="764" priority="85">
      <formula>ABS(S$7-S$10)&gt;=1000</formula>
    </cfRule>
  </conditionalFormatting>
  <conditionalFormatting sqref="T4:T9 T11">
    <cfRule type="expression" dxfId="763" priority="84">
      <formula>ABS(T$7-T$10)&gt;=1000</formula>
    </cfRule>
  </conditionalFormatting>
  <conditionalFormatting sqref="U4:U9 U11">
    <cfRule type="expression" dxfId="762" priority="83">
      <formula>ABS(U$7-U$10)&gt;=1000</formula>
    </cfRule>
  </conditionalFormatting>
  <conditionalFormatting sqref="V4:V9 V11">
    <cfRule type="expression" dxfId="761" priority="82">
      <formula>ABS(V$7-V$10)&gt;=1000</formula>
    </cfRule>
  </conditionalFormatting>
  <conditionalFormatting sqref="W4:W9 W11">
    <cfRule type="expression" dxfId="760" priority="81">
      <formula>ABS(W$7-W$10)&gt;=1000</formula>
    </cfRule>
  </conditionalFormatting>
  <conditionalFormatting sqref="X4:X9 X11">
    <cfRule type="expression" dxfId="759" priority="80">
      <formula>ABS(X$7-X$10)&gt;=1000</formula>
    </cfRule>
  </conditionalFormatting>
  <conditionalFormatting sqref="Y4:Y9 Y11">
    <cfRule type="expression" dxfId="758" priority="79">
      <formula>ABS(Y$7-Y$10)&gt;=1000</formula>
    </cfRule>
  </conditionalFormatting>
  <conditionalFormatting sqref="Z4:Z11">
    <cfRule type="expression" dxfId="757" priority="78">
      <formula>ABS(Z$7-Z$10)&gt;=1000</formula>
    </cfRule>
  </conditionalFormatting>
  <conditionalFormatting sqref="AA4:AA11">
    <cfRule type="expression" dxfId="756" priority="77">
      <formula>ABS(AA$7-AA$10)&gt;=1000</formula>
    </cfRule>
  </conditionalFormatting>
  <conditionalFormatting sqref="AB4:AB11">
    <cfRule type="expression" dxfId="755" priority="76">
      <formula>ABS(AB$7-AB$10)&gt;=1000</formula>
    </cfRule>
  </conditionalFormatting>
  <conditionalFormatting sqref="AC4 AC6:AC11">
    <cfRule type="expression" dxfId="754" priority="75">
      <formula>ABS(AC$7-AC$10)&gt;=1000</formula>
    </cfRule>
  </conditionalFormatting>
  <conditionalFormatting sqref="AD4 AD6:AD11">
    <cfRule type="expression" dxfId="753" priority="74">
      <formula>ABS(AD$7-AD$10)&gt;=1000</formula>
    </cfRule>
  </conditionalFormatting>
  <conditionalFormatting sqref="AE4 AE6:AE11">
    <cfRule type="expression" dxfId="752" priority="73">
      <formula>ABS(AE$7-AE$10)&gt;=1000</formula>
    </cfRule>
  </conditionalFormatting>
  <conditionalFormatting sqref="D13:D20">
    <cfRule type="expression" dxfId="751" priority="72">
      <formula>ABS(D$16-D$19)&gt;=1000</formula>
    </cfRule>
  </conditionalFormatting>
  <conditionalFormatting sqref="E13:E20">
    <cfRule type="expression" dxfId="750" priority="71">
      <formula>ABS(E$16-E$19)&gt;=1000</formula>
    </cfRule>
  </conditionalFormatting>
  <conditionalFormatting sqref="F13 F15:F20">
    <cfRule type="expression" dxfId="749" priority="70">
      <formula>ABS(F$16-F$19)&gt;=1000</formula>
    </cfRule>
  </conditionalFormatting>
  <conditionalFormatting sqref="G13:G20">
    <cfRule type="expression" dxfId="748" priority="69">
      <formula>ABS(G$16-G$19)&gt;=1000</formula>
    </cfRule>
  </conditionalFormatting>
  <conditionalFormatting sqref="H13 H15:H20">
    <cfRule type="expression" dxfId="747" priority="68">
      <formula>ABS(H$16-H$19)&gt;=1000</formula>
    </cfRule>
  </conditionalFormatting>
  <conditionalFormatting sqref="I13:I20">
    <cfRule type="expression" dxfId="746" priority="67">
      <formula>ABS(I$16-I$19)&gt;=1000</formula>
    </cfRule>
  </conditionalFormatting>
  <conditionalFormatting sqref="J13:J20">
    <cfRule type="expression" dxfId="745" priority="66">
      <formula>ABS(J$16-J$19)&gt;=1000</formula>
    </cfRule>
  </conditionalFormatting>
  <conditionalFormatting sqref="L13:L20">
    <cfRule type="expression" dxfId="744" priority="65">
      <formula>ABS(L$16-L$19)&gt;=1000</formula>
    </cfRule>
  </conditionalFormatting>
  <conditionalFormatting sqref="M13 M15 M17:M18 M20">
    <cfRule type="expression" dxfId="743" priority="64">
      <formula>ABS(M$16-M$19)&gt;=1000</formula>
    </cfRule>
  </conditionalFormatting>
  <conditionalFormatting sqref="N13:N20">
    <cfRule type="expression" dxfId="742" priority="63">
      <formula>ABS(N$16-N$19)&gt;=1000</formula>
    </cfRule>
  </conditionalFormatting>
  <conditionalFormatting sqref="O13:O20">
    <cfRule type="expression" dxfId="741" priority="62">
      <formula>ABS(O$16-O$19)&gt;=1000</formula>
    </cfRule>
  </conditionalFormatting>
  <conditionalFormatting sqref="P13:P20">
    <cfRule type="expression" dxfId="740" priority="61">
      <formula>ABS(P$16-P$19)&gt;=1000</formula>
    </cfRule>
  </conditionalFormatting>
  <conditionalFormatting sqref="Q13 Q15:Q20">
    <cfRule type="expression" dxfId="739" priority="60">
      <formula>ABS(Q$16-Q$19)&gt;=1000</formula>
    </cfRule>
  </conditionalFormatting>
  <conditionalFormatting sqref="R13:R20">
    <cfRule type="expression" dxfId="738" priority="59">
      <formula>ABS(R$16-R$19)&gt;=1000</formula>
    </cfRule>
  </conditionalFormatting>
  <conditionalFormatting sqref="S13:S20">
    <cfRule type="expression" dxfId="737" priority="58">
      <formula>ABS(S$16-S$19)&gt;=1000</formula>
    </cfRule>
  </conditionalFormatting>
  <conditionalFormatting sqref="T13:T20">
    <cfRule type="expression" dxfId="736" priority="57">
      <formula>ABS(T$16-T$19)&gt;=1000</formula>
    </cfRule>
  </conditionalFormatting>
  <conditionalFormatting sqref="U13:U20">
    <cfRule type="expression" dxfId="735" priority="56">
      <formula>ABS(U$16-U$19)&gt;=1000</formula>
    </cfRule>
  </conditionalFormatting>
  <conditionalFormatting sqref="V13:V20">
    <cfRule type="expression" dxfId="734" priority="55">
      <formula>ABS(V$16-V$19)&gt;=1000</formula>
    </cfRule>
  </conditionalFormatting>
  <conditionalFormatting sqref="W13 W20 W15:W18">
    <cfRule type="expression" dxfId="733" priority="54">
      <formula>ABS(W$16-W$19)&gt;=1000</formula>
    </cfRule>
  </conditionalFormatting>
  <conditionalFormatting sqref="X13 X15:X20 Y19">
    <cfRule type="expression" dxfId="732" priority="53">
      <formula>ABS(X$16-X$19)&gt;=1000</formula>
    </cfRule>
  </conditionalFormatting>
  <conditionalFormatting sqref="Y13 Y15:Y18 Y20">
    <cfRule type="expression" dxfId="731" priority="52">
      <formula>ABS(Y$16-Y$19)&gt;=1000</formula>
    </cfRule>
  </conditionalFormatting>
  <conditionalFormatting sqref="Z13:Z20">
    <cfRule type="expression" dxfId="730" priority="51">
      <formula>ABS(Z$16-Z$19)&gt;=1000</formula>
    </cfRule>
  </conditionalFormatting>
  <conditionalFormatting sqref="AA13:AA20">
    <cfRule type="expression" dxfId="729" priority="50">
      <formula>ABS(AA$16-AA$19)&gt;=1000</formula>
    </cfRule>
  </conditionalFormatting>
  <conditionalFormatting sqref="AB13 AB15:AB20">
    <cfRule type="expression" dxfId="728" priority="49">
      <formula>ABS(AB$16-AB$19)&gt;=1000</formula>
    </cfRule>
  </conditionalFormatting>
  <conditionalFormatting sqref="AC13 AC15:AC20">
    <cfRule type="expression" dxfId="727" priority="48">
      <formula>ABS(AC$16-AC$19)&gt;=1000</formula>
    </cfRule>
  </conditionalFormatting>
  <conditionalFormatting sqref="AD13:AD20">
    <cfRule type="expression" dxfId="726" priority="47">
      <formula>ABS(AD$16-AD$19)&gt;=1000</formula>
    </cfRule>
  </conditionalFormatting>
  <conditionalFormatting sqref="AE13:AE20">
    <cfRule type="expression" dxfId="725" priority="46">
      <formula>ABS(AE$16-AE$19)&gt;=1000</formula>
    </cfRule>
  </conditionalFormatting>
  <conditionalFormatting sqref="D22:D29">
    <cfRule type="expression" dxfId="724" priority="45">
      <formula>ABS(D$25-D$28)&gt;=1000</formula>
    </cfRule>
  </conditionalFormatting>
  <conditionalFormatting sqref="E22:E29">
    <cfRule type="expression" dxfId="723" priority="44">
      <formula>ABS(E$25-E$28)&gt;=1000</formula>
    </cfRule>
  </conditionalFormatting>
  <conditionalFormatting sqref="F22:F29">
    <cfRule type="expression" dxfId="722" priority="43">
      <formula>ABS(F$25-F$28)&gt;=1000</formula>
    </cfRule>
  </conditionalFormatting>
  <conditionalFormatting sqref="G22:G29">
    <cfRule type="expression" dxfId="721" priority="42">
      <formula>ABS(G$25-G$28)&gt;=1000</formula>
    </cfRule>
  </conditionalFormatting>
  <conditionalFormatting sqref="H22:H29">
    <cfRule type="expression" dxfId="720" priority="41">
      <formula>ABS(H$25-H$28)&gt;=1000</formula>
    </cfRule>
  </conditionalFormatting>
  <conditionalFormatting sqref="I22 I24:I29">
    <cfRule type="expression" dxfId="719" priority="40">
      <formula>ABS(I$25-I$28)&gt;=1000</formula>
    </cfRule>
  </conditionalFormatting>
  <conditionalFormatting sqref="J22:J29 K22">
    <cfRule type="expression" dxfId="718" priority="39">
      <formula>ABS(J$25-J$28)&gt;=1000</formula>
    </cfRule>
  </conditionalFormatting>
  <conditionalFormatting sqref="K23:K29 L25 L28">
    <cfRule type="expression" dxfId="717" priority="38">
      <formula>ABS(K$25-K$28)&gt;=1000</formula>
    </cfRule>
  </conditionalFormatting>
  <conditionalFormatting sqref="L22 L26:L27 L29 L24">
    <cfRule type="expression" dxfId="716" priority="37">
      <formula>ABS(L$25-L$28)&gt;=1000</formula>
    </cfRule>
  </conditionalFormatting>
  <conditionalFormatting sqref="M22:M29">
    <cfRule type="expression" dxfId="715" priority="36">
      <formula>ABS(M$25-M$28)&gt;=1000</formula>
    </cfRule>
  </conditionalFormatting>
  <conditionalFormatting sqref="N22:N29">
    <cfRule type="expression" dxfId="714" priority="35">
      <formula>ABS(N$25-N$28)&gt;=1000</formula>
    </cfRule>
  </conditionalFormatting>
  <conditionalFormatting sqref="O22:O29">
    <cfRule type="expression" dxfId="713" priority="34">
      <formula>ABS(O$25-O$28)&gt;=1000</formula>
    </cfRule>
  </conditionalFormatting>
  <conditionalFormatting sqref="P22:P29">
    <cfRule type="expression" dxfId="712" priority="33">
      <formula>ABS(P$25-P$28)&gt;=1000</formula>
    </cfRule>
  </conditionalFormatting>
  <conditionalFormatting sqref="Q22:Q29">
    <cfRule type="expression" dxfId="711" priority="32">
      <formula>ABS(Q$25-Q$28)&gt;=1000</formula>
    </cfRule>
  </conditionalFormatting>
  <conditionalFormatting sqref="R22:R29">
    <cfRule type="expression" dxfId="710" priority="31">
      <formula>ABS(R$25-R$28)&gt;=1000</formula>
    </cfRule>
  </conditionalFormatting>
  <conditionalFormatting sqref="S22:S29">
    <cfRule type="expression" dxfId="709" priority="30">
      <formula>ABS(S$25-S$28)&gt;=1000</formula>
    </cfRule>
  </conditionalFormatting>
  <conditionalFormatting sqref="T22:T29">
    <cfRule type="expression" dxfId="708" priority="29">
      <formula>ABS(T$25-T$28)&gt;=1000</formula>
    </cfRule>
  </conditionalFormatting>
  <conditionalFormatting sqref="U22:U29">
    <cfRule type="expression" dxfId="707" priority="28">
      <formula>ABS(U$25-U$28)&gt;=1000</formula>
    </cfRule>
  </conditionalFormatting>
  <conditionalFormatting sqref="V22:V29">
    <cfRule type="expression" dxfId="706" priority="27">
      <formula>ABS(V$25-V$28)&gt;=1000</formula>
    </cfRule>
  </conditionalFormatting>
  <conditionalFormatting sqref="W22:W29">
    <cfRule type="expression" dxfId="705" priority="26">
      <formula>ABS(W$25-W$28)&gt;=1000</formula>
    </cfRule>
  </conditionalFormatting>
  <conditionalFormatting sqref="X22:X29">
    <cfRule type="expression" dxfId="704" priority="25">
      <formula>ABS(X$25-X$28)&gt;=1000</formula>
    </cfRule>
  </conditionalFormatting>
  <conditionalFormatting sqref="Y22:Y29">
    <cfRule type="expression" dxfId="703" priority="24">
      <formula>ABS(Y$25-Y$28)&gt;=1000</formula>
    </cfRule>
  </conditionalFormatting>
  <conditionalFormatting sqref="I23">
    <cfRule type="expression" dxfId="702" priority="23">
      <formula>ABS(I$25-I$28)&gt;=1000</formula>
    </cfRule>
  </conditionalFormatting>
  <conditionalFormatting sqref="Q14">
    <cfRule type="expression" dxfId="701" priority="22">
      <formula>ABS(Q$16-Q$19)&gt;=1000</formula>
    </cfRule>
  </conditionalFormatting>
  <conditionalFormatting sqref="W14">
    <cfRule type="expression" dxfId="700" priority="21">
      <formula>ABS(W$16-W$19)&gt;=1000</formula>
    </cfRule>
  </conditionalFormatting>
  <conditionalFormatting sqref="X14">
    <cfRule type="expression" dxfId="699" priority="20">
      <formula>ABS(X$16-X$19)&gt;=1000</formula>
    </cfRule>
  </conditionalFormatting>
  <conditionalFormatting sqref="T10:Y10">
    <cfRule type="expression" dxfId="698" priority="19">
      <formula>ABS(T$7-T$10)&gt;=1000</formula>
    </cfRule>
  </conditionalFormatting>
  <conditionalFormatting sqref="W19">
    <cfRule type="expression" dxfId="697" priority="18">
      <formula>ABS(W$16-W$19)&gt;=1000</formula>
    </cfRule>
  </conditionalFormatting>
  <conditionalFormatting sqref="AC5">
    <cfRule type="expression" dxfId="696" priority="17">
      <formula>ABS(AC$7-AC$10)&gt;=1000</formula>
    </cfRule>
  </conditionalFormatting>
  <conditionalFormatting sqref="M14">
    <cfRule type="expression" dxfId="695" priority="16">
      <formula>ABS(M$16-M$19)&gt;=1000</formula>
    </cfRule>
  </conditionalFormatting>
  <conditionalFormatting sqref="M16">
    <cfRule type="expression" dxfId="694" priority="15">
      <formula>ABS(M$16-M$19)&gt;=1000</formula>
    </cfRule>
  </conditionalFormatting>
  <conditionalFormatting sqref="M19">
    <cfRule type="expression" dxfId="693" priority="14">
      <formula>ABS(M$16-M$19)&gt;=1000</formula>
    </cfRule>
  </conditionalFormatting>
  <conditionalFormatting sqref="K13:K20">
    <cfRule type="expression" dxfId="692" priority="13">
      <formula>ABS(K$16-K$19)&gt;=1000</formula>
    </cfRule>
  </conditionalFormatting>
  <conditionalFormatting sqref="E5">
    <cfRule type="expression" dxfId="691" priority="12">
      <formula>ABS(E$7-E$10)&gt;=1000</formula>
    </cfRule>
  </conditionalFormatting>
  <conditionalFormatting sqref="AB14:AC14">
    <cfRule type="expression" dxfId="690" priority="11">
      <formula>ABS(AB$16-AB$19)&gt;=1000</formula>
    </cfRule>
  </conditionalFormatting>
  <conditionalFormatting sqref="M5">
    <cfRule type="expression" dxfId="689" priority="10">
      <formula>ABS(M$7-M$10)&gt;=1000</formula>
    </cfRule>
  </conditionalFormatting>
  <conditionalFormatting sqref="N5">
    <cfRule type="expression" dxfId="688" priority="9">
      <formula>ABS(N$7-N$10)&gt;=1000</formula>
    </cfRule>
  </conditionalFormatting>
  <conditionalFormatting sqref="O5">
    <cfRule type="expression" dxfId="687" priority="8">
      <formula>ABS(O$7-O$10)&gt;=1000</formula>
    </cfRule>
  </conditionalFormatting>
  <conditionalFormatting sqref="P5">
    <cfRule type="expression" dxfId="686" priority="7">
      <formula>ABS(P$7-P$10)&gt;=1000</formula>
    </cfRule>
  </conditionalFormatting>
  <conditionalFormatting sqref="L23">
    <cfRule type="expression" dxfId="685" priority="6">
      <formula>ABS(L$25-L$28)&gt;=1000</formula>
    </cfRule>
  </conditionalFormatting>
  <conditionalFormatting sqref="Y14">
    <cfRule type="expression" dxfId="684" priority="5">
      <formula>ABS(Y$16-Y$19)&gt;=1000</formula>
    </cfRule>
  </conditionalFormatting>
  <conditionalFormatting sqref="F14">
    <cfRule type="expression" dxfId="683" priority="4">
      <formula>ABS(F$16-F$19)&gt;=1000</formula>
    </cfRule>
  </conditionalFormatting>
  <conditionalFormatting sqref="H14">
    <cfRule type="expression" dxfId="682" priority="3">
      <formula>ABS(H$16-H$19)&gt;=1000</formula>
    </cfRule>
  </conditionalFormatting>
  <conditionalFormatting sqref="AD5">
    <cfRule type="expression" dxfId="681" priority="2">
      <formula>ABS(AD$7-AD$10)&gt;=1000</formula>
    </cfRule>
  </conditionalFormatting>
  <conditionalFormatting sqref="AE5">
    <cfRule type="expression" dxfId="68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22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4">
    <pageSetUpPr fitToPage="1"/>
  </sheetPr>
  <dimension ref="A1:CU223"/>
  <sheetViews>
    <sheetView view="pageBreakPreview" topLeftCell="A13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46048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9" t="s" ph="1">
        <v>177</v>
      </c>
      <c r="D6" s="71">
        <v>3514</v>
      </c>
      <c r="E6" s="71">
        <v>0</v>
      </c>
      <c r="F6" s="71">
        <v>5063</v>
      </c>
      <c r="G6" s="71">
        <v>933</v>
      </c>
      <c r="H6" s="71">
        <v>4502</v>
      </c>
      <c r="I6" s="71">
        <v>0.08</v>
      </c>
      <c r="J6" s="71">
        <v>6.56</v>
      </c>
      <c r="K6" s="71">
        <v>49.05</v>
      </c>
      <c r="L6" s="71">
        <v>7.8</v>
      </c>
      <c r="M6" s="71">
        <v>1388</v>
      </c>
      <c r="N6" s="71">
        <v>4586</v>
      </c>
      <c r="O6" s="71">
        <v>160</v>
      </c>
      <c r="P6" s="71">
        <v>3787</v>
      </c>
      <c r="Q6" s="71">
        <v>0</v>
      </c>
      <c r="R6" s="71">
        <v>2138</v>
      </c>
      <c r="S6" s="71">
        <v>6769</v>
      </c>
      <c r="T6" s="71">
        <v>7133</v>
      </c>
      <c r="U6" s="71">
        <v>7110</v>
      </c>
      <c r="V6" s="71">
        <v>5196</v>
      </c>
      <c r="W6" s="71">
        <v>0</v>
      </c>
      <c r="X6" s="71">
        <v>0</v>
      </c>
      <c r="Y6" s="71">
        <v>0</v>
      </c>
      <c r="Z6" s="71">
        <v>4312</v>
      </c>
      <c r="AA6" s="71">
        <v>4039</v>
      </c>
      <c r="AB6" s="71">
        <v>2469</v>
      </c>
      <c r="AC6" s="71">
        <v>8282</v>
      </c>
      <c r="AD6" s="71">
        <v>4780</v>
      </c>
      <c r="AE6" s="71">
        <v>3550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110311.88680386</v>
      </c>
      <c r="E7" s="73" ph="1">
        <f>E6*51.53*LOOKUP(E8,密度!$A$2:$A$50,密度!$B$2:$B$50)</f>
        <v>0</v>
      </c>
      <c r="F7" s="73" ph="1">
        <f>F6*33.183*LOOKUP(F8,密度!$A$2:$A$50,密度!$C$2:$C$50)</f>
        <v>187141.35875309998</v>
      </c>
      <c r="G7" s="73" ph="1">
        <f xml:space="preserve"> (G6+2)*51.53*LOOKUP(G8,密度!$A$2:$A$50,密度!$B$2:$B$50)</f>
        <v>37889.184520000003</v>
      </c>
      <c r="H7" s="73" ph="1">
        <f>(H6)*51.53*LOOKUP(H8,密度!$A$2:$A$50,密度!$B$2:$B$50)</f>
        <v>183015.380534</v>
      </c>
      <c r="I7" s="73" ph="1">
        <f>I6*290.8*1.0267</f>
        <v>23.885148800000003</v>
      </c>
      <c r="J7" s="73" ph="1">
        <f>J6*290.8*0.7892</f>
        <v>1505.5158016</v>
      </c>
      <c r="K7" s="73" ph="1">
        <f>K6*290.8*1.1126</f>
        <v>15869.837124</v>
      </c>
      <c r="L7" s="73" ph="1">
        <f>L6*290.8*0.777</f>
        <v>1762.4224800000002</v>
      </c>
      <c r="M7" s="73" ph="1">
        <f>M6*33.183*LOOKUP(M8,密度!$A$2:$A$50,密度!$D$2:$D$50)</f>
        <v>47582.523932399999</v>
      </c>
      <c r="N7" s="73" ph="1">
        <f>N6*33.183*LOOKUP(N8,密度!$A$2:$A$50,密度!$E$2:$E$50)</f>
        <v>120265.6711914</v>
      </c>
      <c r="O7" s="73" ph="1">
        <f>O6*20.428*LOOKUP(O8,密度!$A$2:$A$50,密度!$C$2:$C$50)</f>
        <v>3636.5108480000004</v>
      </c>
      <c r="P7" s="73" ph="1">
        <f>P6*51.53*LOOKUP(P8,密度!$A$2:$A$50,密度!$B$2:$B$50)</f>
        <v>153617.44339200002</v>
      </c>
      <c r="Q7" s="73" ph="1">
        <f>Q6*1.5*1.5*3.1416*LOOKUP(W8,密度!$A$2:$A$50,密度!$L$2:$L$50)</f>
        <v>0</v>
      </c>
      <c r="R7" s="73" ph="1">
        <f>R6*1.5*1.5*3.1416*LOOKUP(R8,密度!$A$2:$A$50,密度!$L$2:$L$50)</f>
        <v>14205.906791999998</v>
      </c>
      <c r="S7" s="73" ph="1">
        <f>S6*1.5*1.5*3.1416*LOOKUP(S8,密度!$A$2:$A$50,密度!$L$2:$L$50)</f>
        <v>45311.443669799999</v>
      </c>
      <c r="T7" s="73" ph="1">
        <f>T6*1.5*1.5*3.1416*LOOKUP(T8,密度!$A$2:$A$50,密度!$L$2:$L$50)</f>
        <v>47848.887286199999</v>
      </c>
      <c r="U7" s="73" ph="1">
        <f>U6*1.5*1.5*3.1416*LOOKUP(U8,密度!$A$2:$A$50,密度!$L$2:$L$50)</f>
        <v>47493.569969999997</v>
      </c>
      <c r="V7" s="73" ph="1">
        <f>V6*1.5*1.5*3.1416*LOOKUP(V8,密度!$A$2:$A$50,密度!$L$2:$L$50)</f>
        <v>34451.281972799996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135787.75610399997</v>
      </c>
      <c r="AA7" s="73" ph="1">
        <f>AA6*33.183*LOOKUP(AA8,密度!$A$2:$A$50,密度!$D$2:$D$50)</f>
        <v>138341.77861139999</v>
      </c>
      <c r="AB7" s="73" ph="1">
        <f>AB6*20.428*LOOKUP(AB8,密度!$A$2:$A$50,密度!$D$2:$D$50)</f>
        <v>52499.594338800001</v>
      </c>
      <c r="AC7" s="73" ph="1">
        <f>AC6*51.53*LOOKUP(AC8,密度!$A$2:$A$50,密度!$Q$2:$Q$50)</f>
        <v>407370.42942840006</v>
      </c>
      <c r="AD7" s="73" ph="1">
        <f>AD6*20.428*LOOKUP(AD8,密度!$A$2:$A$50,密度!$V$2:$V$50)</f>
        <v>94130.589760000003</v>
      </c>
      <c r="AE7" s="73" ph="1">
        <f>AE6*20.428</f>
        <v>72519.400000000009</v>
      </c>
    </row>
    <row r="8" spans="1:99" ph="1">
      <c r="B8" s="191" ph="1"/>
      <c r="C8" s="68" t="s" ph="1">
        <v>179</v>
      </c>
      <c r="D8" s="74">
        <v>26</v>
      </c>
      <c r="E8" s="74">
        <v>17</v>
      </c>
      <c r="F8" s="74">
        <v>18</v>
      </c>
      <c r="G8" s="74">
        <v>17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18</v>
      </c>
      <c r="N8" s="74">
        <v>19</v>
      </c>
      <c r="O8" s="74">
        <v>20</v>
      </c>
      <c r="P8" s="74">
        <v>16</v>
      </c>
      <c r="Q8" s="74">
        <v>19</v>
      </c>
      <c r="R8" s="74">
        <v>22</v>
      </c>
      <c r="S8" s="74">
        <v>15</v>
      </c>
      <c r="T8" s="74">
        <v>13</v>
      </c>
      <c r="U8" s="74">
        <v>17</v>
      </c>
      <c r="V8" s="74">
        <v>24</v>
      </c>
      <c r="W8" s="74">
        <v>18</v>
      </c>
      <c r="X8" s="74">
        <v>8</v>
      </c>
      <c r="Y8" s="74">
        <v>18</v>
      </c>
      <c r="Z8" s="74">
        <v>13</v>
      </c>
      <c r="AA8" s="74">
        <v>19</v>
      </c>
      <c r="AB8" s="74">
        <v>9</v>
      </c>
      <c r="AC8" s="74">
        <v>15</v>
      </c>
      <c r="AD8" s="74">
        <v>15</v>
      </c>
      <c r="AE8" s="74">
        <v>17</v>
      </c>
    </row>
    <row r="9" spans="1:99" ph="1">
      <c r="B9" s="191" ph="1">
        <v>0.66666666666666663</v>
      </c>
      <c r="C9" s="169" t="s" ph="1">
        <v>180</v>
      </c>
      <c r="D9" s="71">
        <v>3868</v>
      </c>
      <c r="E9" s="71">
        <v>0</v>
      </c>
      <c r="F9" s="71">
        <v>4984</v>
      </c>
      <c r="G9" s="71">
        <v>1795</v>
      </c>
      <c r="H9" s="71">
        <v>4491</v>
      </c>
      <c r="I9" s="71">
        <v>7.0000000000000007E-2</v>
      </c>
      <c r="J9" s="71">
        <v>6.59</v>
      </c>
      <c r="K9" s="71">
        <v>56.43</v>
      </c>
      <c r="L9" s="71">
        <v>7.76</v>
      </c>
      <c r="M9" s="71">
        <v>1386</v>
      </c>
      <c r="N9" s="71">
        <v>4550</v>
      </c>
      <c r="O9" s="71">
        <v>158</v>
      </c>
      <c r="P9" s="71">
        <v>3699</v>
      </c>
      <c r="Q9" s="71">
        <v>0</v>
      </c>
      <c r="R9" s="71">
        <v>0</v>
      </c>
      <c r="S9" s="71">
        <v>4948</v>
      </c>
      <c r="T9" s="71">
        <v>7136</v>
      </c>
      <c r="U9" s="71">
        <v>7112</v>
      </c>
      <c r="V9" s="71">
        <v>5198</v>
      </c>
      <c r="W9" s="71">
        <v>6999</v>
      </c>
      <c r="X9" s="71">
        <v>714</v>
      </c>
      <c r="Y9" s="71">
        <v>0</v>
      </c>
      <c r="Z9" s="71">
        <v>1286</v>
      </c>
      <c r="AA9" s="71">
        <v>4037</v>
      </c>
      <c r="AB9" s="71">
        <v>2303</v>
      </c>
      <c r="AC9" s="71">
        <v>8332</v>
      </c>
      <c r="AD9" s="71">
        <v>4780</v>
      </c>
      <c r="AE9" s="71">
        <v>3552</v>
      </c>
    </row>
    <row r="10" spans="1:99" s="72" customFormat="1" ht="22.5" ph="1">
      <c r="B10" s="191" ph="1"/>
      <c r="C10" s="169" t="s" ph="1">
        <v>178</v>
      </c>
      <c r="D10" s="73" ph="1">
        <f>D9*33.183*LOOKUP(D11,密度!$A$2:$A$50,密度!$Q$2:$Q$50)</f>
        <v>122396.31843840001</v>
      </c>
      <c r="E10" s="73" ph="1">
        <f>E9*51.53*LOOKUP(E11,密度!$A$2:$A$50,密度!$B$2:$B$50)</f>
        <v>0</v>
      </c>
      <c r="F10" s="73" ph="1">
        <f>F9*33.183*LOOKUP(F11,密度!$A$2:$A$50,密度!$C$2:$C$50)</f>
        <v>184221.31780079997</v>
      </c>
      <c r="G10" s="73" ph="1">
        <f xml:space="preserve"> (G9+2)*51.53*LOOKUP(G11,密度!$A$2:$A$50,密度!$B$2:$B$50)</f>
        <v>72820.176024</v>
      </c>
      <c r="H10" s="73" ph="1">
        <f>(H9)*51.53*LOOKUP(H11,密度!$A$2:$A$50,密度!$B$2:$B$50)</f>
        <v>182174.79225600002</v>
      </c>
      <c r="I10" s="73" ph="1">
        <f>I9*290.8*1.0267</f>
        <v>20.8995052</v>
      </c>
      <c r="J10" s="73" ph="1">
        <f>J9*290.8*0.7892</f>
        <v>1512.4007824</v>
      </c>
      <c r="K10" s="73" ph="1">
        <f>K9*290.8*1.1126</f>
        <v>18257.592434400001</v>
      </c>
      <c r="L10" s="73" ph="1">
        <f>L9*290.8*0.777</f>
        <v>1753.3844160000001</v>
      </c>
      <c r="M10" s="73" ph="1">
        <f>M9*33.183*LOOKUP(M11,密度!$A$2:$A$50,密度!$D$2:$D$50)</f>
        <v>47435.775433200004</v>
      </c>
      <c r="N10" s="73" ph="1">
        <f>N9*33.183*LOOKUP(N11,密度!$A$2:$A$50,密度!$E$2:$E$50)</f>
        <v>119487.66920999999</v>
      </c>
      <c r="O10" s="73" ph="1">
        <f>O9*20.428*LOOKUP(O11,密度!$A$2:$A$50,密度!$C$2:$C$50)</f>
        <v>3581.3715904000001</v>
      </c>
      <c r="P10" s="73" ph="1">
        <f>P9*51.53*LOOKUP(P11,密度!$A$2:$A$50,密度!$B$2:$B$50)</f>
        <v>149761.860579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33121.734861600002</v>
      </c>
      <c r="T10" s="73" ph="1">
        <f>T9*1.5*1.5*3.1416*LOOKUP(T11,密度!$A$2:$A$50,密度!$L$2:$L$50)</f>
        <v>47818.570060799997</v>
      </c>
      <c r="U10" s="73" ph="1">
        <f>U9*1.5*1.5*3.1416*LOOKUP(U11,密度!$A$2:$A$50,密度!$L$2:$L$50)</f>
        <v>47456.657740799994</v>
      </c>
      <c r="V10" s="73" ph="1">
        <f>V9*1.5*1.5*3.1416*LOOKUP(V11,密度!$A$2:$A$50,密度!$L$2:$L$50)</f>
        <v>34427.800083599999</v>
      </c>
      <c r="W10" s="73" ph="1">
        <f>W9*1.5*1.5*3.1416*LOOKUP(W11,密度!$A$2:$A$50,密度!$L$2:$L$50)</f>
        <v>46603.689778799999</v>
      </c>
      <c r="X10" s="73" ph="1">
        <f>X9*1.5*1.5*3.1416*LOOKUP(X11,密度!$A$2:$A$50,密度!$L$2:$L$50)</f>
        <v>4794.6313799999989</v>
      </c>
      <c r="Y10" s="73" ph="1">
        <f>Y9*1.5*1.5*3.1416*LOOKUP(Y11,密度!$A$2:$A$50,密度!$L$2:$L$50)</f>
        <v>0</v>
      </c>
      <c r="Z10" s="73" ph="1">
        <f>Z9*33.183*LOOKUP(Z11,密度!$A$2:$A$50,密度!$L$2:$L$50)</f>
        <v>40411.651085999998</v>
      </c>
      <c r="AA10" s="73" ph="1">
        <f>AA9*33.183*LOOKUP(AA11,密度!$A$2:$A$50,密度!$D$2:$D$50)</f>
        <v>138166.10780940001</v>
      </c>
      <c r="AB10" s="73" ph="1">
        <f>AB9*20.428*LOOKUP(AB11,密度!$A$2:$A$50,密度!$D$2:$D$50)</f>
        <v>48927.511360000004</v>
      </c>
      <c r="AC10" s="73" ph="1">
        <f>AC9*51.53*LOOKUP(AC11,密度!$A$2:$A$50,密度!$Q$2:$Q$50)</f>
        <v>408743.55139960005</v>
      </c>
      <c r="AD10" s="73" ph="1">
        <f>AD9*20.428*LOOKUP(AD11,密度!$A$2:$A$50,密度!$V$2:$V$50)</f>
        <v>94130.589760000003</v>
      </c>
      <c r="AE10" s="73" ph="1">
        <f>AE9*20.428</f>
        <v>72560.256000000008</v>
      </c>
    </row>
    <row r="11" spans="1:99" ph="1">
      <c r="A11" s="64" t="s" ph="1">
        <v>162</v>
      </c>
      <c r="B11" s="191" ph="1"/>
      <c r="C11" s="169" t="s" ph="1">
        <v>179</v>
      </c>
      <c r="D11" s="74">
        <v>16</v>
      </c>
      <c r="E11" s="74">
        <v>20</v>
      </c>
      <c r="F11" s="74">
        <v>18</v>
      </c>
      <c r="G11" s="74">
        <v>17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20</v>
      </c>
      <c r="N11" s="74">
        <v>18</v>
      </c>
      <c r="O11" s="74">
        <v>24</v>
      </c>
      <c r="P11" s="74">
        <v>18</v>
      </c>
      <c r="Q11" s="74">
        <v>23</v>
      </c>
      <c r="R11" s="74">
        <v>25</v>
      </c>
      <c r="S11" s="74">
        <v>15</v>
      </c>
      <c r="T11" s="74">
        <v>14</v>
      </c>
      <c r="U11" s="74">
        <v>18</v>
      </c>
      <c r="V11" s="74">
        <v>25</v>
      </c>
      <c r="W11" s="74">
        <v>20</v>
      </c>
      <c r="X11" s="74">
        <v>12</v>
      </c>
      <c r="Y11" s="74">
        <v>22</v>
      </c>
      <c r="Z11" s="74">
        <v>15</v>
      </c>
      <c r="AA11" s="74">
        <v>20</v>
      </c>
      <c r="AB11" s="74">
        <v>10</v>
      </c>
      <c r="AC11" s="74">
        <v>18</v>
      </c>
      <c r="AD11" s="74">
        <v>17</v>
      </c>
      <c r="AE11" s="74">
        <v>18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249" t="s" ph="1">
        <v>649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9" t="s" ph="1">
        <v>177</v>
      </c>
      <c r="D15" s="78">
        <v>4503</v>
      </c>
      <c r="E15" s="78">
        <v>5729</v>
      </c>
      <c r="F15" s="78">
        <v>2870</v>
      </c>
      <c r="G15" s="78">
        <v>5512</v>
      </c>
      <c r="H15" s="78">
        <v>5314</v>
      </c>
      <c r="I15" s="78">
        <v>5212</v>
      </c>
      <c r="J15" s="78">
        <v>0</v>
      </c>
      <c r="K15" s="78">
        <v>4136</v>
      </c>
      <c r="L15" s="78">
        <v>5128</v>
      </c>
      <c r="M15" s="78">
        <v>3855</v>
      </c>
      <c r="N15" s="78">
        <v>1727</v>
      </c>
      <c r="O15" s="78">
        <v>3014</v>
      </c>
      <c r="P15" s="78">
        <v>6982</v>
      </c>
      <c r="Q15" s="78">
        <v>7016</v>
      </c>
      <c r="R15" s="78">
        <v>7346</v>
      </c>
      <c r="S15" s="78">
        <v>6398</v>
      </c>
      <c r="T15" s="78">
        <v>5117</v>
      </c>
      <c r="U15" s="78">
        <v>6101</v>
      </c>
      <c r="V15" s="78">
        <v>4993</v>
      </c>
      <c r="W15" s="71">
        <v>3379</v>
      </c>
      <c r="X15" s="78">
        <v>407</v>
      </c>
      <c r="Y15" s="106">
        <v>-9901</v>
      </c>
      <c r="Z15" s="78">
        <v>0</v>
      </c>
      <c r="AA15" s="78">
        <v>11</v>
      </c>
      <c r="AB15" s="78" ph="1">
        <v>6947</v>
      </c>
      <c r="AC15" s="78" ph="1">
        <v>2142</v>
      </c>
      <c r="AD15" s="78">
        <v>84.7</v>
      </c>
      <c r="AE15" s="78">
        <v>31.31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9" t="s" ph="1">
        <v>178</v>
      </c>
      <c r="D16" s="73" ph="1">
        <f>D15*7.0686*LOOKUP(D17,密度!$A$2:$A$50,密度!$L$2:$L$50)</f>
        <v>30015.601169399997</v>
      </c>
      <c r="E16" s="73" ph="1">
        <f>E15*7.0686*LOOKUP(E17,密度!$A$2:$A$50,密度!$L$2:$L$50)</f>
        <v>38187.7368642</v>
      </c>
      <c r="F16" s="73" ph="1">
        <f>F15*9.0746*LOOKUP(F17,密度!$A$2:$A$50,密度!$L$2:$L$50)</f>
        <v>24507.499981999998</v>
      </c>
      <c r="G16" s="73" ph="1">
        <f>G15*9.0746*LOOKUP(G17,密度!$A$2:$A$50,密度!$B$2:$B$50)</f>
        <v>39300.081668639999</v>
      </c>
      <c r="H16" s="73" ph="1">
        <f>H15*9.0746*LOOKUP(H17,密度!$A$2:$A$50,密度!$L$2:$L$50)</f>
        <v>45425.523784800003</v>
      </c>
      <c r="I16" s="73" ph="1">
        <f>I15*9.0746*LOOKUP(I17,密度!$A$2:$A$50,密度!$U$2:$U$50)</f>
        <v>48621.126025600002</v>
      </c>
      <c r="J16" s="73" ph="1">
        <f>J15*9.0746*LOOKUP(J17,密度!$A$2:$A$50,密度!$L$2:$L$50)</f>
        <v>0</v>
      </c>
      <c r="K16" s="73" ph="1">
        <f>K15*9.0746*LOOKUP(K17,密度!$A$2:$A$50,密度!$C$2:$C$50)</f>
        <v>41807.50254383999</v>
      </c>
      <c r="L16" s="73" ph="1">
        <f>L15*9.0746*LOOKUP(L17,密度!$A$2:$A$50,密度!$E$2:$E$50)</f>
        <v>36827.441920320001</v>
      </c>
      <c r="M16" s="73" ph="1">
        <f>M15*9.0746*LOOKUP(M17,密度!$A$2:$A$50,密度!$M$2:$M$50)</f>
        <v>30795.167814899996</v>
      </c>
      <c r="N16" s="73" ph="1">
        <f>N15*9.0746*LOOKUP(N17,密度!$A$2:$A$50,密度!$M$2:$M$50)</f>
        <v>13795.91564626</v>
      </c>
      <c r="O16" s="73" ph="1">
        <f>O15*9.0746*LOOKUP(O17,密度!$A$2:$A$50,密度!$G$2:$G$50)</f>
        <v>26418.180605960002</v>
      </c>
      <c r="P16" s="73" ph="1">
        <f ca="1">P15*9.0746*LOOKUP(P17,密度!$A$2:$A$51,密度!$Q$2:$Q$50)</f>
        <v>60268.845734356</v>
      </c>
      <c r="Q16" s="73" ph="1">
        <f>Q15*9.0746*LOOKUP(Q17,密度!$A$2:$A$50,密度!$Q$2:$Q$50)</f>
        <v>60562.334814128008</v>
      </c>
      <c r="R16" s="73" ph="1">
        <f>MAX(R15*9.0746*LOOKUP(R17,密度!$A$2:$A$50,密度!$B$2:$B$50),0)</f>
        <v>52323.012904839998</v>
      </c>
      <c r="S16" s="73" ph="1">
        <f>S15*9.0746*LOOKUP(S17,密度!$A$2:$A$50,密度!$Q$2:$Q$50)</f>
        <v>55227.739187684005</v>
      </c>
      <c r="T16" s="73" ph="1">
        <f>T15*9.0746*LOOKUP(T17,密度!$A$2:$A$50,密度!$O$2:$O$50)</f>
        <v>43370.036138800002</v>
      </c>
      <c r="U16" s="73" ph="1">
        <f>U15*9.0746*LOOKUP(U17,密度!$A$2:$A$50,密度!$H$2:$H$50)</f>
        <v>51139.851130020004</v>
      </c>
      <c r="V16" s="73" ph="1">
        <f>MAX(5600*LOOKUP(V17,密度!$A$2:$A$50,密度!$Q$2:$Q$50)+V15*9.0476*LOOKUP(V17,密度!$A$2:$A$50,密度!$Q$2:$Q$50),0)</f>
        <v>48298.386300163998</v>
      </c>
      <c r="W16" s="73" ph="1">
        <f>MAX(5600*LOOKUP(W17,密度!$A$2:$A$50,密度!$Q$2:$Q$50)+W15*9.0476*LOOKUP(W17,密度!$A$2:$A$50,密度!$Q$2:$Q$50),0)</f>
        <v>34407.739743692</v>
      </c>
      <c r="X16" s="73" ph="1">
        <f>MAX(5600*LOOKUP(X17,密度!$A$2:$A$50,密度!$I$2:$I$50)+X15*9.0476*LOOKUP(X17,密度!$A$2:$A$50,密度!$I$2:$I$50),0)</f>
        <v>9560.8443960000004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78.658632800000007</v>
      </c>
      <c r="AB16" s="73" ph="1">
        <f>AB15*9.0746*LOOKUP(AB17,密度!$A$2:$A$50,密度!$L$2:$L$50)</f>
        <v>59510.936412800002</v>
      </c>
      <c r="AC16" s="73" ph="1">
        <f>AC15*9.0746*LOOKUP(AC17,密度!$A$2:$A$50,密度!$L$2:$L$50)</f>
        <v>18407.590160399999</v>
      </c>
      <c r="AD16" s="73" ph="1">
        <f>AD15*268.68*LOOKUP(AD17,密度!$A$2:$A$50,密度!B2:B50)+IF(AD15&lt;=0,0,1566*LOOKUP(AD17,密度!$A$2:$A$50,密度!B2:B50))</f>
        <v>18962.363601599998</v>
      </c>
      <c r="AE16" s="73" ph="1">
        <f>AE15*268.68*LOOKUP(AE17,密度!$A$2:$A$50,密度!B2:B50)+IF(AE15&lt;=0,0,1566*LOOKUP(AE17,密度!$A$2:$A$50,密度!B2:B50))</f>
        <v>7779.1378756800004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19</v>
      </c>
      <c r="E17" s="74">
        <v>19</v>
      </c>
      <c r="F17" s="74">
        <v>21</v>
      </c>
      <c r="G17" s="74">
        <v>18</v>
      </c>
      <c r="H17" s="74">
        <v>20</v>
      </c>
      <c r="I17" s="74">
        <v>17</v>
      </c>
      <c r="J17" s="74">
        <v>18</v>
      </c>
      <c r="K17" s="74">
        <v>18</v>
      </c>
      <c r="L17" s="74">
        <v>18</v>
      </c>
      <c r="M17" s="74">
        <v>20</v>
      </c>
      <c r="N17" s="74">
        <v>19</v>
      </c>
      <c r="O17" s="74">
        <v>20</v>
      </c>
      <c r="P17" s="74">
        <v>19</v>
      </c>
      <c r="Q17" s="74">
        <v>19</v>
      </c>
      <c r="R17" s="74">
        <v>19</v>
      </c>
      <c r="S17" s="74">
        <v>19</v>
      </c>
      <c r="T17" s="74">
        <v>18</v>
      </c>
      <c r="U17" s="74">
        <v>16</v>
      </c>
      <c r="V17" s="74">
        <v>19</v>
      </c>
      <c r="W17" s="74">
        <v>19</v>
      </c>
      <c r="X17" s="74">
        <v>36</v>
      </c>
      <c r="Y17" s="108">
        <v>36</v>
      </c>
      <c r="Z17" s="74">
        <v>18</v>
      </c>
      <c r="AA17" s="74">
        <v>15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5547</v>
      </c>
      <c r="E18" s="71">
        <v>5721</v>
      </c>
      <c r="F18" s="71">
        <v>2951</v>
      </c>
      <c r="G18" s="71">
        <v>2409</v>
      </c>
      <c r="H18" s="71">
        <v>5316</v>
      </c>
      <c r="I18" s="71">
        <v>5214</v>
      </c>
      <c r="J18" s="71">
        <v>0</v>
      </c>
      <c r="K18" s="71">
        <v>4157</v>
      </c>
      <c r="L18" s="71">
        <v>3312</v>
      </c>
      <c r="M18" s="71">
        <v>905</v>
      </c>
      <c r="N18" s="71">
        <v>3055</v>
      </c>
      <c r="O18" s="71">
        <v>3252</v>
      </c>
      <c r="P18" s="71">
        <v>6984</v>
      </c>
      <c r="Q18" s="71">
        <v>7017</v>
      </c>
      <c r="R18" s="71">
        <v>7349</v>
      </c>
      <c r="S18" s="71">
        <v>6402</v>
      </c>
      <c r="T18" s="71">
        <v>3754</v>
      </c>
      <c r="U18" s="71">
        <v>6095</v>
      </c>
      <c r="V18" s="71">
        <v>4993</v>
      </c>
      <c r="W18" s="71">
        <v>1751</v>
      </c>
      <c r="X18" s="71">
        <v>407</v>
      </c>
      <c r="Y18" s="109">
        <v>-9900</v>
      </c>
      <c r="Z18" s="71">
        <v>0</v>
      </c>
      <c r="AA18" s="71">
        <v>11</v>
      </c>
      <c r="AB18" s="71">
        <v>6947</v>
      </c>
      <c r="AC18" s="71">
        <v>2141</v>
      </c>
      <c r="AD18" s="71">
        <v>5.45</v>
      </c>
      <c r="AE18" s="71">
        <v>81.459999999999994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9" t="s" ph="1">
        <v>178</v>
      </c>
      <c r="D19" s="73" ph="1">
        <f>D18*7.0686*LOOKUP(D20,密度!$A$2:$A$50,密度!$L$2:$L$50)</f>
        <v>36974.581320599995</v>
      </c>
      <c r="E19" s="73" ph="1">
        <f>E18*7.0686*LOOKUP(E20,密度!$A$2:$A$50,密度!$L$2:$L$50)</f>
        <v>38134.411345799999</v>
      </c>
      <c r="F19" s="73" ph="1">
        <f>F18*9.0746*LOOKUP(F20,密度!$A$2:$A$50,密度!$L$2:$L$50)</f>
        <v>25118.837634799998</v>
      </c>
      <c r="G19" s="73" ph="1">
        <f>G18*9.0746*LOOKUP(G20,密度!$A$2:$A$50,密度!$B$2:$B$50)</f>
        <v>17158.472377860002</v>
      </c>
      <c r="H19" s="73" ph="1">
        <f>H18*9.0746*LOOKUP(H20,密度!$A$2:$A$50,密度!$L$2:$L$50)</f>
        <v>45683.8231992</v>
      </c>
      <c r="I19" s="73" ph="1">
        <f>I18*9.0746*LOOKUP(I20,密度!$A$2:$A$50,密度!$U$2:$U$50)</f>
        <v>48639.783403200003</v>
      </c>
      <c r="J19" s="73" ph="1">
        <f>J18*9.0746*LOOKUP(J20,密度!$A$2:$A$50,密度!$L$2:$L$50)</f>
        <v>0</v>
      </c>
      <c r="K19" s="73" ph="1">
        <f>K18*9.0746*LOOKUP(K20,密度!$A$2:$A$50,密度!$C$2:$C$50)</f>
        <v>41970.734633720007</v>
      </c>
      <c r="L19" s="73" ph="1">
        <f>L18*9.0746*LOOKUP(L20,密度!$A$2:$A$50,密度!$E$2:$E$50)</f>
        <v>23752.525930560001</v>
      </c>
      <c r="M19" s="73" ph="1">
        <f>M18*9.0746*LOOKUP(M20,密度!$A$2:$A$50,密度!$M$2:$M$50)</f>
        <v>7219.6201783000006</v>
      </c>
      <c r="N19" s="73" ph="1">
        <f>N18*9.0746*LOOKUP(N20,密度!$A$2:$A$50,密度!$M$2:$M$50)</f>
        <v>24404.471510900003</v>
      </c>
      <c r="O19" s="73" ph="1">
        <f>O18*9.0746*LOOKUP(O20,密度!$A$2:$A$50,密度!$G$2:$G$50)</f>
        <v>28474.77716808</v>
      </c>
      <c r="P19" s="73" ph="1">
        <f ca="1">P18*9.0746*LOOKUP(P20,密度!$A$2:$A$51,密度!$Q$2:$Q$50)</f>
        <v>60232.239342431996</v>
      </c>
      <c r="Q19" s="73" ph="1">
        <f>Q18*9.0746*LOOKUP(Q20,密度!$A$2:$A$50,密度!$Q$2:$Q$50)</f>
        <v>60570.966845886003</v>
      </c>
      <c r="R19" s="73" ph="1">
        <f>MAX(R18*9.0746*LOOKUP(R20,密度!$A$2:$A$50,密度!$B$2:$B$50),0)</f>
        <v>52231.009165280004</v>
      </c>
      <c r="S19" s="73" ph="1">
        <f>S18*9.0746*LOOKUP(S20,密度!$A$2:$A$50,密度!$Q$2:$Q$50)</f>
        <v>55262.267314716002</v>
      </c>
      <c r="T19" s="73" ph="1">
        <f>T18*9.0746*LOOKUP(T20,密度!$A$2:$A$50,密度!$O$2:$O$50)</f>
        <v>31681.425012</v>
      </c>
      <c r="U19" s="73" ph="1">
        <f>U18*9.0746*LOOKUP(U20,密度!$A$2:$A$50,密度!$H$2:$H$50)</f>
        <v>51034.248194899999</v>
      </c>
      <c r="V19" s="73" ph="1">
        <f>MAX(5600*LOOKUP(V20,密度!$A$2:$A$50,密度!$Q$2:$Q$50)+V18*9.0476*LOOKUP(V20,密度!$A$2:$A$50,密度!$Q$2:$Q$50),0)</f>
        <v>48255.227833383993</v>
      </c>
      <c r="W19" s="73" ph="1">
        <f>MAX(5600*LOOKUP(W20,密度!$A$2:$A$50,密度!$Q$2:$Q$50)+W18*9.0476*LOOKUP(W20,密度!$A$2:$A$50,密度!$Q$2:$Q$50),0)</f>
        <v>20378.378312088</v>
      </c>
      <c r="X19" s="73" ph="1">
        <f>MAX(5600*LOOKUP(X20,密度!$A$2:$A$50,密度!$I$2:$I$50)+X18*9.0476*LOOKUP(X20,密度!$A$2:$A$50,密度!$I$2:$I$50),0)</f>
        <v>9602.6150753999991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78.269332460000001</v>
      </c>
      <c r="AB19" s="73" ph="1">
        <f>AB18*9.0746*LOOKUP(AB20,密度!$A$2:$A$50,密度!$L$2:$L$50)</f>
        <v>59447.895166599999</v>
      </c>
      <c r="AC19" s="73" ph="1">
        <f>AC18*9.0746*LOOKUP(AC20,密度!$A$2:$A$50,密度!$L$2:$L$50)</f>
        <v>18340.7103584</v>
      </c>
      <c r="AD19" s="73" ph="1">
        <f>AD18*268.68*LOOKUP(AD20,密度!$A$2:$A$50,密度!B5:B53)+IF(AD18&lt;=0,0,1566*LOOKUP(AD20,密度!$A$2:$A$50,密度!B5:B53))</f>
        <v>2354.5477620000001</v>
      </c>
      <c r="AE19" s="73" ph="1">
        <f>AE18*268.68*LOOKUP(AE20,密度!$A$2:$A$50,密度!B5:B53)+IF(AE18&lt;=0,0,1566*LOOKUP(AE20,密度!$A$2:$A$50,密度!B5:B53))</f>
        <v>18222.7267656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24</v>
      </c>
      <c r="G20" s="81">
        <v>19</v>
      </c>
      <c r="H20" s="81">
        <v>15</v>
      </c>
      <c r="I20" s="81">
        <v>20</v>
      </c>
      <c r="J20" s="81">
        <v>21</v>
      </c>
      <c r="K20" s="81">
        <v>20</v>
      </c>
      <c r="L20" s="81">
        <v>19</v>
      </c>
      <c r="M20" s="81">
        <v>21</v>
      </c>
      <c r="N20" s="81">
        <v>19</v>
      </c>
      <c r="O20" s="81">
        <v>21</v>
      </c>
      <c r="P20" s="81">
        <v>20</v>
      </c>
      <c r="Q20" s="81">
        <v>19</v>
      </c>
      <c r="R20" s="81">
        <v>21</v>
      </c>
      <c r="S20" s="81">
        <v>19</v>
      </c>
      <c r="T20" s="81">
        <v>21</v>
      </c>
      <c r="U20" s="81">
        <v>17</v>
      </c>
      <c r="V20" s="81">
        <v>20</v>
      </c>
      <c r="W20" s="81">
        <v>20</v>
      </c>
      <c r="X20" s="81">
        <v>32</v>
      </c>
      <c r="Y20" s="110">
        <v>32</v>
      </c>
      <c r="Z20" s="81">
        <v>23</v>
      </c>
      <c r="AA20" s="81">
        <v>20</v>
      </c>
      <c r="AB20" s="81">
        <v>19</v>
      </c>
      <c r="AC20" s="81">
        <v>18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650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9" t="s" ph="1">
        <v>177</v>
      </c>
      <c r="D24" s="71">
        <v>5.43</v>
      </c>
      <c r="E24" s="71">
        <v>4.95</v>
      </c>
      <c r="F24" s="71">
        <v>509</v>
      </c>
      <c r="G24" s="71">
        <v>3587</v>
      </c>
      <c r="H24" s="71">
        <v>3336</v>
      </c>
      <c r="I24" s="71">
        <v>1253</v>
      </c>
      <c r="J24" s="71">
        <v>4927</v>
      </c>
      <c r="K24" s="71">
        <v>4720</v>
      </c>
      <c r="L24" s="71">
        <v>5541</v>
      </c>
      <c r="M24" s="71">
        <v>5070</v>
      </c>
      <c r="N24" s="71">
        <v>2845</v>
      </c>
      <c r="O24" s="71">
        <v>5717</v>
      </c>
      <c r="P24" s="71">
        <v>341</v>
      </c>
      <c r="Q24" s="90">
        <v>4691</v>
      </c>
      <c r="R24" s="71">
        <v>2012</v>
      </c>
      <c r="S24" s="71">
        <v>2969</v>
      </c>
      <c r="T24" s="71">
        <v>179</v>
      </c>
      <c r="U24" s="71">
        <v>3307</v>
      </c>
      <c r="V24" s="71">
        <v>3856</v>
      </c>
      <c r="W24" s="71">
        <v>4631</v>
      </c>
      <c r="X24" s="71">
        <v>7621</v>
      </c>
      <c r="Y24" s="71">
        <v>6568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2863.8245003759998</v>
      </c>
      <c r="E25" s="91" ph="1">
        <f>E24*268.68*LOOKUP(E26,密度!$A$2:$A$50,密度!$C$2:$C$50)+IF(E24&lt;=0,0,1566*LOOKUP(E26,密度!$A$2:$A$50,密度!$C$2:$C$50))</f>
        <v>3211.3366974</v>
      </c>
      <c r="F25" s="91" ph="1">
        <f>F24*11.702*LOOKUP(F26,密度!$A$2:$A$50,密度!$Q$2:$Q$50)</f>
        <v>5670.4742991800003</v>
      </c>
      <c r="G25" s="91" ph="1">
        <f>G24*18.322*LOOKUP(G26,密度!$A$2:$A$50,密度!$B$2:$B$50)</f>
        <v>51584.423888600002</v>
      </c>
      <c r="H25" s="91" ph="1">
        <f>H24*18.322*LOOKUP(H26,密度!$A$2:$A$50,密度!$B$2:$B$50)</f>
        <v>48115.3895424</v>
      </c>
      <c r="I25" s="91" ph="1">
        <f>I24*18.322*LOOKUP(I26,密度!$A$2:$A$50,密度!$Q$2:$Q$50)</f>
        <v>21855.73720666</v>
      </c>
      <c r="J25" s="91" ph="1">
        <f>J24*18.322*LOOKUP(J26,密度!$A$2:$A$50,密度!$Q$2:$Q$50)</f>
        <v>85940.317012939995</v>
      </c>
      <c r="K25" s="91" ph="1">
        <f>K24*18.322*LOOKUP(K26,密度!$A$2:$A$50,密度!$Q$2:$Q$50)</f>
        <v>82397.991551999992</v>
      </c>
      <c r="L25" s="91" ph="1">
        <f>L24*18.322*LOOKUP(L26,密度!$A$2:$A$50,密度!$Q$2:$Q$50)</f>
        <v>96811.571827199994</v>
      </c>
      <c r="M25" s="91" ph="1">
        <f>M24*18.322*LOOKUP(M26,密度!$A$2:$A$50,密度!$Q$2:$Q$50)</f>
        <v>88362.170824200002</v>
      </c>
      <c r="N25" s="91" ph="1">
        <f>N24*18.322*LOOKUP(N26,密度!$A$2:$A$50,密度!$Q$2:$Q$50)</f>
        <v>49624.558940899995</v>
      </c>
      <c r="O25" s="91" ph="1">
        <f>O24*18.322*LOOKUP(O26,密度!$A$2:$A$50,密度!$C$2:$C$50)</f>
        <v>116677.54294859998</v>
      </c>
      <c r="P25" s="91" ph="1">
        <f>P24*11.702*LOOKUP(P26,密度!$A$2:$A$50,密度!$B$2:$B$50)</f>
        <v>3132.0508318000002</v>
      </c>
      <c r="Q25" s="92" ph="1">
        <f>Q24*18.322*LOOKUP(Q26,密度!$A$2:$A$50,密度!$B$2:$B$50)</f>
        <v>67392.220418199999</v>
      </c>
      <c r="R25" s="91" ph="1">
        <f>R24*35.891*LOOKUP(R26,密度!$A$2:$A$50,密度!$C$2:$C$50)</f>
        <v>80343.841119199991</v>
      </c>
      <c r="S25" s="91" ph="1">
        <f>S24*35.891*LOOKUP(S26,密度!$A$2:$A$50,密度!$B$2:$B$50)</f>
        <v>83458.0888328</v>
      </c>
      <c r="T25" s="91" ph="1">
        <f>T24*35.891*LOOKUP(T26,密度!$A$2:$A$50,密度!$Q$2:$Q$50)</f>
        <v>6121.2531191999997</v>
      </c>
      <c r="U25" s="91" ph="1">
        <f>U24*35.891</f>
        <v>118691.537</v>
      </c>
      <c r="V25" s="91" ph="1">
        <f>V24*47.051*LOOKUP(V26,密度!$A$2:$A$50,密度!$B$2:$B$50)</f>
        <v>142403.35209440003</v>
      </c>
      <c r="W25" s="91" ph="1">
        <f>W24*47.051*LOOKUP(W26,密度!$A$2:$A$50,密度!$B$2:$B$50)</f>
        <v>171198.67231170001</v>
      </c>
      <c r="X25" s="91" ph="1">
        <f>X24*47.051*LOOKUP(X26,密度!$A$2:$A$61,密度!$I$2:$I$61)</f>
        <v>365711.32685290003</v>
      </c>
      <c r="Y25" s="91" ph="1">
        <f>Y24*47.051*LOOKUP(Y26,密度!$A$2:$A$50,密度!$L$2:$L$50)</f>
        <v>290798.14088799997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18</v>
      </c>
      <c r="G26" s="74">
        <v>19</v>
      </c>
      <c r="H26" s="74">
        <v>16</v>
      </c>
      <c r="I26" s="74">
        <v>18</v>
      </c>
      <c r="J26" s="74">
        <v>18</v>
      </c>
      <c r="K26" s="74">
        <v>17</v>
      </c>
      <c r="L26" s="74">
        <v>16</v>
      </c>
      <c r="M26" s="74">
        <v>19</v>
      </c>
      <c r="N26" s="74">
        <v>18</v>
      </c>
      <c r="O26" s="74">
        <v>18</v>
      </c>
      <c r="P26" s="74">
        <v>19</v>
      </c>
      <c r="Q26" s="93">
        <v>20</v>
      </c>
      <c r="R26" s="74">
        <v>20</v>
      </c>
      <c r="S26" s="74">
        <v>21</v>
      </c>
      <c r="T26" s="74">
        <v>17</v>
      </c>
      <c r="U26" s="74">
        <v>19</v>
      </c>
      <c r="V26" s="74">
        <v>19</v>
      </c>
      <c r="W26" s="74">
        <v>18</v>
      </c>
      <c r="X26" s="74">
        <v>45</v>
      </c>
      <c r="Y26" s="74">
        <v>21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9" t="s" ph="1">
        <v>180</v>
      </c>
      <c r="D27" s="71">
        <v>5.42</v>
      </c>
      <c r="E27" s="71">
        <v>4.92</v>
      </c>
      <c r="F27" s="71">
        <v>506</v>
      </c>
      <c r="G27" s="71">
        <v>2844</v>
      </c>
      <c r="H27" s="71">
        <v>3294</v>
      </c>
      <c r="I27" s="71">
        <v>1252</v>
      </c>
      <c r="J27" s="71">
        <v>4926</v>
      </c>
      <c r="K27" s="71">
        <v>4720</v>
      </c>
      <c r="L27" s="71">
        <v>5538</v>
      </c>
      <c r="M27" s="71">
        <v>5071</v>
      </c>
      <c r="N27" s="71">
        <v>2844</v>
      </c>
      <c r="O27" s="71">
        <v>5715</v>
      </c>
      <c r="P27" s="71">
        <v>336</v>
      </c>
      <c r="Q27" s="90">
        <v>502</v>
      </c>
      <c r="R27" s="71">
        <v>2009</v>
      </c>
      <c r="S27" s="71">
        <v>5265</v>
      </c>
      <c r="T27" s="71">
        <v>177</v>
      </c>
      <c r="U27" s="71">
        <v>3199</v>
      </c>
      <c r="V27" s="71">
        <v>3570</v>
      </c>
      <c r="W27" s="71">
        <v>5203</v>
      </c>
      <c r="X27" s="71">
        <v>7624</v>
      </c>
      <c r="Y27" s="71">
        <v>7146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9" t="s" ph="1">
        <v>178</v>
      </c>
      <c r="D28" s="91" ph="1">
        <f>D27*268.68*LOOKUP(D29,密度!$A$2:$A$50,密度!$Q$2:$Q$50)+IF(D27&lt;=0,0,1566*LOOKUP(D29,密度!$A$2:$A$50,密度!$Q$2:$Q$50))</f>
        <v>2861.2807993440001</v>
      </c>
      <c r="E28" s="91" ph="1">
        <f>E27*268.68*LOOKUP(E29,密度!$A$2:$A$50,密度!$C$2:$C$50)+IF(E27&lt;=0,0,1566*LOOKUP(E29,密度!$A$2:$A$50,密度!$C$2:$C$50))</f>
        <v>3202.3985198400001</v>
      </c>
      <c r="F28" s="91" ph="1">
        <f>F27*11.702*LOOKUP(F29,密度!$A$2:$A$50,密度!$Q$2:$Q$50)</f>
        <v>5632.4344907599998</v>
      </c>
      <c r="G28" s="91" ph="1">
        <f>G27*18.322*LOOKUP(G29,密度!$A$2:$A$50,密度!$B$2:$B$50)</f>
        <v>40899.387103200002</v>
      </c>
      <c r="H28" s="91" ph="1">
        <f>H27*18.322*LOOKUP(H29,密度!$A$2:$A$50,密度!$B$2:$B$50)</f>
        <v>47370.809113199997</v>
      </c>
      <c r="I28" s="91" ph="1">
        <f>I27*18.322*LOOKUP(I29,密度!$A$2:$A$50,密度!$Q$2:$Q$50)</f>
        <v>21820.401947120001</v>
      </c>
      <c r="J28" s="91" ph="1">
        <f>J27*18.322*LOOKUP(J29,密度!$A$2:$A$50,密度!$Q$2:$Q$50)</f>
        <v>85922.874285719998</v>
      </c>
      <c r="K28" s="91" ph="1">
        <f>K27*18.322*LOOKUP(K29,密度!$A$2:$A$50,密度!$Q$2:$Q$50)</f>
        <v>82329.672478399996</v>
      </c>
      <c r="L28" s="91" ph="1">
        <f>L27*18.322*LOOKUP(L29,密度!$A$2:$A$50,密度!$Q$2:$Q$50)</f>
        <v>96432.431749679992</v>
      </c>
      <c r="M28" s="91" ph="1">
        <f>M27*18.322*LOOKUP(M29,密度!$A$2:$A$50,密度!$Q$2:$Q$50)</f>
        <v>88452.069732620002</v>
      </c>
      <c r="N28" s="91" ph="1">
        <f>N27*18.322*LOOKUP(N29,密度!$A$2:$A$50,密度!$Q$2:$Q$50)</f>
        <v>49522.18055184</v>
      </c>
      <c r="O28" s="91" ph="1">
        <f>O27*18.322*LOOKUP(O29,密度!$A$2:$A$50,密度!$C$2:$C$50)</f>
        <v>116427.30473700001</v>
      </c>
      <c r="P28" s="91" ph="1">
        <f>P27*11.702*LOOKUP(P29,密度!$A$2:$A$50,密度!$B$2:$B$50)</f>
        <v>3089.2718303999995</v>
      </c>
      <c r="Q28" s="92" ph="1">
        <f>Q27*18.322*LOOKUP(Q29,密度!$A$2:$A$50,密度!$B$2:$B$50)</f>
        <v>7226.5888907999997</v>
      </c>
      <c r="R28" s="91" ph="1">
        <f>R27*35.891*LOOKUP(R29,密度!$A$2:$A$50,密度!$C$2:$C$50)</f>
        <v>80267.307150799999</v>
      </c>
      <c r="S28" s="91" ph="1">
        <f>S27*35.891*LOOKUP(S29,密度!$A$2:$A$50,密度!$B$2:$B$50)</f>
        <v>147998.261268</v>
      </c>
      <c r="T28" s="91" ph="1">
        <f>T27*35.891*LOOKUP(T29,密度!$A$2:$A$50,密度!$Q$2:$Q$50)</f>
        <v>6037.4856786599994</v>
      </c>
      <c r="U28" s="91" ph="1">
        <f>U27*35.891</f>
        <v>114815.30899999999</v>
      </c>
      <c r="V28" s="91" ph="1">
        <f>V27*47.051*LOOKUP(V29,密度!$A$2:$A$50,密度!$B$2:$B$50)</f>
        <v>131706.90008700002</v>
      </c>
      <c r="W28" s="91" ph="1">
        <f>W27*47.051*LOOKUP(W29,密度!$A$2:$A$50,密度!$B$2:$B$50)</f>
        <v>191952.6613873</v>
      </c>
      <c r="X28" s="91" ph="1">
        <f>X27*47.051*LOOKUP(X29,密度!$A$2:$A$61,密度!$I$2:$I$61)</f>
        <v>364671.52327840001</v>
      </c>
      <c r="Y28" s="91" ph="1">
        <f>Y27*47.051*LOOKUP(Y29,密度!$A$2:$A$50,密度!$L$2:$L$50)</f>
        <v>316389.08568600001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9" t="s" ph="1">
        <v>179</v>
      </c>
      <c r="D29" s="74">
        <v>25</v>
      </c>
      <c r="E29" s="74">
        <v>25</v>
      </c>
      <c r="F29" s="74">
        <v>19</v>
      </c>
      <c r="G29" s="74">
        <v>19</v>
      </c>
      <c r="H29" s="74">
        <v>19</v>
      </c>
      <c r="I29" s="74">
        <v>19</v>
      </c>
      <c r="J29" s="74">
        <v>18</v>
      </c>
      <c r="K29" s="74">
        <v>18</v>
      </c>
      <c r="L29" s="74">
        <v>20</v>
      </c>
      <c r="M29" s="74">
        <v>18</v>
      </c>
      <c r="N29" s="74">
        <v>20</v>
      </c>
      <c r="O29" s="74">
        <v>21</v>
      </c>
      <c r="P29" s="74">
        <v>18</v>
      </c>
      <c r="Q29" s="93">
        <v>18</v>
      </c>
      <c r="R29" s="74">
        <v>19</v>
      </c>
      <c r="S29" s="74">
        <v>21</v>
      </c>
      <c r="T29" s="74">
        <v>20</v>
      </c>
      <c r="U29" s="74">
        <v>19</v>
      </c>
      <c r="V29" s="74">
        <v>20</v>
      </c>
      <c r="W29" s="74">
        <v>20</v>
      </c>
      <c r="X29" s="74">
        <v>48</v>
      </c>
      <c r="Y29" s="74">
        <v>21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9" t="s" ph="1">
        <v>5</v>
      </c>
      <c r="F32" s="168" t="s" ph="1">
        <v>43</v>
      </c>
      <c r="G32" s="97" t="s" ph="1">
        <v>4</v>
      </c>
      <c r="H32" s="169" t="s" ph="1">
        <v>5</v>
      </c>
      <c r="I32" s="168" t="s" ph="1">
        <v>43</v>
      </c>
      <c r="J32" s="97" t="s" ph="1">
        <v>4</v>
      </c>
      <c r="K32" s="169" t="s" ph="1">
        <v>5</v>
      </c>
      <c r="L32" s="168" t="s" ph="1">
        <v>43</v>
      </c>
      <c r="M32" s="97" t="s" ph="1">
        <v>4</v>
      </c>
      <c r="N32" s="169" t="s" ph="1">
        <v>5</v>
      </c>
      <c r="O32" s="16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9" t="s" ph="1">
        <v>5</v>
      </c>
      <c r="U32" s="99" t="s" ph="1">
        <v>43</v>
      </c>
      <c r="V32" s="97" t="s" ph="1">
        <v>4</v>
      </c>
      <c r="W32" s="169" t="s" ph="1">
        <v>5</v>
      </c>
      <c r="X32" s="99" t="s" ph="1">
        <v>43</v>
      </c>
      <c r="Y32" s="100" t="s" ph="1">
        <v>4</v>
      </c>
      <c r="Z32" s="169" t="s" ph="1">
        <v>5</v>
      </c>
      <c r="AA32" s="168" t="s" ph="1">
        <v>43</v>
      </c>
      <c r="AB32" s="97" t="s" ph="1">
        <v>85</v>
      </c>
      <c r="AC32" s="169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187093.61916940002</v>
      </c>
      <c r="E33" s="213" ph="1">
        <f>M10+I10</f>
        <v>47456.674938400007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7" ph="1">
        <f>N19</f>
        <v>24404.471510900003</v>
      </c>
      <c r="H33" s="213" ph="1">
        <f>M19</f>
        <v>7219.6201783000006</v>
      </c>
      <c r="I33" s="226" ph="1">
        <v>0</v>
      </c>
      <c r="J33" s="224" ph="1">
        <f>F10+O28</f>
        <v>300648.62253779999</v>
      </c>
      <c r="K33" s="213" ph="1">
        <f>O10+K10+E28+R28</f>
        <v>105308.66969544</v>
      </c>
      <c r="L33" s="228" ph="1">
        <f>K19</f>
        <v>41970.734633720007</v>
      </c>
      <c r="M33" s="224" ph="1">
        <f>G10+H10+W28+S28+V28+E10+R19+P28+Q28</f>
        <v>789199.66090878006</v>
      </c>
      <c r="N33" s="213" ph="1">
        <f>L10+P10++G28+H28+AD19+AE19</f>
        <v>260362.71573899998</v>
      </c>
      <c r="O33" s="226" ph="1">
        <f>G19</f>
        <v>17158.472377860002</v>
      </c>
      <c r="P33" s="224" ph="1">
        <f>L19</f>
        <v>23752.525930560001</v>
      </c>
      <c r="Q33" s="213" ph="1">
        <f>J10+N10</f>
        <v>121000.06999239999</v>
      </c>
      <c r="R33" s="226" ph="1">
        <f>BE23</f>
        <v>890</v>
      </c>
      <c r="S33" s="224" ph="1">
        <f>X28</f>
        <v>364671.52327840001</v>
      </c>
      <c r="T33" s="213" ph="1">
        <f>X19</f>
        <v>9602.6150753999991</v>
      </c>
      <c r="U33" s="234" ph="1">
        <f>BE21</f>
        <v>730</v>
      </c>
      <c r="V33" s="245" ph="1">
        <f ca="1">P19+Q19+S19+M28+N28+J28+D10+AC10+D19+E19+H19+J19+O19+V19+W19+K28+L28</f>
        <v>1327765.7713184461</v>
      </c>
      <c r="W33" s="245" ph="1">
        <f>D28+F28+T28+I28</f>
        <v>36351.602915883996</v>
      </c>
      <c r="X33" s="226" ph="1">
        <f>BE29+BE31</f>
        <v>10200</v>
      </c>
      <c r="Y33" s="247" ph="1">
        <f>+Q10+R10+S10+T10+U10+V10+W10+X10+Y10</f>
        <v>214223.08390559998</v>
      </c>
      <c r="Z33" s="232" ph="1">
        <f>T19+U19+Y28+Z10</f>
        <v>439516.40997889999</v>
      </c>
      <c r="AA33" s="234" ph="1">
        <f>BE19</f>
        <v>1440</v>
      </c>
      <c r="AB33" s="236" ph="1">
        <f>I19</f>
        <v>48639.783403200003</v>
      </c>
      <c r="AC33" s="238" ph="1">
        <f>AD10+AB19</f>
        <v>153578.48492660001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7" t="s" ph="1">
        <v>185</v>
      </c>
      <c r="AA36" s="167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342</v>
      </c>
      <c r="AI37" s="167" t="s" ph="1">
        <v>209</v>
      </c>
      <c r="AJ37" s="167" t="s" ph="1">
        <v>210</v>
      </c>
      <c r="AK37" s="167" t="s" ph="1">
        <v>211</v>
      </c>
      <c r="AM37" s="167" t="s" ph="1">
        <v>210</v>
      </c>
      <c r="AN37" s="167" t="s" ph="1">
        <v>211</v>
      </c>
      <c r="AO37" s="167" t="s" ph="1">
        <v>212</v>
      </c>
      <c r="AP37" s="167" t="s" ph="1">
        <v>210</v>
      </c>
      <c r="AQ37" s="167" t="s" ph="1">
        <v>211</v>
      </c>
      <c r="AR37" s="167" t="s" ph="1">
        <v>212</v>
      </c>
      <c r="AS37" s="167" t="s" ph="1">
        <v>210</v>
      </c>
      <c r="AT37" s="167" t="s" ph="1">
        <v>211</v>
      </c>
      <c r="AU37" s="167" t="s" ph="1">
        <v>212</v>
      </c>
      <c r="AV37" s="167" t="s" ph="1">
        <v>210</v>
      </c>
      <c r="AW37" s="167" t="s" ph="1">
        <v>211</v>
      </c>
      <c r="AX37" s="167" t="s" ph="1">
        <v>212</v>
      </c>
      <c r="AY37" s="167" t="s" ph="1">
        <v>211</v>
      </c>
      <c r="AZ37" s="167" t="s" ph="1">
        <v>213</v>
      </c>
      <c r="BD37" s="167" t="s" ph="1">
        <v>305</v>
      </c>
      <c r="BE37" s="16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49" priority="100">
      <formula>ABS(D$7-D$10)&gt;=1000</formula>
    </cfRule>
  </conditionalFormatting>
  <conditionalFormatting sqref="E4 E6:E11">
    <cfRule type="expression" dxfId="648" priority="99">
      <formula>ABS(E$7-E$10)&gt;=1000</formula>
    </cfRule>
  </conditionalFormatting>
  <conditionalFormatting sqref="F4:F11">
    <cfRule type="expression" dxfId="647" priority="98">
      <formula>ABS(F$7-F$10)&gt;=1000</formula>
    </cfRule>
  </conditionalFormatting>
  <conditionalFormatting sqref="G4:G11">
    <cfRule type="expression" dxfId="646" priority="97">
      <formula>ABS(G$7-G$10)&gt;=1000</formula>
    </cfRule>
  </conditionalFormatting>
  <conditionalFormatting sqref="H4:H11">
    <cfRule type="expression" dxfId="645" priority="96">
      <formula>ABS(H$7-H$10)&gt;=1000</formula>
    </cfRule>
  </conditionalFormatting>
  <conditionalFormatting sqref="I4:I11">
    <cfRule type="expression" dxfId="644" priority="95">
      <formula>ABS(I$7-I$10)&gt;=1000</formula>
    </cfRule>
  </conditionalFormatting>
  <conditionalFormatting sqref="J4:J11">
    <cfRule type="expression" dxfId="643" priority="94">
      <formula>ABS(J$7-J$10)&gt;=1000</formula>
    </cfRule>
  </conditionalFormatting>
  <conditionalFormatting sqref="K4:K11">
    <cfRule type="expression" dxfId="642" priority="93">
      <formula>ABS(K$7-K$10)&gt;=1000</formula>
    </cfRule>
  </conditionalFormatting>
  <conditionalFormatting sqref="L4:L11">
    <cfRule type="expression" dxfId="641" priority="92">
      <formula>ABS(L$7-L$10)&gt;=1000</formula>
    </cfRule>
  </conditionalFormatting>
  <conditionalFormatting sqref="M4 M6:M11">
    <cfRule type="expression" dxfId="640" priority="91">
      <formula>ABS(M$7-M$10)&gt;=1000</formula>
    </cfRule>
  </conditionalFormatting>
  <conditionalFormatting sqref="N4 N6:N11">
    <cfRule type="expression" dxfId="639" priority="90">
      <formula>ABS(N$7-N$10)&gt;=1000</formula>
    </cfRule>
  </conditionalFormatting>
  <conditionalFormatting sqref="O4 O6:O11">
    <cfRule type="expression" dxfId="638" priority="89">
      <formula>ABS(O$7-O$10)&gt;=1000</formula>
    </cfRule>
  </conditionalFormatting>
  <conditionalFormatting sqref="P4 P6:P11">
    <cfRule type="expression" dxfId="637" priority="88">
      <formula>ABS(P$7-P$10)&gt;=1000</formula>
    </cfRule>
  </conditionalFormatting>
  <conditionalFormatting sqref="Q4:Q11">
    <cfRule type="expression" dxfId="636" priority="87">
      <formula>ABS(Q$7-Q$10)&gt;=1000</formula>
    </cfRule>
  </conditionalFormatting>
  <conditionalFormatting sqref="R4:R11">
    <cfRule type="expression" dxfId="635" priority="86">
      <formula>ABS(R$7-R$10)&gt;=1000</formula>
    </cfRule>
  </conditionalFormatting>
  <conditionalFormatting sqref="S4:S11">
    <cfRule type="expression" dxfId="634" priority="85">
      <formula>ABS(S$7-S$10)&gt;=1000</formula>
    </cfRule>
  </conditionalFormatting>
  <conditionalFormatting sqref="T4:T9 T11">
    <cfRule type="expression" dxfId="633" priority="84">
      <formula>ABS(T$7-T$10)&gt;=1000</formula>
    </cfRule>
  </conditionalFormatting>
  <conditionalFormatting sqref="U4:U9 U11">
    <cfRule type="expression" dxfId="632" priority="83">
      <formula>ABS(U$7-U$10)&gt;=1000</formula>
    </cfRule>
  </conditionalFormatting>
  <conditionalFormatting sqref="V4:V9 V11">
    <cfRule type="expression" dxfId="631" priority="82">
      <formula>ABS(V$7-V$10)&gt;=1000</formula>
    </cfRule>
  </conditionalFormatting>
  <conditionalFormatting sqref="W4:W9 W11">
    <cfRule type="expression" dxfId="630" priority="81">
      <formula>ABS(W$7-W$10)&gt;=1000</formula>
    </cfRule>
  </conditionalFormatting>
  <conditionalFormatting sqref="X4:X9 X11">
    <cfRule type="expression" dxfId="629" priority="80">
      <formula>ABS(X$7-X$10)&gt;=1000</formula>
    </cfRule>
  </conditionalFormatting>
  <conditionalFormatting sqref="Y4:Y9 Y11">
    <cfRule type="expression" dxfId="628" priority="79">
      <formula>ABS(Y$7-Y$10)&gt;=1000</formula>
    </cfRule>
  </conditionalFormatting>
  <conditionalFormatting sqref="Z4:Z11">
    <cfRule type="expression" dxfId="627" priority="78">
      <formula>ABS(Z$7-Z$10)&gt;=1000</formula>
    </cfRule>
  </conditionalFormatting>
  <conditionalFormatting sqref="AA4:AA11">
    <cfRule type="expression" dxfId="626" priority="77">
      <formula>ABS(AA$7-AA$10)&gt;=1000</formula>
    </cfRule>
  </conditionalFormatting>
  <conditionalFormatting sqref="AB4:AB11">
    <cfRule type="expression" dxfId="625" priority="76">
      <formula>ABS(AB$7-AB$10)&gt;=1000</formula>
    </cfRule>
  </conditionalFormatting>
  <conditionalFormatting sqref="AC4 AC6:AC11">
    <cfRule type="expression" dxfId="624" priority="75">
      <formula>ABS(AC$7-AC$10)&gt;=1000</formula>
    </cfRule>
  </conditionalFormatting>
  <conditionalFormatting sqref="AD4 AD6:AD11">
    <cfRule type="expression" dxfId="623" priority="74">
      <formula>ABS(AD$7-AD$10)&gt;=1000</formula>
    </cfRule>
  </conditionalFormatting>
  <conditionalFormatting sqref="AE4 AE6:AE11">
    <cfRule type="expression" dxfId="622" priority="73">
      <formula>ABS(AE$7-AE$10)&gt;=1000</formula>
    </cfRule>
  </conditionalFormatting>
  <conditionalFormatting sqref="D13:D20">
    <cfRule type="expression" dxfId="621" priority="72">
      <formula>ABS(D$16-D$19)&gt;=1000</formula>
    </cfRule>
  </conditionalFormatting>
  <conditionalFormatting sqref="E13:E20">
    <cfRule type="expression" dxfId="620" priority="71">
      <formula>ABS(E$16-E$19)&gt;=1000</formula>
    </cfRule>
  </conditionalFormatting>
  <conditionalFormatting sqref="F13 F15:F20">
    <cfRule type="expression" dxfId="619" priority="70">
      <formula>ABS(F$16-F$19)&gt;=1000</formula>
    </cfRule>
  </conditionalFormatting>
  <conditionalFormatting sqref="G13:G20">
    <cfRule type="expression" dxfId="618" priority="69">
      <formula>ABS(G$16-G$19)&gt;=1000</formula>
    </cfRule>
  </conditionalFormatting>
  <conditionalFormatting sqref="H13 H15:H20">
    <cfRule type="expression" dxfId="617" priority="68">
      <formula>ABS(H$16-H$19)&gt;=1000</formula>
    </cfRule>
  </conditionalFormatting>
  <conditionalFormatting sqref="I13:I20">
    <cfRule type="expression" dxfId="616" priority="67">
      <formula>ABS(I$16-I$19)&gt;=1000</formula>
    </cfRule>
  </conditionalFormatting>
  <conditionalFormatting sqref="J13:J20">
    <cfRule type="expression" dxfId="615" priority="66">
      <formula>ABS(J$16-J$19)&gt;=1000</formula>
    </cfRule>
  </conditionalFormatting>
  <conditionalFormatting sqref="L13:L20">
    <cfRule type="expression" dxfId="614" priority="65">
      <formula>ABS(L$16-L$19)&gt;=1000</formula>
    </cfRule>
  </conditionalFormatting>
  <conditionalFormatting sqref="M13 M15 M17:M18 M20">
    <cfRule type="expression" dxfId="613" priority="64">
      <formula>ABS(M$16-M$19)&gt;=1000</formula>
    </cfRule>
  </conditionalFormatting>
  <conditionalFormatting sqref="N13:N20">
    <cfRule type="expression" dxfId="612" priority="63">
      <formula>ABS(N$16-N$19)&gt;=1000</formula>
    </cfRule>
  </conditionalFormatting>
  <conditionalFormatting sqref="O13:O20">
    <cfRule type="expression" dxfId="611" priority="62">
      <formula>ABS(O$16-O$19)&gt;=1000</formula>
    </cfRule>
  </conditionalFormatting>
  <conditionalFormatting sqref="P13:P20">
    <cfRule type="expression" dxfId="610" priority="61">
      <formula>ABS(P$16-P$19)&gt;=1000</formula>
    </cfRule>
  </conditionalFormatting>
  <conditionalFormatting sqref="Q13 Q15:Q20">
    <cfRule type="expression" dxfId="609" priority="60">
      <formula>ABS(Q$16-Q$19)&gt;=1000</formula>
    </cfRule>
  </conditionalFormatting>
  <conditionalFormatting sqref="R13:R20">
    <cfRule type="expression" dxfId="608" priority="59">
      <formula>ABS(R$16-R$19)&gt;=1000</formula>
    </cfRule>
  </conditionalFormatting>
  <conditionalFormatting sqref="S13:S20">
    <cfRule type="expression" dxfId="607" priority="58">
      <formula>ABS(S$16-S$19)&gt;=1000</formula>
    </cfRule>
  </conditionalFormatting>
  <conditionalFormatting sqref="T13:T20">
    <cfRule type="expression" dxfId="606" priority="57">
      <formula>ABS(T$16-T$19)&gt;=1000</formula>
    </cfRule>
  </conditionalFormatting>
  <conditionalFormatting sqref="U13:U20">
    <cfRule type="expression" dxfId="605" priority="56">
      <formula>ABS(U$16-U$19)&gt;=1000</formula>
    </cfRule>
  </conditionalFormatting>
  <conditionalFormatting sqref="V13:V20">
    <cfRule type="expression" dxfId="604" priority="55">
      <formula>ABS(V$16-V$19)&gt;=1000</formula>
    </cfRule>
  </conditionalFormatting>
  <conditionalFormatting sqref="W13 W20 W15:W18">
    <cfRule type="expression" dxfId="603" priority="54">
      <formula>ABS(W$16-W$19)&gt;=1000</formula>
    </cfRule>
  </conditionalFormatting>
  <conditionalFormatting sqref="X13 X15:X20 Y19">
    <cfRule type="expression" dxfId="602" priority="53">
      <formula>ABS(X$16-X$19)&gt;=1000</formula>
    </cfRule>
  </conditionalFormatting>
  <conditionalFormatting sqref="Y13 Y15:Y18 Y20">
    <cfRule type="expression" dxfId="601" priority="52">
      <formula>ABS(Y$16-Y$19)&gt;=1000</formula>
    </cfRule>
  </conditionalFormatting>
  <conditionalFormatting sqref="Z13:Z20">
    <cfRule type="expression" dxfId="600" priority="51">
      <formula>ABS(Z$16-Z$19)&gt;=1000</formula>
    </cfRule>
  </conditionalFormatting>
  <conditionalFormatting sqref="AA13:AA20">
    <cfRule type="expression" dxfId="599" priority="50">
      <formula>ABS(AA$16-AA$19)&gt;=1000</formula>
    </cfRule>
  </conditionalFormatting>
  <conditionalFormatting sqref="AB13 AB15:AB20">
    <cfRule type="expression" dxfId="598" priority="49">
      <formula>ABS(AB$16-AB$19)&gt;=1000</formula>
    </cfRule>
  </conditionalFormatting>
  <conditionalFormatting sqref="AC13 AC15:AC20">
    <cfRule type="expression" dxfId="597" priority="48">
      <formula>ABS(AC$16-AC$19)&gt;=1000</formula>
    </cfRule>
  </conditionalFormatting>
  <conditionalFormatting sqref="AD13:AD20">
    <cfRule type="expression" dxfId="596" priority="47">
      <formula>ABS(AD$16-AD$19)&gt;=1000</formula>
    </cfRule>
  </conditionalFormatting>
  <conditionalFormatting sqref="AE13:AE20">
    <cfRule type="expression" dxfId="595" priority="46">
      <formula>ABS(AE$16-AE$19)&gt;=1000</formula>
    </cfRule>
  </conditionalFormatting>
  <conditionalFormatting sqref="D22:D29">
    <cfRule type="expression" dxfId="594" priority="45">
      <formula>ABS(D$25-D$28)&gt;=1000</formula>
    </cfRule>
  </conditionalFormatting>
  <conditionalFormatting sqref="E22:E29">
    <cfRule type="expression" dxfId="593" priority="44">
      <formula>ABS(E$25-E$28)&gt;=1000</formula>
    </cfRule>
  </conditionalFormatting>
  <conditionalFormatting sqref="F22:F29">
    <cfRule type="expression" dxfId="592" priority="43">
      <formula>ABS(F$25-F$28)&gt;=1000</formula>
    </cfRule>
  </conditionalFormatting>
  <conditionalFormatting sqref="G22:G29">
    <cfRule type="expression" dxfId="591" priority="42">
      <formula>ABS(G$25-G$28)&gt;=1000</formula>
    </cfRule>
  </conditionalFormatting>
  <conditionalFormatting sqref="H22:H29">
    <cfRule type="expression" dxfId="590" priority="41">
      <formula>ABS(H$25-H$28)&gt;=1000</formula>
    </cfRule>
  </conditionalFormatting>
  <conditionalFormatting sqref="I22 I24:I29">
    <cfRule type="expression" dxfId="589" priority="40">
      <formula>ABS(I$25-I$28)&gt;=1000</formula>
    </cfRule>
  </conditionalFormatting>
  <conditionalFormatting sqref="J22:J29 K22">
    <cfRule type="expression" dxfId="588" priority="39">
      <formula>ABS(J$25-J$28)&gt;=1000</formula>
    </cfRule>
  </conditionalFormatting>
  <conditionalFormatting sqref="K23:K29 L25 L28">
    <cfRule type="expression" dxfId="587" priority="38">
      <formula>ABS(K$25-K$28)&gt;=1000</formula>
    </cfRule>
  </conditionalFormatting>
  <conditionalFormatting sqref="L22 L26:L27 L29 L24">
    <cfRule type="expression" dxfId="586" priority="37">
      <formula>ABS(L$25-L$28)&gt;=1000</formula>
    </cfRule>
  </conditionalFormatting>
  <conditionalFormatting sqref="M22:M29">
    <cfRule type="expression" dxfId="585" priority="36">
      <formula>ABS(M$25-M$28)&gt;=1000</formula>
    </cfRule>
  </conditionalFormatting>
  <conditionalFormatting sqref="N22:N29">
    <cfRule type="expression" dxfId="584" priority="35">
      <formula>ABS(N$25-N$28)&gt;=1000</formula>
    </cfRule>
  </conditionalFormatting>
  <conditionalFormatting sqref="O22:O29">
    <cfRule type="expression" dxfId="583" priority="34">
      <formula>ABS(O$25-O$28)&gt;=1000</formula>
    </cfRule>
  </conditionalFormatting>
  <conditionalFormatting sqref="P22:P29">
    <cfRule type="expression" dxfId="582" priority="33">
      <formula>ABS(P$25-P$28)&gt;=1000</formula>
    </cfRule>
  </conditionalFormatting>
  <conditionalFormatting sqref="Q22:Q29">
    <cfRule type="expression" dxfId="581" priority="32">
      <formula>ABS(Q$25-Q$28)&gt;=1000</formula>
    </cfRule>
  </conditionalFormatting>
  <conditionalFormatting sqref="R22:R29">
    <cfRule type="expression" dxfId="580" priority="31">
      <formula>ABS(R$25-R$28)&gt;=1000</formula>
    </cfRule>
  </conditionalFormatting>
  <conditionalFormatting sqref="S22:S29">
    <cfRule type="expression" dxfId="579" priority="30">
      <formula>ABS(S$25-S$28)&gt;=1000</formula>
    </cfRule>
  </conditionalFormatting>
  <conditionalFormatting sqref="T22:T29">
    <cfRule type="expression" dxfId="578" priority="29">
      <formula>ABS(T$25-T$28)&gt;=1000</formula>
    </cfRule>
  </conditionalFormatting>
  <conditionalFormatting sqref="U22:U29">
    <cfRule type="expression" dxfId="577" priority="28">
      <formula>ABS(U$25-U$28)&gt;=1000</formula>
    </cfRule>
  </conditionalFormatting>
  <conditionalFormatting sqref="V22:V29">
    <cfRule type="expression" dxfId="576" priority="27">
      <formula>ABS(V$25-V$28)&gt;=1000</formula>
    </cfRule>
  </conditionalFormatting>
  <conditionalFormatting sqref="W22:W29">
    <cfRule type="expression" dxfId="575" priority="26">
      <formula>ABS(W$25-W$28)&gt;=1000</formula>
    </cfRule>
  </conditionalFormatting>
  <conditionalFormatting sqref="X22:X29">
    <cfRule type="expression" dxfId="574" priority="25">
      <formula>ABS(X$25-X$28)&gt;=1000</formula>
    </cfRule>
  </conditionalFormatting>
  <conditionalFormatting sqref="Y22:Y29">
    <cfRule type="expression" dxfId="573" priority="24">
      <formula>ABS(Y$25-Y$28)&gt;=1000</formula>
    </cfRule>
  </conditionalFormatting>
  <conditionalFormatting sqref="I23">
    <cfRule type="expression" dxfId="572" priority="23">
      <formula>ABS(I$25-I$28)&gt;=1000</formula>
    </cfRule>
  </conditionalFormatting>
  <conditionalFormatting sqref="Q14">
    <cfRule type="expression" dxfId="571" priority="22">
      <formula>ABS(Q$16-Q$19)&gt;=1000</formula>
    </cfRule>
  </conditionalFormatting>
  <conditionalFormatting sqref="W14">
    <cfRule type="expression" dxfId="570" priority="21">
      <formula>ABS(W$16-W$19)&gt;=1000</formula>
    </cfRule>
  </conditionalFormatting>
  <conditionalFormatting sqref="X14">
    <cfRule type="expression" dxfId="569" priority="20">
      <formula>ABS(X$16-X$19)&gt;=1000</formula>
    </cfRule>
  </conditionalFormatting>
  <conditionalFormatting sqref="T10:Y10">
    <cfRule type="expression" dxfId="568" priority="19">
      <formula>ABS(T$7-T$10)&gt;=1000</formula>
    </cfRule>
  </conditionalFormatting>
  <conditionalFormatting sqref="W19">
    <cfRule type="expression" dxfId="567" priority="18">
      <formula>ABS(W$16-W$19)&gt;=1000</formula>
    </cfRule>
  </conditionalFormatting>
  <conditionalFormatting sqref="AC5">
    <cfRule type="expression" dxfId="566" priority="17">
      <formula>ABS(AC$7-AC$10)&gt;=1000</formula>
    </cfRule>
  </conditionalFormatting>
  <conditionalFormatting sqref="M14">
    <cfRule type="expression" dxfId="565" priority="16">
      <formula>ABS(M$16-M$19)&gt;=1000</formula>
    </cfRule>
  </conditionalFormatting>
  <conditionalFormatting sqref="M16">
    <cfRule type="expression" dxfId="564" priority="15">
      <formula>ABS(M$16-M$19)&gt;=1000</formula>
    </cfRule>
  </conditionalFormatting>
  <conditionalFormatting sqref="M19">
    <cfRule type="expression" dxfId="563" priority="14">
      <formula>ABS(M$16-M$19)&gt;=1000</formula>
    </cfRule>
  </conditionalFormatting>
  <conditionalFormatting sqref="K13:K20">
    <cfRule type="expression" dxfId="562" priority="13">
      <formula>ABS(K$16-K$19)&gt;=1000</formula>
    </cfRule>
  </conditionalFormatting>
  <conditionalFormatting sqref="E5">
    <cfRule type="expression" dxfId="561" priority="12">
      <formula>ABS(E$7-E$10)&gt;=1000</formula>
    </cfRule>
  </conditionalFormatting>
  <conditionalFormatting sqref="AB14:AC14">
    <cfRule type="expression" dxfId="560" priority="11">
      <formula>ABS(AB$16-AB$19)&gt;=1000</formula>
    </cfRule>
  </conditionalFormatting>
  <conditionalFormatting sqref="M5">
    <cfRule type="expression" dxfId="559" priority="10">
      <formula>ABS(M$7-M$10)&gt;=1000</formula>
    </cfRule>
  </conditionalFormatting>
  <conditionalFormatting sqref="N5">
    <cfRule type="expression" dxfId="558" priority="9">
      <formula>ABS(N$7-N$10)&gt;=1000</formula>
    </cfRule>
  </conditionalFormatting>
  <conditionalFormatting sqref="O5">
    <cfRule type="expression" dxfId="557" priority="8">
      <formula>ABS(O$7-O$10)&gt;=1000</formula>
    </cfRule>
  </conditionalFormatting>
  <conditionalFormatting sqref="P5">
    <cfRule type="expression" dxfId="556" priority="7">
      <formula>ABS(P$7-P$10)&gt;=1000</formula>
    </cfRule>
  </conditionalFormatting>
  <conditionalFormatting sqref="L23">
    <cfRule type="expression" dxfId="555" priority="6">
      <formula>ABS(L$25-L$28)&gt;=1000</formula>
    </cfRule>
  </conditionalFormatting>
  <conditionalFormatting sqref="Y14">
    <cfRule type="expression" dxfId="554" priority="5">
      <formula>ABS(Y$16-Y$19)&gt;=1000</formula>
    </cfRule>
  </conditionalFormatting>
  <conditionalFormatting sqref="F14">
    <cfRule type="expression" dxfId="553" priority="4">
      <formula>ABS(F$16-F$19)&gt;=1000</formula>
    </cfRule>
  </conditionalFormatting>
  <conditionalFormatting sqref="H14">
    <cfRule type="expression" dxfId="552" priority="3">
      <formula>ABS(H$16-H$19)&gt;=1000</formula>
    </cfRule>
  </conditionalFormatting>
  <conditionalFormatting sqref="AD5">
    <cfRule type="expression" dxfId="551" priority="2">
      <formula>ABS(AD$7-AD$10)&gt;=1000</formula>
    </cfRule>
  </conditionalFormatting>
  <conditionalFormatting sqref="AE5">
    <cfRule type="expression" dxfId="55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32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5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46049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9" t="s" ph="1">
        <v>177</v>
      </c>
      <c r="D6" s="71">
        <v>4611</v>
      </c>
      <c r="E6" s="71">
        <v>0</v>
      </c>
      <c r="F6" s="71">
        <v>4792</v>
      </c>
      <c r="G6" s="71">
        <v>1801</v>
      </c>
      <c r="H6" s="71">
        <v>3936</v>
      </c>
      <c r="I6" s="71">
        <v>0.08</v>
      </c>
      <c r="J6" s="71">
        <v>6.57</v>
      </c>
      <c r="K6" s="71">
        <v>77.959999999999994</v>
      </c>
      <c r="L6" s="71">
        <v>7.79</v>
      </c>
      <c r="M6" s="71">
        <v>1388</v>
      </c>
      <c r="N6" s="71">
        <v>4550</v>
      </c>
      <c r="O6" s="71">
        <v>160</v>
      </c>
      <c r="P6" s="71">
        <v>3526</v>
      </c>
      <c r="Q6" s="71">
        <v>0</v>
      </c>
      <c r="R6" s="71">
        <v>0</v>
      </c>
      <c r="S6" s="71">
        <v>861</v>
      </c>
      <c r="T6" s="71">
        <v>7135</v>
      </c>
      <c r="U6" s="71">
        <v>7113</v>
      </c>
      <c r="V6" s="71">
        <v>5198</v>
      </c>
      <c r="W6" s="71">
        <v>6997</v>
      </c>
      <c r="X6" s="71">
        <v>2077</v>
      </c>
      <c r="Y6" s="71">
        <v>0</v>
      </c>
      <c r="Z6" s="71">
        <v>1288</v>
      </c>
      <c r="AA6" s="71">
        <v>4040</v>
      </c>
      <c r="AB6" s="71">
        <v>2303</v>
      </c>
      <c r="AC6" s="71">
        <v>8286</v>
      </c>
      <c r="AD6" s="71">
        <v>4780</v>
      </c>
      <c r="AE6" s="71">
        <v>3542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144857.67013961999</v>
      </c>
      <c r="E7" s="73" ph="1">
        <f>E6*51.53*LOOKUP(E8,密度!$A$2:$A$50,密度!$B$2:$B$50)</f>
        <v>0</v>
      </c>
      <c r="F7" s="73" ph="1">
        <f>F6*33.183*LOOKUP(F8,密度!$A$2:$A$50,密度!$C$2:$C$50)</f>
        <v>177219.91717199999</v>
      </c>
      <c r="G7" s="73" ph="1">
        <f xml:space="preserve"> (G6+2)*51.53*LOOKUP(G8,密度!$A$2:$A$50,密度!$B$2:$B$50)</f>
        <v>73137.642047999994</v>
      </c>
      <c r="H7" s="73" ph="1">
        <f>(H6)*51.53*LOOKUP(H8,密度!$A$2:$A$50,密度!$B$2:$B$50)</f>
        <v>160006.33891200004</v>
      </c>
      <c r="I7" s="73" ph="1">
        <f>I6*290.8*1.0267</f>
        <v>23.885148800000003</v>
      </c>
      <c r="J7" s="73" ph="1">
        <f>J6*290.8*0.7892</f>
        <v>1507.8107952000003</v>
      </c>
      <c r="K7" s="73" ph="1">
        <f>K6*290.8*1.1126</f>
        <v>25223.496476799999</v>
      </c>
      <c r="L7" s="73" ph="1">
        <f>L6*290.8*0.777</f>
        <v>1760.1629639999999</v>
      </c>
      <c r="M7" s="73" ph="1">
        <f>M6*33.183*LOOKUP(M8,密度!$A$2:$A$50,密度!$D$2:$D$50)</f>
        <v>47619.370335600004</v>
      </c>
      <c r="N7" s="73" ph="1">
        <f>N6*33.183*LOOKUP(N8,密度!$A$2:$A$50,密度!$E$2:$E$50)</f>
        <v>119487.66920999999</v>
      </c>
      <c r="O7" s="73" ph="1">
        <f>O6*20.428*LOOKUP(O8,密度!$A$2:$A$50,密度!$C$2:$C$50)</f>
        <v>3636.5108480000004</v>
      </c>
      <c r="P7" s="73" ph="1">
        <f>P6*51.53*LOOKUP(P8,密度!$A$2:$A$50,密度!$B$2:$B$50)</f>
        <v>143030.13081599999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5763.5031761999999</v>
      </c>
      <c r="T7" s="73" ph="1">
        <f>T6*1.5*1.5*3.1416*LOOKUP(T8,密度!$A$2:$A$50,密度!$L$2:$L$50)</f>
        <v>47862.303488999991</v>
      </c>
      <c r="U7" s="73" ph="1">
        <f>U6*1.5*1.5*3.1416*LOOKUP(U8,密度!$A$2:$A$50,密度!$L$2:$L$50)</f>
        <v>47513.609450999997</v>
      </c>
      <c r="V7" s="73" ph="1">
        <f>V6*1.5*1.5*3.1416*LOOKUP(V8,密度!$A$2:$A$50,密度!$L$2:$L$50)</f>
        <v>34464.542666399997</v>
      </c>
      <c r="W7" s="73" ph="1">
        <f>W6*1.5*1.5*3.1416*LOOKUP(W8,密度!$A$2:$A$50,密度!$L$2:$L$50)</f>
        <v>46590.372536399998</v>
      </c>
      <c r="X7" s="73" ph="1">
        <f>X6*1.5*1.5*3.1416*LOOKUP(X8,密度!$A$2:$A$50,密度!$L$2:$L$50)</f>
        <v>13976.7710544</v>
      </c>
      <c r="Y7" s="73" ph="1">
        <f>Y6*1.5*1.5*3.1416*LOOKUP(Y8,密度!$A$2:$A$50,密度!$L$2:$L$50)</f>
        <v>0</v>
      </c>
      <c r="Z7" s="73" ph="1">
        <f>Z6*33.183*LOOKUP(Z8,密度!$A$2:$A$50,密度!$L$2:$L$50)</f>
        <v>40602.718799999995</v>
      </c>
      <c r="AA7" s="73" ph="1">
        <f>AA6*33.183*LOOKUP(AA8,密度!$A$2:$A$50,密度!$D$2:$D$50)</f>
        <v>138952.48518000002</v>
      </c>
      <c r="AB7" s="73" ph="1">
        <f>AB6*20.428*LOOKUP(AB8,密度!$A$2:$A$50,密度!$D$2:$D$50)</f>
        <v>48969.852475599997</v>
      </c>
      <c r="AC7" s="73" ph="1">
        <f>AC6*51.53*LOOKUP(AC8,密度!$A$2:$A$50,密度!$Q$2:$Q$50)</f>
        <v>407567.17921320006</v>
      </c>
      <c r="AD7" s="73" ph="1">
        <f>AD6*20.428*LOOKUP(AD8,密度!$A$2:$A$50,密度!$V$2:$V$50)</f>
        <v>94130.589760000003</v>
      </c>
      <c r="AE7" s="73" ph="1">
        <f>AE6*20.428</f>
        <v>72355.97600000001</v>
      </c>
    </row>
    <row r="8" spans="1:99" ph="1">
      <c r="B8" s="191" ph="1"/>
      <c r="C8" s="68" t="s" ph="1">
        <v>179</v>
      </c>
      <c r="D8" s="74">
        <v>25</v>
      </c>
      <c r="E8" s="74">
        <v>15</v>
      </c>
      <c r="F8" s="74">
        <v>17</v>
      </c>
      <c r="G8" s="74">
        <v>16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17</v>
      </c>
      <c r="N8" s="74">
        <v>18</v>
      </c>
      <c r="O8" s="74">
        <v>20</v>
      </c>
      <c r="P8" s="74">
        <v>16</v>
      </c>
      <c r="Q8" s="74">
        <v>19</v>
      </c>
      <c r="R8" s="74">
        <v>23</v>
      </c>
      <c r="S8" s="74">
        <v>15</v>
      </c>
      <c r="T8" s="74">
        <v>13</v>
      </c>
      <c r="U8" s="74">
        <v>17</v>
      </c>
      <c r="V8" s="74">
        <v>24</v>
      </c>
      <c r="W8" s="74">
        <v>20</v>
      </c>
      <c r="X8" s="74">
        <v>10</v>
      </c>
      <c r="Y8" s="74">
        <v>18</v>
      </c>
      <c r="Z8" s="74">
        <v>12</v>
      </c>
      <c r="AA8" s="74">
        <v>14</v>
      </c>
      <c r="AB8" s="74">
        <v>9</v>
      </c>
      <c r="AC8" s="74">
        <v>15</v>
      </c>
      <c r="AD8" s="74">
        <v>15</v>
      </c>
      <c r="AE8" s="74">
        <v>17</v>
      </c>
    </row>
    <row r="9" spans="1:99" ph="1">
      <c r="B9" s="191" ph="1">
        <v>0.66666666666666663</v>
      </c>
      <c r="C9" s="169" t="s" ph="1">
        <v>180</v>
      </c>
      <c r="D9" s="71">
        <v>4940</v>
      </c>
      <c r="E9" s="71">
        <v>0</v>
      </c>
      <c r="F9" s="71">
        <v>4715</v>
      </c>
      <c r="G9" s="71">
        <v>1851</v>
      </c>
      <c r="H9" s="71">
        <v>3657</v>
      </c>
      <c r="I9" s="71">
        <v>0.08</v>
      </c>
      <c r="J9" s="71">
        <v>6.61</v>
      </c>
      <c r="K9" s="71">
        <v>9.48</v>
      </c>
      <c r="L9" s="71">
        <v>7.79</v>
      </c>
      <c r="M9" s="71">
        <v>1388</v>
      </c>
      <c r="N9" s="71">
        <v>4553</v>
      </c>
      <c r="O9" s="71">
        <v>1276</v>
      </c>
      <c r="P9" s="71">
        <v>3056</v>
      </c>
      <c r="Q9" s="71">
        <v>0</v>
      </c>
      <c r="R9" s="71">
        <v>0</v>
      </c>
      <c r="S9" s="71">
        <v>0</v>
      </c>
      <c r="T9" s="71">
        <v>5076</v>
      </c>
      <c r="U9" s="71">
        <v>7116</v>
      </c>
      <c r="V9" s="71">
        <v>5200</v>
      </c>
      <c r="W9" s="71">
        <v>7001</v>
      </c>
      <c r="X9" s="71">
        <v>7063</v>
      </c>
      <c r="Y9" s="71">
        <v>3219</v>
      </c>
      <c r="Z9" s="71">
        <v>1813</v>
      </c>
      <c r="AA9" s="71">
        <v>3991</v>
      </c>
      <c r="AB9" s="71">
        <v>2303</v>
      </c>
      <c r="AC9" s="71">
        <v>8071</v>
      </c>
      <c r="AD9" s="71">
        <v>4780</v>
      </c>
      <c r="AE9" s="71">
        <v>3560</v>
      </c>
    </row>
    <row r="10" spans="1:99" s="72" customFormat="1" ht="22.5" ph="1">
      <c r="B10" s="191" ph="1"/>
      <c r="C10" s="169" t="s" ph="1">
        <v>178</v>
      </c>
      <c r="D10" s="73" ph="1">
        <f>D9*33.183*LOOKUP(D11,密度!$A$2:$A$50,密度!$Q$2:$Q$50)</f>
        <v>155193.4266948</v>
      </c>
      <c r="E10" s="73" ph="1">
        <f>E9*51.53*LOOKUP(E11,密度!$A$2:$A$50,密度!$B$2:$B$50)</f>
        <v>0</v>
      </c>
      <c r="F10" s="73" ph="1">
        <f>F9*33.183*LOOKUP(F11,密度!$A$2:$A$50,密度!$C$2:$C$50)</f>
        <v>174278.39354549997</v>
      </c>
      <c r="G10" s="73" ph="1">
        <f xml:space="preserve"> (G9+2)*51.53*LOOKUP(G11,密度!$A$2:$A$50,密度!$B$2:$B$50)</f>
        <v>75165.862848000004</v>
      </c>
      <c r="H10" s="73" ph="1">
        <f>(H9)*51.53*LOOKUP(H11,密度!$A$2:$A$50,密度!$B$2:$B$50)</f>
        <v>148344.06931200001</v>
      </c>
      <c r="I10" s="73" ph="1">
        <f>I9*290.8*1.0267</f>
        <v>23.885148800000003</v>
      </c>
      <c r="J10" s="73" ph="1">
        <f>J9*290.8*0.7892</f>
        <v>1516.9907696</v>
      </c>
      <c r="K10" s="73" ph="1">
        <f>K9*290.8*1.1126</f>
        <v>3067.1978784000003</v>
      </c>
      <c r="L10" s="73" ph="1">
        <f>L9*290.8*0.777</f>
        <v>1760.1629639999999</v>
      </c>
      <c r="M10" s="73" ph="1">
        <f>M9*33.183*LOOKUP(M11,密度!$A$2:$A$50,密度!$D$2:$D$50)</f>
        <v>47541.071728800001</v>
      </c>
      <c r="N10" s="73" ph="1">
        <f>N9*33.183*LOOKUP(N11,密度!$A$2:$A$50,密度!$E$2:$E$50)</f>
        <v>119400.2618697</v>
      </c>
      <c r="O10" s="73" ph="1">
        <f>O9*20.428*LOOKUP(O11,密度!$A$2:$A$50,密度!$C$2:$C$50)</f>
        <v>28883.876436800001</v>
      </c>
      <c r="P10" s="73" ph="1">
        <f>P9*51.53*LOOKUP(P11,密度!$A$2:$A$50,密度!$B$2:$B$50)</f>
        <v>123728.64177599999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34014.442492800001</v>
      </c>
      <c r="U10" s="73" ph="1">
        <f>U9*1.5*1.5*3.1416*LOOKUP(U11,密度!$A$2:$A$50,密度!$L$2:$L$50)</f>
        <v>47483.348774399994</v>
      </c>
      <c r="V10" s="73" ph="1">
        <f>V9*1.5*1.5*3.1416*LOOKUP(V11,密度!$A$2:$A$50,密度!$L$2:$L$50)</f>
        <v>34441.04664</v>
      </c>
      <c r="W10" s="73" ph="1">
        <f>W9*1.5*1.5*3.1416*LOOKUP(W11,密度!$A$2:$A$50,密度!$L$2:$L$50)</f>
        <v>46617.007021199992</v>
      </c>
      <c r="X10" s="73" ph="1">
        <f>X9*1.5*1.5*3.1416*LOOKUP(X11,密度!$A$2:$A$50,密度!$L$2:$L$50)</f>
        <v>47529.096753600003</v>
      </c>
      <c r="Y10" s="73" ph="1">
        <f>Y9*1.5*1.5*3.1416*LOOKUP(Y11,密度!$A$2:$A$50,密度!$L$2:$L$50)</f>
        <v>21434.1016428</v>
      </c>
      <c r="Z10" s="73" ph="1">
        <f>Z9*33.183*LOOKUP(Z11,密度!$A$2:$A$50,密度!$L$2:$L$50)</f>
        <v>56972.257712999999</v>
      </c>
      <c r="AA10" s="73" ph="1">
        <f>AA9*33.183*LOOKUP(AA11,密度!$A$2:$A$50,密度!$D$2:$D$50)</f>
        <v>136697.7069666</v>
      </c>
      <c r="AB10" s="73" ph="1">
        <f>AB9*20.428*LOOKUP(AB11,密度!$A$2:$A$50,密度!$D$2:$D$50)</f>
        <v>48927.511360000004</v>
      </c>
      <c r="AC10" s="73" ph="1">
        <f>AC9*51.53*LOOKUP(AC11,密度!$A$2:$A$50,密度!$Q$2:$Q$50)</f>
        <v>396268.21466399997</v>
      </c>
      <c r="AD10" s="73" ph="1">
        <f>AD9*20.428*LOOKUP(AD11,密度!$A$2:$A$50,密度!$V$2:$V$50)</f>
        <v>94130.589760000003</v>
      </c>
      <c r="AE10" s="73" ph="1">
        <f>AE9*20.428</f>
        <v>72723.680000000008</v>
      </c>
    </row>
    <row r="11" spans="1:99" ph="1">
      <c r="A11" s="64" t="s" ph="1">
        <v>162</v>
      </c>
      <c r="B11" s="191" ph="1"/>
      <c r="C11" s="169" t="s" ph="1">
        <v>179</v>
      </c>
      <c r="D11" s="74">
        <v>25</v>
      </c>
      <c r="E11" s="74">
        <v>19</v>
      </c>
      <c r="F11" s="74">
        <v>18</v>
      </c>
      <c r="G11" s="74">
        <v>16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26</v>
      </c>
      <c r="P11" s="74">
        <v>18</v>
      </c>
      <c r="Q11" s="74">
        <v>22</v>
      </c>
      <c r="R11" s="74">
        <v>23</v>
      </c>
      <c r="S11" s="74">
        <v>16</v>
      </c>
      <c r="T11" s="74">
        <v>14</v>
      </c>
      <c r="U11" s="74">
        <v>18</v>
      </c>
      <c r="V11" s="74">
        <v>25</v>
      </c>
      <c r="W11" s="74">
        <v>20</v>
      </c>
      <c r="X11" s="74">
        <v>10</v>
      </c>
      <c r="Y11" s="74">
        <v>20</v>
      </c>
      <c r="Z11" s="74">
        <v>15</v>
      </c>
      <c r="AA11" s="74">
        <v>19</v>
      </c>
      <c r="AB11" s="74">
        <v>10</v>
      </c>
      <c r="AC11" s="74">
        <v>17</v>
      </c>
      <c r="AD11" s="74">
        <v>17</v>
      </c>
      <c r="AE11" s="74">
        <v>19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249" t="s" ph="1">
        <v>649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9" t="s" ph="1">
        <v>177</v>
      </c>
      <c r="D15" s="78">
        <v>5156</v>
      </c>
      <c r="E15" s="78">
        <v>5734</v>
      </c>
      <c r="F15" s="78">
        <v>3119</v>
      </c>
      <c r="G15" s="78">
        <v>2527</v>
      </c>
      <c r="H15" s="78">
        <v>5316</v>
      </c>
      <c r="I15" s="78">
        <v>5214</v>
      </c>
      <c r="J15" s="78">
        <v>0</v>
      </c>
      <c r="K15" s="78">
        <v>4192</v>
      </c>
      <c r="L15" s="78">
        <v>3079</v>
      </c>
      <c r="M15" s="78">
        <v>907</v>
      </c>
      <c r="N15" s="78">
        <v>3056</v>
      </c>
      <c r="O15" s="78">
        <v>3732</v>
      </c>
      <c r="P15" s="78">
        <v>6981</v>
      </c>
      <c r="Q15" s="78">
        <v>7015</v>
      </c>
      <c r="R15" s="78">
        <v>7346</v>
      </c>
      <c r="S15" s="78">
        <v>6401</v>
      </c>
      <c r="T15" s="78">
        <v>3237</v>
      </c>
      <c r="U15" s="78">
        <v>6093</v>
      </c>
      <c r="V15" s="78">
        <v>4992</v>
      </c>
      <c r="W15" s="71">
        <v>-817</v>
      </c>
      <c r="X15" s="78">
        <v>408</v>
      </c>
      <c r="Y15" s="106">
        <v>-9900</v>
      </c>
      <c r="Z15" s="78">
        <v>0</v>
      </c>
      <c r="AA15" s="78">
        <v>10</v>
      </c>
      <c r="AB15" s="78" ph="1">
        <v>6948</v>
      </c>
      <c r="AC15" s="78" ph="1">
        <v>2143</v>
      </c>
      <c r="AD15" s="78">
        <v>5.56</v>
      </c>
      <c r="AE15" s="78">
        <v>32.22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9" t="s" ph="1">
        <v>178</v>
      </c>
      <c r="D16" s="73" ph="1">
        <f>D15*7.0686*LOOKUP(D17,密度!$A$2:$A$50,密度!$L$2:$L$50)</f>
        <v>34368.296608799996</v>
      </c>
      <c r="E16" s="73" ph="1">
        <f>E15*7.0686*LOOKUP(E17,密度!$A$2:$A$50,密度!$L$2:$L$50)</f>
        <v>38221.065313200001</v>
      </c>
      <c r="F16" s="73" ph="1">
        <f>F15*9.0746*LOOKUP(F17,密度!$A$2:$A$50,密度!$L$2:$L$50)</f>
        <v>26690.367788199997</v>
      </c>
      <c r="G16" s="73" ph="1">
        <f>G15*9.0746*LOOKUP(G17,密度!$A$2:$A$50,密度!$B$2:$B$50)</f>
        <v>18017.290706939999</v>
      </c>
      <c r="H16" s="73" ph="1">
        <f>H15*9.0746*LOOKUP(H17,密度!$A$2:$A$50,密度!$L$2:$L$50)</f>
        <v>45876.7854936</v>
      </c>
      <c r="I16" s="73" ph="1">
        <f>I15*9.0746*LOOKUP(I17,密度!$A$2:$A$50,密度!$U$2:$U$50)</f>
        <v>48639.783403200003</v>
      </c>
      <c r="J16" s="73" ph="1">
        <f>J15*9.0746*LOOKUP(J17,密度!$A$2:$A$50,密度!$L$2:$L$50)</f>
        <v>0</v>
      </c>
      <c r="K16" s="73" ph="1">
        <f>K15*9.0746*LOOKUP(K17,密度!$A$2:$A$50,密度!$C$2:$C$50)</f>
        <v>42373.561572479994</v>
      </c>
      <c r="L16" s="73" ph="1">
        <f>L15*9.0746*LOOKUP(L17,密度!$A$2:$A$50,密度!$E$2:$E$50)</f>
        <v>22081.529994019998</v>
      </c>
      <c r="M16" s="73" ph="1">
        <f>M15*9.0746*LOOKUP(M17,密度!$A$2:$A$50,密度!$M$2:$M$50)</f>
        <v>7245.45193466</v>
      </c>
      <c r="N16" s="73" ph="1">
        <f>N15*9.0746*LOOKUP(N17,密度!$A$2:$A$50,密度!$M$2:$M$50)</f>
        <v>24412.45988128</v>
      </c>
      <c r="O16" s="73" ph="1">
        <f>O15*9.0746*LOOKUP(O17,密度!$A$2:$A$50,密度!$G$2:$G$50)</f>
        <v>32711.562714480002</v>
      </c>
      <c r="P16" s="73" ph="1">
        <f ca="1">P15*9.0746*LOOKUP(P17,密度!$A$2:$A$51,密度!$Q$2:$Q$50)</f>
        <v>60260.213702597997</v>
      </c>
      <c r="Q16" s="73" ph="1">
        <f>Q15*9.0746*LOOKUP(Q17,密度!$A$2:$A$50,密度!$Q$2:$Q$50)</f>
        <v>60553.702782370005</v>
      </c>
      <c r="R16" s="73" ph="1">
        <f>MAX(R15*9.0746*LOOKUP(R17,密度!$A$2:$A$50,密度!$B$2:$B$50),0)</f>
        <v>52323.012904839998</v>
      </c>
      <c r="S16" s="73" ph="1">
        <f>S15*9.0746*LOOKUP(S17,密度!$A$2:$A$50,密度!$Q$2:$Q$50)</f>
        <v>55298.942764346</v>
      </c>
      <c r="T16" s="73" ph="1">
        <f>T15*9.0746*LOOKUP(T17,密度!$A$2:$A$50,密度!$O$2:$O$50)</f>
        <v>27435.764506800002</v>
      </c>
      <c r="U16" s="73" ph="1">
        <f>U15*9.0746*LOOKUP(U17,密度!$A$2:$A$50,密度!$H$2:$H$50)</f>
        <v>51128.085003659995</v>
      </c>
      <c r="V16" s="73" ph="1">
        <f>MAX(5600*LOOKUP(V17,密度!$A$2:$A$50,密度!$Q$2:$Q$50)+V15*9.0476*LOOKUP(V17,密度!$A$2:$A$50,密度!$Q$2:$Q$50),0)</f>
        <v>48289.779951615994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9580.3839868799987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71.50784800000001</v>
      </c>
      <c r="AB16" s="73" ph="1">
        <f>AB15*9.0746*LOOKUP(AB17,密度!$A$2:$A$50,密度!$L$2:$L$50)</f>
        <v>59519.502835200001</v>
      </c>
      <c r="AC16" s="73" ph="1">
        <f>AC15*9.0746*LOOKUP(AC17,密度!$A$2:$A$50,密度!$L$2:$L$50)</f>
        <v>18396.736938800001</v>
      </c>
      <c r="AD16" s="73" ph="1">
        <f>AD15*268.68*LOOKUP(AD17,密度!$A$2:$A$50,密度!B2:B50)+IF(AD15&lt;=0,0,1566*LOOKUP(AD17,密度!$A$2:$A$50,密度!B2:B50))</f>
        <v>2385.46747968</v>
      </c>
      <c r="AE16" s="73" ph="1">
        <f>AE15*268.68*LOOKUP(AE17,密度!$A$2:$A$50,密度!B2:B50)+IF(AE15&lt;=0,0,1566*LOOKUP(AE17,密度!$A$2:$A$50,密度!B2:B50))</f>
        <v>7969.74914016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19</v>
      </c>
      <c r="E17" s="74">
        <v>19</v>
      </c>
      <c r="F17" s="74">
        <v>19</v>
      </c>
      <c r="G17" s="74">
        <v>18</v>
      </c>
      <c r="H17" s="74">
        <v>11</v>
      </c>
      <c r="I17" s="74">
        <v>17</v>
      </c>
      <c r="J17" s="74">
        <v>18</v>
      </c>
      <c r="K17" s="74">
        <v>18</v>
      </c>
      <c r="L17" s="74">
        <v>19</v>
      </c>
      <c r="M17" s="74">
        <v>19</v>
      </c>
      <c r="N17" s="74">
        <v>19</v>
      </c>
      <c r="O17" s="74">
        <v>20</v>
      </c>
      <c r="P17" s="74">
        <v>19</v>
      </c>
      <c r="Q17" s="74">
        <v>19</v>
      </c>
      <c r="R17" s="74">
        <v>19</v>
      </c>
      <c r="S17" s="74">
        <v>18</v>
      </c>
      <c r="T17" s="74">
        <v>19</v>
      </c>
      <c r="U17" s="74">
        <v>15</v>
      </c>
      <c r="V17" s="74">
        <v>19</v>
      </c>
      <c r="W17" s="74">
        <v>20</v>
      </c>
      <c r="X17" s="74">
        <v>35</v>
      </c>
      <c r="Y17" s="108">
        <v>35</v>
      </c>
      <c r="Z17" s="74">
        <v>18</v>
      </c>
      <c r="AA17" s="74">
        <v>15</v>
      </c>
      <c r="AB17" s="74">
        <v>18</v>
      </c>
      <c r="AC17" s="74">
        <v>16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5988</v>
      </c>
      <c r="E18" s="71">
        <v>6066</v>
      </c>
      <c r="F18" s="71">
        <v>3201</v>
      </c>
      <c r="G18" s="71">
        <v>2586</v>
      </c>
      <c r="H18" s="71">
        <v>5390</v>
      </c>
      <c r="I18" s="71">
        <v>5217</v>
      </c>
      <c r="J18" s="71">
        <v>0</v>
      </c>
      <c r="K18" s="71">
        <v>4286</v>
      </c>
      <c r="L18" s="71">
        <v>3082</v>
      </c>
      <c r="M18" s="71">
        <v>3431</v>
      </c>
      <c r="N18" s="71">
        <v>527</v>
      </c>
      <c r="O18" s="71">
        <v>3961</v>
      </c>
      <c r="P18" s="71">
        <v>6986</v>
      </c>
      <c r="Q18" s="71">
        <v>7020</v>
      </c>
      <c r="R18" s="71">
        <v>7352</v>
      </c>
      <c r="S18" s="71">
        <v>6405</v>
      </c>
      <c r="T18" s="71">
        <v>2368</v>
      </c>
      <c r="U18" s="71">
        <v>6095</v>
      </c>
      <c r="V18" s="71">
        <v>4992</v>
      </c>
      <c r="W18" s="71">
        <v>-817</v>
      </c>
      <c r="X18" s="71">
        <v>408</v>
      </c>
      <c r="Y18" s="109">
        <v>-9900</v>
      </c>
      <c r="Z18" s="71">
        <v>0</v>
      </c>
      <c r="AA18" s="71">
        <v>11</v>
      </c>
      <c r="AB18" s="71">
        <v>6952</v>
      </c>
      <c r="AC18" s="71">
        <v>2143</v>
      </c>
      <c r="AD18" s="71">
        <v>5.55</v>
      </c>
      <c r="AE18" s="71">
        <v>84.31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9" t="s" ph="1">
        <v>178</v>
      </c>
      <c r="D19" s="73" ph="1">
        <f>D18*7.0686*LOOKUP(D20,密度!$A$2:$A$50,密度!$L$2:$L$50)</f>
        <v>39914.150522399999</v>
      </c>
      <c r="E19" s="73" ph="1">
        <f>E18*7.0686*LOOKUP(E20,密度!$A$2:$A$50,密度!$L$2:$L$50)</f>
        <v>40434.074326800001</v>
      </c>
      <c r="F19" s="73" ph="1">
        <f>F18*9.0746*LOOKUP(F20,密度!$A$2:$A$50,密度!$L$2:$L$50)</f>
        <v>27275.8791294</v>
      </c>
      <c r="G19" s="73" ph="1">
        <f>G18*9.0746*LOOKUP(G20,密度!$A$2:$A$50,密度!$B$2:$B$50)</f>
        <v>18419.18205444</v>
      </c>
      <c r="H19" s="73" ph="1">
        <f>H18*9.0746*LOOKUP(H20,密度!$A$2:$A$50,密度!$L$2:$L$50)</f>
        <v>46319.753018000003</v>
      </c>
      <c r="I19" s="73" ph="1">
        <f>I18*9.0746*LOOKUP(I20,密度!$A$2:$A$50,密度!$U$2:$U$50)</f>
        <v>48667.769469600004</v>
      </c>
      <c r="J19" s="73" ph="1">
        <f>J18*9.0746*LOOKUP(J20,密度!$A$2:$A$50,密度!$L$2:$L$50)</f>
        <v>0</v>
      </c>
      <c r="K19" s="73" ph="1">
        <f>K18*9.0746*LOOKUP(K20,密度!$A$2:$A$50,密度!$C$2:$C$50)</f>
        <v>43273.170228560004</v>
      </c>
      <c r="L19" s="73" ph="1">
        <f>L18*9.0746*LOOKUP(L20,密度!$A$2:$A$50,密度!$E$2:$E$50)</f>
        <v>22103.044963159999</v>
      </c>
      <c r="M19" s="73" ph="1">
        <f>M18*9.0746*LOOKUP(M20,密度!$A$2:$A$50,密度!$M$2:$M$50)</f>
        <v>27370.73683066</v>
      </c>
      <c r="N19" s="73" ph="1">
        <f>N18*9.0746*LOOKUP(N20,密度!$A$2:$A$50,密度!$M$2:$M$50)</f>
        <v>4209.8711902599998</v>
      </c>
      <c r="O19" s="73" ph="1">
        <f>O18*9.0746*LOOKUP(O20,密度!$A$2:$A$50,密度!$G$2:$G$50)</f>
        <v>34682.838979939996</v>
      </c>
      <c r="P19" s="73" ph="1">
        <f ca="1">P18*9.0746*LOOKUP(P20,密度!$A$2:$A$51,密度!$Q$2:$Q$50)</f>
        <v>60303.373861387998</v>
      </c>
      <c r="Q19" s="73" ph="1">
        <f>Q18*9.0746*LOOKUP(Q20,密度!$A$2:$A$50,密度!$Q$2:$Q$50)</f>
        <v>60596.862941160005</v>
      </c>
      <c r="R19" s="73" ph="1">
        <f>MAX(R18*9.0746*LOOKUP(R20,密度!$A$2:$A$50,密度!$B$2:$B$50),0)</f>
        <v>52312.375658719997</v>
      </c>
      <c r="S19" s="73" ph="1">
        <f>S18*9.0746*LOOKUP(S20,密度!$A$2:$A$50,密度!$Q$2:$Q$50)</f>
        <v>55288.163409990004</v>
      </c>
      <c r="T19" s="73" ph="1">
        <f>T18*9.0746*LOOKUP(T20,密度!$A$2:$A$50,密度!$O$2:$O$50)</f>
        <v>19984.447104000003</v>
      </c>
      <c r="U19" s="73" ph="1">
        <f>U18*9.0746*LOOKUP(U20,密度!$A$2:$A$50,密度!$H$2:$H$50)</f>
        <v>51034.248194899999</v>
      </c>
      <c r="V19" s="73" ph="1">
        <f>MAX(5600*LOOKUP(V20,密度!$A$2:$A$50,密度!$Q$2:$Q$50)+V18*9.0476*LOOKUP(V20,密度!$A$2:$A$50,密度!$Q$2:$Q$50),0)</f>
        <v>48246.629175295988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9570.1634240000003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78.269332460000001</v>
      </c>
      <c r="AB19" s="73" ph="1">
        <f>AB18*9.0746*LOOKUP(AB20,密度!$A$2:$A$50,密度!$L$2:$L$50)</f>
        <v>59490.681905599995</v>
      </c>
      <c r="AC19" s="73" ph="1">
        <f>AC18*9.0746*LOOKUP(AC20,密度!$A$2:$A$50,密度!$L$2:$L$50)</f>
        <v>18396.736938800001</v>
      </c>
      <c r="AD19" s="73" ph="1">
        <f>AD18*268.68*LOOKUP(AD20,密度!$A$2:$A$50,密度!B5:B53)+IF(AD18&lt;=0,0,1566*LOOKUP(AD20,密度!$A$2:$A$50,密度!B5:B53))</f>
        <v>2375.4241979999997</v>
      </c>
      <c r="AE19" s="73" ph="1">
        <f>AE18*268.68*LOOKUP(AE20,密度!$A$2:$A$50,密度!B5:B53)+IF(AE18&lt;=0,0,1566*LOOKUP(AE20,密度!$A$2:$A$50,密度!B5:B53))</f>
        <v>18817.705191600002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23</v>
      </c>
      <c r="G20" s="81">
        <v>19</v>
      </c>
      <c r="H20" s="81">
        <v>15</v>
      </c>
      <c r="I20" s="81">
        <v>19</v>
      </c>
      <c r="J20" s="81">
        <v>20</v>
      </c>
      <c r="K20" s="81">
        <v>20</v>
      </c>
      <c r="L20" s="81">
        <v>19</v>
      </c>
      <c r="M20" s="81">
        <v>21</v>
      </c>
      <c r="N20" s="81">
        <v>19</v>
      </c>
      <c r="O20" s="81">
        <v>21</v>
      </c>
      <c r="P20" s="81">
        <v>19</v>
      </c>
      <c r="Q20" s="81">
        <v>19</v>
      </c>
      <c r="R20" s="81">
        <v>20</v>
      </c>
      <c r="S20" s="81">
        <v>19</v>
      </c>
      <c r="T20" s="81">
        <v>21</v>
      </c>
      <c r="U20" s="81">
        <v>17</v>
      </c>
      <c r="V20" s="81">
        <v>20</v>
      </c>
      <c r="W20" s="81">
        <v>20</v>
      </c>
      <c r="X20" s="81">
        <v>36</v>
      </c>
      <c r="Y20" s="110">
        <v>36</v>
      </c>
      <c r="Z20" s="81">
        <v>21</v>
      </c>
      <c r="AA20" s="81">
        <v>20</v>
      </c>
      <c r="AB20" s="81">
        <v>19</v>
      </c>
      <c r="AC20" s="81">
        <v>16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651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9" t="s" ph="1">
        <v>177</v>
      </c>
      <c r="D24" s="71">
        <v>5.44</v>
      </c>
      <c r="E24" s="71">
        <v>4.95</v>
      </c>
      <c r="F24" s="71">
        <v>509</v>
      </c>
      <c r="G24" s="71">
        <v>3602</v>
      </c>
      <c r="H24" s="71">
        <v>3497</v>
      </c>
      <c r="I24" s="71">
        <v>1254</v>
      </c>
      <c r="J24" s="71">
        <v>4928</v>
      </c>
      <c r="K24" s="71">
        <v>4723</v>
      </c>
      <c r="L24" s="71">
        <v>5543</v>
      </c>
      <c r="M24" s="71">
        <v>5073</v>
      </c>
      <c r="N24" s="71">
        <v>2847</v>
      </c>
      <c r="O24" s="71">
        <v>5718</v>
      </c>
      <c r="P24" s="71">
        <v>627</v>
      </c>
      <c r="Q24" s="90">
        <v>617</v>
      </c>
      <c r="R24" s="71">
        <v>2011</v>
      </c>
      <c r="S24" s="71">
        <v>5269</v>
      </c>
      <c r="T24" s="71">
        <v>179</v>
      </c>
      <c r="U24" s="71">
        <v>3334</v>
      </c>
      <c r="V24" s="71">
        <v>5206</v>
      </c>
      <c r="W24" s="71">
        <v>3571</v>
      </c>
      <c r="X24" s="71">
        <v>7620</v>
      </c>
      <c r="Y24" s="71">
        <v>7771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2866.368201408</v>
      </c>
      <c r="E25" s="91" ph="1">
        <f>E24*268.68*LOOKUP(E26,密度!$A$2:$A$50,密度!$C$2:$C$50)+IF(E24&lt;=0,0,1566*LOOKUP(E26,密度!$A$2:$A$50,密度!$C$2:$C$50))</f>
        <v>3211.3366974</v>
      </c>
      <c r="F25" s="91" ph="1">
        <f>F24*11.702*LOOKUP(F26,密度!$A$2:$A$50,密度!$Q$2:$Q$50)</f>
        <v>5679.9448448000003</v>
      </c>
      <c r="G25" s="91" ph="1">
        <f>G24*18.322*LOOKUP(G26,密度!$A$2:$A$50,密度!$B$2:$B$50)</f>
        <v>51800.137955600003</v>
      </c>
      <c r="H25" s="91" ph="1">
        <f>H24*18.322*LOOKUP(H26,密度!$A$2:$A$50,密度!$B$2:$B$50)</f>
        <v>50341.397113799998</v>
      </c>
      <c r="I25" s="91" ph="1">
        <f>I24*18.322*LOOKUP(I26,密度!$A$2:$A$50,密度!$Q$2:$Q$50)</f>
        <v>21873.179933880001</v>
      </c>
      <c r="J25" s="91" ph="1">
        <f>J24*18.322*LOOKUP(J26,密度!$A$2:$A$50,密度!$Q$2:$Q$50)</f>
        <v>86029.089484799988</v>
      </c>
      <c r="K25" s="91" ph="1">
        <f>K24*18.322*LOOKUP(K26,密度!$A$2:$A$50,密度!$Q$2:$Q$50)</f>
        <v>82450.363156799998</v>
      </c>
      <c r="L25" s="91" ph="1">
        <f>L24*18.322*LOOKUP(L26,密度!$A$2:$A$50,密度!$Q$2:$Q$50)</f>
        <v>96765.268468799986</v>
      </c>
      <c r="M25" s="91" ph="1">
        <f>M24*18.322*LOOKUP(M26,密度!$A$2:$A$50,密度!$Q$2:$Q$50)</f>
        <v>88634.741721599989</v>
      </c>
      <c r="N25" s="91" ph="1">
        <f>N24*18.322*LOOKUP(N26,密度!$A$2:$A$50,密度!$Q$2:$Q$50)</f>
        <v>49742.383142399995</v>
      </c>
      <c r="O25" s="91" ph="1">
        <f>O24*18.322*LOOKUP(O26,密度!$A$2:$A$50,密度!$C$2:$C$50)</f>
        <v>116834.14657919999</v>
      </c>
      <c r="P25" s="91" ph="1">
        <f>P24*11.702*LOOKUP(P26,密度!$A$2:$A$50,密度!$B$2:$B$50)</f>
        <v>5769.9379055999998</v>
      </c>
      <c r="Q25" s="92" ph="1">
        <f>Q24*18.322*LOOKUP(Q26,密度!$A$2:$A$50,密度!$B$2:$B$50)</f>
        <v>8889.9956335999996</v>
      </c>
      <c r="R25" s="91" ph="1">
        <f>R24*35.891*LOOKUP(R26,密度!$A$2:$A$50,密度!$C$2:$C$50)</f>
        <v>80441.044714499993</v>
      </c>
      <c r="S25" s="91" ph="1">
        <f>S24*35.891*LOOKUP(S26,密度!$A$2:$A$50,密度!$B$2:$B$50)</f>
        <v>148583.47479029998</v>
      </c>
      <c r="T25" s="91" ph="1">
        <f>T24*35.891*LOOKUP(T26,密度!$A$2:$A$50,密度!$Q$2:$Q$50)</f>
        <v>6121.2531191999997</v>
      </c>
      <c r="U25" s="91" ph="1">
        <f>U24*35.891</f>
        <v>119660.594</v>
      </c>
      <c r="V25" s="91" ph="1">
        <f>V24*47.051*LOOKUP(V26,密度!$A$2:$A$50,密度!$B$2:$B$50)</f>
        <v>192455.25546420002</v>
      </c>
      <c r="W25" s="91" ph="1">
        <f>W24*47.051*LOOKUP(W26,密度!$A$2:$A$50,密度!$B$2:$B$50)</f>
        <v>132130.23675440002</v>
      </c>
      <c r="X25" s="91" ph="1">
        <f>X24*47.051*LOOKUP(X26,密度!$A$2:$A$61,密度!$I$2:$I$61)</f>
        <v>366057.72101999994</v>
      </c>
      <c r="Y25" s="91" ph="1">
        <f>Y24*47.051*LOOKUP(Y26,密度!$A$2:$A$50,密度!$L$2:$L$50)</f>
        <v>343329.68841899995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16</v>
      </c>
      <c r="G26" s="74">
        <v>19</v>
      </c>
      <c r="H26" s="74">
        <v>18</v>
      </c>
      <c r="I26" s="74">
        <v>18</v>
      </c>
      <c r="J26" s="74">
        <v>17</v>
      </c>
      <c r="K26" s="74">
        <v>17</v>
      </c>
      <c r="L26" s="74">
        <v>17</v>
      </c>
      <c r="M26" s="74">
        <v>16</v>
      </c>
      <c r="N26" s="74">
        <v>16</v>
      </c>
      <c r="O26" s="74">
        <v>16</v>
      </c>
      <c r="P26" s="74">
        <v>17</v>
      </c>
      <c r="Q26" s="93">
        <v>17</v>
      </c>
      <c r="R26" s="74">
        <v>17</v>
      </c>
      <c r="S26" s="74">
        <v>18</v>
      </c>
      <c r="T26" s="74">
        <v>17</v>
      </c>
      <c r="U26" s="74">
        <v>18</v>
      </c>
      <c r="V26" s="74">
        <v>18</v>
      </c>
      <c r="W26" s="74">
        <v>17</v>
      </c>
      <c r="X26" s="74">
        <v>44</v>
      </c>
      <c r="Y26" s="74">
        <v>23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9" t="s" ph="1">
        <v>180</v>
      </c>
      <c r="D27" s="71">
        <v>5.44</v>
      </c>
      <c r="E27" s="71">
        <v>4.9400000000000004</v>
      </c>
      <c r="F27" s="71">
        <v>508</v>
      </c>
      <c r="G27" s="71">
        <v>2961</v>
      </c>
      <c r="H27" s="71">
        <v>3003</v>
      </c>
      <c r="I27" s="71">
        <v>1254</v>
      </c>
      <c r="J27" s="71">
        <v>4931</v>
      </c>
      <c r="K27" s="71">
        <v>4724</v>
      </c>
      <c r="L27" s="71">
        <v>5543</v>
      </c>
      <c r="M27" s="71">
        <v>5074</v>
      </c>
      <c r="N27" s="71">
        <v>2846</v>
      </c>
      <c r="O27" s="71">
        <v>5718</v>
      </c>
      <c r="P27" s="71">
        <v>627</v>
      </c>
      <c r="Q27" s="90">
        <v>840</v>
      </c>
      <c r="R27" s="71">
        <v>2011</v>
      </c>
      <c r="S27" s="71">
        <v>5269</v>
      </c>
      <c r="T27" s="71">
        <v>178</v>
      </c>
      <c r="U27" s="71">
        <v>3519</v>
      </c>
      <c r="V27" s="71">
        <v>4042</v>
      </c>
      <c r="W27" s="71">
        <v>5937</v>
      </c>
      <c r="X27" s="71">
        <v>7244</v>
      </c>
      <c r="Y27" s="71">
        <v>6208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9" t="s" ph="1">
        <v>178</v>
      </c>
      <c r="D28" s="91" ph="1">
        <f>D27*268.68*LOOKUP(D29,密度!$A$2:$A$50,密度!$Q$2:$Q$50)+IF(D27&lt;=0,0,1566*LOOKUP(D29,密度!$A$2:$A$50,密度!$Q$2:$Q$50))</f>
        <v>2866.368201408</v>
      </c>
      <c r="E28" s="91" ph="1">
        <f>E27*268.68*LOOKUP(E29,密度!$A$2:$A$50,密度!$C$2:$C$50)+IF(E27&lt;=0,0,1566*LOOKUP(E29,密度!$A$2:$A$50,密度!$C$2:$C$50))</f>
        <v>3208.3573048799999</v>
      </c>
      <c r="F28" s="91" ph="1">
        <f>F27*11.702*LOOKUP(F29,密度!$A$2:$A$50,密度!$Q$2:$Q$50)</f>
        <v>5654.6970776799999</v>
      </c>
      <c r="G28" s="91" ph="1">
        <f>G27*18.322*LOOKUP(G29,密度!$A$2:$A$50,密度!$B$2:$B$50)</f>
        <v>42581.9568258</v>
      </c>
      <c r="H28" s="91" ph="1">
        <f>H27*18.322*LOOKUP(H29,密度!$A$2:$A$50,密度!$B$2:$B$50)</f>
        <v>43185.956213400001</v>
      </c>
      <c r="I28" s="91" ph="1">
        <f>I27*18.322*LOOKUP(I29,密度!$A$2:$A$50,密度!$Q$2:$Q$50)</f>
        <v>21835.729399439999</v>
      </c>
      <c r="J28" s="91" ph="1">
        <f>J27*18.322*LOOKUP(J29,密度!$A$2:$A$50,密度!$Q$2:$Q$50)</f>
        <v>85939.618211859997</v>
      </c>
      <c r="K28" s="91" ph="1">
        <f>K27*18.322*LOOKUP(K29,密度!$A$2:$A$50,密度!$Q$2:$Q$50)</f>
        <v>82331.931947439996</v>
      </c>
      <c r="L28" s="91" ph="1">
        <f>L27*18.322*LOOKUP(L29,密度!$A$2:$A$50,密度!$Q$2:$Q$50)</f>
        <v>96605.82108057999</v>
      </c>
      <c r="M28" s="91" ph="1">
        <f>M27*18.322*LOOKUP(M29,密度!$A$2:$A$50,密度!$Q$2:$Q$50)</f>
        <v>88504.397914279994</v>
      </c>
      <c r="N28" s="91" ph="1">
        <f>N27*18.322*LOOKUP(N29,密度!$A$2:$A$50,密度!$Q$2:$Q$50)</f>
        <v>49601.329026759995</v>
      </c>
      <c r="O28" s="91" ph="1">
        <f>O27*18.322*LOOKUP(O29,密度!$A$2:$A$50,密度!$C$2:$C$50)</f>
        <v>116624.61618719999</v>
      </c>
      <c r="P28" s="91" ph="1">
        <f>P27*11.702*LOOKUP(P29,密度!$A$2:$A$50,密度!$B$2:$B$50)</f>
        <v>5764.8018977999991</v>
      </c>
      <c r="Q28" s="92" ph="1">
        <f>Q27*18.322*LOOKUP(Q29,密度!$A$2:$A$50,密度!$B$2:$B$50)</f>
        <v>12092.300136</v>
      </c>
      <c r="R28" s="91" ph="1">
        <f>R27*35.891*LOOKUP(R29,密度!$A$2:$A$50,密度!$C$2:$C$50)</f>
        <v>80303.908792599992</v>
      </c>
      <c r="S28" s="91" ph="1">
        <f>S27*35.891*LOOKUP(S29,密度!$A$2:$A$50,密度!$B$2:$B$50)</f>
        <v>148280.89930390002</v>
      </c>
      <c r="T28" s="91" ph="1">
        <f>T27*35.891*LOOKUP(T29,密度!$A$2:$A$50,密度!$Q$2:$Q$50)</f>
        <v>6077.0260755400004</v>
      </c>
      <c r="U28" s="91" ph="1">
        <f>U27*35.891</f>
        <v>126300.42899999999</v>
      </c>
      <c r="V28" s="91" ph="1">
        <f>V27*47.051*LOOKUP(V29,密度!$A$2:$A$50,密度!$B$2:$B$50)</f>
        <v>149272.39345580002</v>
      </c>
      <c r="W28" s="91" ph="1">
        <f>W27*47.051*LOOKUP(W29,密度!$A$2:$A$50,密度!$B$2:$B$50)</f>
        <v>219031.89518670001</v>
      </c>
      <c r="X28" s="91" ph="1">
        <f>X27*47.051*LOOKUP(X29,密度!$A$2:$A$61,密度!$I$2:$I$61)</f>
        <v>346086.34063760005</v>
      </c>
      <c r="Y28" s="91" ph="1">
        <f>Y27*47.051*LOOKUP(Y29,密度!$A$2:$A$50,密度!$L$2:$L$50)</f>
        <v>275443.32934399997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9" t="s" ph="1">
        <v>179</v>
      </c>
      <c r="D29" s="74">
        <v>25</v>
      </c>
      <c r="E29" s="74">
        <v>25</v>
      </c>
      <c r="F29" s="74">
        <v>19</v>
      </c>
      <c r="G29" s="74">
        <v>19</v>
      </c>
      <c r="H29" s="74">
        <v>19</v>
      </c>
      <c r="I29" s="74">
        <v>20</v>
      </c>
      <c r="J29" s="74">
        <v>19</v>
      </c>
      <c r="K29" s="74">
        <v>19</v>
      </c>
      <c r="L29" s="74">
        <v>19</v>
      </c>
      <c r="M29" s="74">
        <v>18</v>
      </c>
      <c r="N29" s="74">
        <v>19</v>
      </c>
      <c r="O29" s="74">
        <v>19</v>
      </c>
      <c r="P29" s="74">
        <v>18</v>
      </c>
      <c r="Q29" s="93">
        <v>18</v>
      </c>
      <c r="R29" s="74">
        <v>20</v>
      </c>
      <c r="S29" s="74">
        <v>20</v>
      </c>
      <c r="T29" s="74">
        <v>19</v>
      </c>
      <c r="U29" s="74">
        <v>19</v>
      </c>
      <c r="V29" s="74">
        <v>19</v>
      </c>
      <c r="W29" s="74">
        <v>20</v>
      </c>
      <c r="X29" s="74">
        <v>49</v>
      </c>
      <c r="Y29" s="74">
        <v>19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9" t="s" ph="1">
        <v>5</v>
      </c>
      <c r="F32" s="168" t="s" ph="1">
        <v>43</v>
      </c>
      <c r="G32" s="97" t="s" ph="1">
        <v>4</v>
      </c>
      <c r="H32" s="169" t="s" ph="1">
        <v>5</v>
      </c>
      <c r="I32" s="168" t="s" ph="1">
        <v>43</v>
      </c>
      <c r="J32" s="97" t="s" ph="1">
        <v>4</v>
      </c>
      <c r="K32" s="169" t="s" ph="1">
        <v>5</v>
      </c>
      <c r="L32" s="168" t="s" ph="1">
        <v>43</v>
      </c>
      <c r="M32" s="97" t="s" ph="1">
        <v>4</v>
      </c>
      <c r="N32" s="169" t="s" ph="1">
        <v>5</v>
      </c>
      <c r="O32" s="16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9" t="s" ph="1">
        <v>5</v>
      </c>
      <c r="U32" s="99" t="s" ph="1">
        <v>43</v>
      </c>
      <c r="V32" s="97" t="s" ph="1">
        <v>4</v>
      </c>
      <c r="W32" s="169" t="s" ph="1">
        <v>5</v>
      </c>
      <c r="X32" s="99" t="s" ph="1">
        <v>43</v>
      </c>
      <c r="Y32" s="100" t="s" ph="1">
        <v>4</v>
      </c>
      <c r="Z32" s="169" t="s" ph="1">
        <v>5</v>
      </c>
      <c r="AA32" s="168" t="s" ph="1">
        <v>43</v>
      </c>
      <c r="AB32" s="97" t="s" ph="1">
        <v>85</v>
      </c>
      <c r="AC32" s="169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185625.21832660001</v>
      </c>
      <c r="E33" s="213" ph="1">
        <f>M10+I10</f>
        <v>47564.956877600001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7" ph="1">
        <f>N19</f>
        <v>4209.8711902599998</v>
      </c>
      <c r="H33" s="213" ph="1">
        <f>M19</f>
        <v>27370.73683066</v>
      </c>
      <c r="I33" s="226" ph="1">
        <v>0</v>
      </c>
      <c r="J33" s="224" ph="1">
        <f>F10+O28</f>
        <v>290903.00973269995</v>
      </c>
      <c r="K33" s="213" ph="1">
        <f>O10+K10+E28+R28</f>
        <v>115463.34041268</v>
      </c>
      <c r="L33" s="228" ph="1">
        <f>K19</f>
        <v>43273.170228560004</v>
      </c>
      <c r="M33" s="224" ph="1">
        <f>G10+H10+W28+S28+V28+E10+R19+P28+Q28</f>
        <v>810264.59779892012</v>
      </c>
      <c r="N33" s="213" ph="1">
        <f>L10+P10++G28+H28+AD19+AE19</f>
        <v>232449.84716879998</v>
      </c>
      <c r="O33" s="226" ph="1">
        <f>G19</f>
        <v>18419.18205444</v>
      </c>
      <c r="P33" s="224" ph="1">
        <f>L19</f>
        <v>22103.044963159999</v>
      </c>
      <c r="Q33" s="213" ph="1">
        <f>J10+N10</f>
        <v>120917.2526393</v>
      </c>
      <c r="R33" s="226" ph="1">
        <f>BE23</f>
        <v>890</v>
      </c>
      <c r="S33" s="224" ph="1">
        <f>X28</f>
        <v>346086.34063760005</v>
      </c>
      <c r="T33" s="213" ph="1">
        <f>X19</f>
        <v>9570.1634240000003</v>
      </c>
      <c r="U33" s="234" ph="1">
        <f>BE21</f>
        <v>730</v>
      </c>
      <c r="V33" s="245" ph="1">
        <f ca="1">P19+Q19+S19+M28+N28+J28+D10+AC10+D19+E19+H19+J19+O19+V19+W19+K28+L28</f>
        <v>1340230.5857746936</v>
      </c>
      <c r="W33" s="245" ph="1">
        <f>D28+F28+T28+I28</f>
        <v>36433.820754068001</v>
      </c>
      <c r="X33" s="226" ph="1">
        <f>BE29+BE31</f>
        <v>10200</v>
      </c>
      <c r="Y33" s="247" ph="1">
        <f>+Q10+R10+S10+T10+U10+V10+W10+X10+Y10</f>
        <v>231519.04332479998</v>
      </c>
      <c r="Z33" s="232" ph="1">
        <f>T19+U19+Y28+Z10</f>
        <v>403434.28235589998</v>
      </c>
      <c r="AA33" s="234" ph="1">
        <f>BE19</f>
        <v>1440</v>
      </c>
      <c r="AB33" s="236" ph="1">
        <f>I19</f>
        <v>48667.769469600004</v>
      </c>
      <c r="AC33" s="238" ph="1">
        <f>AD10+AB19</f>
        <v>153621.27166560001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7" t="s" ph="1">
        <v>185</v>
      </c>
      <c r="AA36" s="167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342</v>
      </c>
      <c r="AI37" s="167" t="s" ph="1">
        <v>209</v>
      </c>
      <c r="AJ37" s="167" t="s" ph="1">
        <v>210</v>
      </c>
      <c r="AK37" s="167" t="s" ph="1">
        <v>211</v>
      </c>
      <c r="AM37" s="167" t="s" ph="1">
        <v>210</v>
      </c>
      <c r="AN37" s="167" t="s" ph="1">
        <v>211</v>
      </c>
      <c r="AO37" s="167" t="s" ph="1">
        <v>212</v>
      </c>
      <c r="AP37" s="167" t="s" ph="1">
        <v>210</v>
      </c>
      <c r="AQ37" s="167" t="s" ph="1">
        <v>211</v>
      </c>
      <c r="AR37" s="167" t="s" ph="1">
        <v>212</v>
      </c>
      <c r="AS37" s="167" t="s" ph="1">
        <v>210</v>
      </c>
      <c r="AT37" s="167" t="s" ph="1">
        <v>211</v>
      </c>
      <c r="AU37" s="167" t="s" ph="1">
        <v>212</v>
      </c>
      <c r="AV37" s="167" t="s" ph="1">
        <v>210</v>
      </c>
      <c r="AW37" s="167" t="s" ph="1">
        <v>211</v>
      </c>
      <c r="AX37" s="167" t="s" ph="1">
        <v>212</v>
      </c>
      <c r="AY37" s="167" t="s" ph="1">
        <v>211</v>
      </c>
      <c r="AZ37" s="167" t="s" ph="1">
        <v>213</v>
      </c>
      <c r="BD37" s="167" t="s" ph="1">
        <v>305</v>
      </c>
      <c r="BE37" s="16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19" priority="100">
      <formula>ABS(D$7-D$10)&gt;=1000</formula>
    </cfRule>
  </conditionalFormatting>
  <conditionalFormatting sqref="E4 E6:E11">
    <cfRule type="expression" dxfId="518" priority="99">
      <formula>ABS(E$7-E$10)&gt;=1000</formula>
    </cfRule>
  </conditionalFormatting>
  <conditionalFormatting sqref="F4:F11">
    <cfRule type="expression" dxfId="517" priority="98">
      <formula>ABS(F$7-F$10)&gt;=1000</formula>
    </cfRule>
  </conditionalFormatting>
  <conditionalFormatting sqref="G4:G11">
    <cfRule type="expression" dxfId="516" priority="97">
      <formula>ABS(G$7-G$10)&gt;=1000</formula>
    </cfRule>
  </conditionalFormatting>
  <conditionalFormatting sqref="H4:H11">
    <cfRule type="expression" dxfId="515" priority="96">
      <formula>ABS(H$7-H$10)&gt;=1000</formula>
    </cfRule>
  </conditionalFormatting>
  <conditionalFormatting sqref="I4:I11">
    <cfRule type="expression" dxfId="514" priority="95">
      <formula>ABS(I$7-I$10)&gt;=1000</formula>
    </cfRule>
  </conditionalFormatting>
  <conditionalFormatting sqref="J4:J11">
    <cfRule type="expression" dxfId="513" priority="94">
      <formula>ABS(J$7-J$10)&gt;=1000</formula>
    </cfRule>
  </conditionalFormatting>
  <conditionalFormatting sqref="K4:K11">
    <cfRule type="expression" dxfId="512" priority="93">
      <formula>ABS(K$7-K$10)&gt;=1000</formula>
    </cfRule>
  </conditionalFormatting>
  <conditionalFormatting sqref="L4:L11">
    <cfRule type="expression" dxfId="511" priority="92">
      <formula>ABS(L$7-L$10)&gt;=1000</formula>
    </cfRule>
  </conditionalFormatting>
  <conditionalFormatting sqref="M4 M6:M11">
    <cfRule type="expression" dxfId="510" priority="91">
      <formula>ABS(M$7-M$10)&gt;=1000</formula>
    </cfRule>
  </conditionalFormatting>
  <conditionalFormatting sqref="N4 N6:N11">
    <cfRule type="expression" dxfId="509" priority="90">
      <formula>ABS(N$7-N$10)&gt;=1000</formula>
    </cfRule>
  </conditionalFormatting>
  <conditionalFormatting sqref="O4 O6:O11">
    <cfRule type="expression" dxfId="508" priority="89">
      <formula>ABS(O$7-O$10)&gt;=1000</formula>
    </cfRule>
  </conditionalFormatting>
  <conditionalFormatting sqref="P4 P6:P11">
    <cfRule type="expression" dxfId="507" priority="88">
      <formula>ABS(P$7-P$10)&gt;=1000</formula>
    </cfRule>
  </conditionalFormatting>
  <conditionalFormatting sqref="Q4:Q11">
    <cfRule type="expression" dxfId="506" priority="87">
      <formula>ABS(Q$7-Q$10)&gt;=1000</formula>
    </cfRule>
  </conditionalFormatting>
  <conditionalFormatting sqref="R4:R11">
    <cfRule type="expression" dxfId="505" priority="86">
      <formula>ABS(R$7-R$10)&gt;=1000</formula>
    </cfRule>
  </conditionalFormatting>
  <conditionalFormatting sqref="S4:S11">
    <cfRule type="expression" dxfId="504" priority="85">
      <formula>ABS(S$7-S$10)&gt;=1000</formula>
    </cfRule>
  </conditionalFormatting>
  <conditionalFormatting sqref="T4:T9 T11">
    <cfRule type="expression" dxfId="503" priority="84">
      <formula>ABS(T$7-T$10)&gt;=1000</formula>
    </cfRule>
  </conditionalFormatting>
  <conditionalFormatting sqref="U4:U9 U11">
    <cfRule type="expression" dxfId="502" priority="83">
      <formula>ABS(U$7-U$10)&gt;=1000</formula>
    </cfRule>
  </conditionalFormatting>
  <conditionalFormatting sqref="V4:V9 V11">
    <cfRule type="expression" dxfId="501" priority="82">
      <formula>ABS(V$7-V$10)&gt;=1000</formula>
    </cfRule>
  </conditionalFormatting>
  <conditionalFormatting sqref="W4:W9 W11">
    <cfRule type="expression" dxfId="500" priority="81">
      <formula>ABS(W$7-W$10)&gt;=1000</formula>
    </cfRule>
  </conditionalFormatting>
  <conditionalFormatting sqref="X4:X9 X11">
    <cfRule type="expression" dxfId="499" priority="80">
      <formula>ABS(X$7-X$10)&gt;=1000</formula>
    </cfRule>
  </conditionalFormatting>
  <conditionalFormatting sqref="Y4:Y9 Y11">
    <cfRule type="expression" dxfId="498" priority="79">
      <formula>ABS(Y$7-Y$10)&gt;=1000</formula>
    </cfRule>
  </conditionalFormatting>
  <conditionalFormatting sqref="Z4:Z11">
    <cfRule type="expression" dxfId="497" priority="78">
      <formula>ABS(Z$7-Z$10)&gt;=1000</formula>
    </cfRule>
  </conditionalFormatting>
  <conditionalFormatting sqref="AA4:AA11">
    <cfRule type="expression" dxfId="496" priority="77">
      <formula>ABS(AA$7-AA$10)&gt;=1000</formula>
    </cfRule>
  </conditionalFormatting>
  <conditionalFormatting sqref="AB4:AB11">
    <cfRule type="expression" dxfId="495" priority="76">
      <formula>ABS(AB$7-AB$10)&gt;=1000</formula>
    </cfRule>
  </conditionalFormatting>
  <conditionalFormatting sqref="AC4 AC6:AC11">
    <cfRule type="expression" dxfId="494" priority="75">
      <formula>ABS(AC$7-AC$10)&gt;=1000</formula>
    </cfRule>
  </conditionalFormatting>
  <conditionalFormatting sqref="AD4 AD6:AD11">
    <cfRule type="expression" dxfId="493" priority="74">
      <formula>ABS(AD$7-AD$10)&gt;=1000</formula>
    </cfRule>
  </conditionalFormatting>
  <conditionalFormatting sqref="AE4 AE6:AE11">
    <cfRule type="expression" dxfId="492" priority="73">
      <formula>ABS(AE$7-AE$10)&gt;=1000</formula>
    </cfRule>
  </conditionalFormatting>
  <conditionalFormatting sqref="D13:D20">
    <cfRule type="expression" dxfId="491" priority="72">
      <formula>ABS(D$16-D$19)&gt;=1000</formula>
    </cfRule>
  </conditionalFormatting>
  <conditionalFormatting sqref="E13:E20">
    <cfRule type="expression" dxfId="490" priority="71">
      <formula>ABS(E$16-E$19)&gt;=1000</formula>
    </cfRule>
  </conditionalFormatting>
  <conditionalFormatting sqref="F13 F15:F20">
    <cfRule type="expression" dxfId="489" priority="70">
      <formula>ABS(F$16-F$19)&gt;=1000</formula>
    </cfRule>
  </conditionalFormatting>
  <conditionalFormatting sqref="G13:G20">
    <cfRule type="expression" dxfId="488" priority="69">
      <formula>ABS(G$16-G$19)&gt;=1000</formula>
    </cfRule>
  </conditionalFormatting>
  <conditionalFormatting sqref="H13 H15:H20">
    <cfRule type="expression" dxfId="487" priority="68">
      <formula>ABS(H$16-H$19)&gt;=1000</formula>
    </cfRule>
  </conditionalFormatting>
  <conditionalFormatting sqref="I13:I20">
    <cfRule type="expression" dxfId="486" priority="67">
      <formula>ABS(I$16-I$19)&gt;=1000</formula>
    </cfRule>
  </conditionalFormatting>
  <conditionalFormatting sqref="J13:J20">
    <cfRule type="expression" dxfId="485" priority="66">
      <formula>ABS(J$16-J$19)&gt;=1000</formula>
    </cfRule>
  </conditionalFormatting>
  <conditionalFormatting sqref="L13:L20">
    <cfRule type="expression" dxfId="484" priority="65">
      <formula>ABS(L$16-L$19)&gt;=1000</formula>
    </cfRule>
  </conditionalFormatting>
  <conditionalFormatting sqref="M13 M15 M17:M18 M20">
    <cfRule type="expression" dxfId="483" priority="64">
      <formula>ABS(M$16-M$19)&gt;=1000</formula>
    </cfRule>
  </conditionalFormatting>
  <conditionalFormatting sqref="N13:N20">
    <cfRule type="expression" dxfId="482" priority="63">
      <formula>ABS(N$16-N$19)&gt;=1000</formula>
    </cfRule>
  </conditionalFormatting>
  <conditionalFormatting sqref="O13:O20">
    <cfRule type="expression" dxfId="481" priority="62">
      <formula>ABS(O$16-O$19)&gt;=1000</formula>
    </cfRule>
  </conditionalFormatting>
  <conditionalFormatting sqref="P13:P20">
    <cfRule type="expression" dxfId="480" priority="61">
      <formula>ABS(P$16-P$19)&gt;=1000</formula>
    </cfRule>
  </conditionalFormatting>
  <conditionalFormatting sqref="Q13 Q15:Q20">
    <cfRule type="expression" dxfId="479" priority="60">
      <formula>ABS(Q$16-Q$19)&gt;=1000</formula>
    </cfRule>
  </conditionalFormatting>
  <conditionalFormatting sqref="R13:R20">
    <cfRule type="expression" dxfId="478" priority="59">
      <formula>ABS(R$16-R$19)&gt;=1000</formula>
    </cfRule>
  </conditionalFormatting>
  <conditionalFormatting sqref="S13:S20">
    <cfRule type="expression" dxfId="477" priority="58">
      <formula>ABS(S$16-S$19)&gt;=1000</formula>
    </cfRule>
  </conditionalFormatting>
  <conditionalFormatting sqref="T13:T20">
    <cfRule type="expression" dxfId="476" priority="57">
      <formula>ABS(T$16-T$19)&gt;=1000</formula>
    </cfRule>
  </conditionalFormatting>
  <conditionalFormatting sqref="U13:U20">
    <cfRule type="expression" dxfId="475" priority="56">
      <formula>ABS(U$16-U$19)&gt;=1000</formula>
    </cfRule>
  </conditionalFormatting>
  <conditionalFormatting sqref="V13:V20">
    <cfRule type="expression" dxfId="474" priority="55">
      <formula>ABS(V$16-V$19)&gt;=1000</formula>
    </cfRule>
  </conditionalFormatting>
  <conditionalFormatting sqref="W13 W20 W15:W18">
    <cfRule type="expression" dxfId="473" priority="54">
      <formula>ABS(W$16-W$19)&gt;=1000</formula>
    </cfRule>
  </conditionalFormatting>
  <conditionalFormatting sqref="X13 X15:X20 Y19">
    <cfRule type="expression" dxfId="472" priority="53">
      <formula>ABS(X$16-X$19)&gt;=1000</formula>
    </cfRule>
  </conditionalFormatting>
  <conditionalFormatting sqref="Y13 Y15:Y18 Y20">
    <cfRule type="expression" dxfId="471" priority="52">
      <formula>ABS(Y$16-Y$19)&gt;=1000</formula>
    </cfRule>
  </conditionalFormatting>
  <conditionalFormatting sqref="Z13:Z20">
    <cfRule type="expression" dxfId="470" priority="51">
      <formula>ABS(Z$16-Z$19)&gt;=1000</formula>
    </cfRule>
  </conditionalFormatting>
  <conditionalFormatting sqref="AA13:AA20">
    <cfRule type="expression" dxfId="469" priority="50">
      <formula>ABS(AA$16-AA$19)&gt;=1000</formula>
    </cfRule>
  </conditionalFormatting>
  <conditionalFormatting sqref="AB13 AB15:AB20">
    <cfRule type="expression" dxfId="468" priority="49">
      <formula>ABS(AB$16-AB$19)&gt;=1000</formula>
    </cfRule>
  </conditionalFormatting>
  <conditionalFormatting sqref="AC13 AC15:AC20">
    <cfRule type="expression" dxfId="467" priority="48">
      <formula>ABS(AC$16-AC$19)&gt;=1000</formula>
    </cfRule>
  </conditionalFormatting>
  <conditionalFormatting sqref="AD13:AD20">
    <cfRule type="expression" dxfId="466" priority="47">
      <formula>ABS(AD$16-AD$19)&gt;=1000</formula>
    </cfRule>
  </conditionalFormatting>
  <conditionalFormatting sqref="AE13:AE20">
    <cfRule type="expression" dxfId="465" priority="46">
      <formula>ABS(AE$16-AE$19)&gt;=1000</formula>
    </cfRule>
  </conditionalFormatting>
  <conditionalFormatting sqref="D22:D29">
    <cfRule type="expression" dxfId="464" priority="45">
      <formula>ABS(D$25-D$28)&gt;=1000</formula>
    </cfRule>
  </conditionalFormatting>
  <conditionalFormatting sqref="E22:E29">
    <cfRule type="expression" dxfId="463" priority="44">
      <formula>ABS(E$25-E$28)&gt;=1000</formula>
    </cfRule>
  </conditionalFormatting>
  <conditionalFormatting sqref="F22:F29">
    <cfRule type="expression" dxfId="462" priority="43">
      <formula>ABS(F$25-F$28)&gt;=1000</formula>
    </cfRule>
  </conditionalFormatting>
  <conditionalFormatting sqref="G22:G29">
    <cfRule type="expression" dxfId="461" priority="42">
      <formula>ABS(G$25-G$28)&gt;=1000</formula>
    </cfRule>
  </conditionalFormatting>
  <conditionalFormatting sqref="H22:H29">
    <cfRule type="expression" dxfId="460" priority="41">
      <formula>ABS(H$25-H$28)&gt;=1000</formula>
    </cfRule>
  </conditionalFormatting>
  <conditionalFormatting sqref="I22 I24:I29">
    <cfRule type="expression" dxfId="459" priority="40">
      <formula>ABS(I$25-I$28)&gt;=1000</formula>
    </cfRule>
  </conditionalFormatting>
  <conditionalFormatting sqref="J22:J29 K22">
    <cfRule type="expression" dxfId="458" priority="39">
      <formula>ABS(J$25-J$28)&gt;=1000</formula>
    </cfRule>
  </conditionalFormatting>
  <conditionalFormatting sqref="K23:K29 L25 L28">
    <cfRule type="expression" dxfId="457" priority="38">
      <formula>ABS(K$25-K$28)&gt;=1000</formula>
    </cfRule>
  </conditionalFormatting>
  <conditionalFormatting sqref="L22 L26:L27 L29 L24">
    <cfRule type="expression" dxfId="456" priority="37">
      <formula>ABS(L$25-L$28)&gt;=1000</formula>
    </cfRule>
  </conditionalFormatting>
  <conditionalFormatting sqref="M22:M29">
    <cfRule type="expression" dxfId="455" priority="36">
      <formula>ABS(M$25-M$28)&gt;=1000</formula>
    </cfRule>
  </conditionalFormatting>
  <conditionalFormatting sqref="N22:N29">
    <cfRule type="expression" dxfId="454" priority="35">
      <formula>ABS(N$25-N$28)&gt;=1000</formula>
    </cfRule>
  </conditionalFormatting>
  <conditionalFormatting sqref="O22:O29">
    <cfRule type="expression" dxfId="453" priority="34">
      <formula>ABS(O$25-O$28)&gt;=1000</formula>
    </cfRule>
  </conditionalFormatting>
  <conditionalFormatting sqref="P22:P29">
    <cfRule type="expression" dxfId="452" priority="33">
      <formula>ABS(P$25-P$28)&gt;=1000</formula>
    </cfRule>
  </conditionalFormatting>
  <conditionalFormatting sqref="Q22:Q29">
    <cfRule type="expression" dxfId="451" priority="32">
      <formula>ABS(Q$25-Q$28)&gt;=1000</formula>
    </cfRule>
  </conditionalFormatting>
  <conditionalFormatting sqref="R22:R29">
    <cfRule type="expression" dxfId="450" priority="31">
      <formula>ABS(R$25-R$28)&gt;=1000</formula>
    </cfRule>
  </conditionalFormatting>
  <conditionalFormatting sqref="S22:S29">
    <cfRule type="expression" dxfId="449" priority="30">
      <formula>ABS(S$25-S$28)&gt;=1000</formula>
    </cfRule>
  </conditionalFormatting>
  <conditionalFormatting sqref="T22:T29">
    <cfRule type="expression" dxfId="448" priority="29">
      <formula>ABS(T$25-T$28)&gt;=1000</formula>
    </cfRule>
  </conditionalFormatting>
  <conditionalFormatting sqref="U22:U29">
    <cfRule type="expression" dxfId="447" priority="28">
      <formula>ABS(U$25-U$28)&gt;=1000</formula>
    </cfRule>
  </conditionalFormatting>
  <conditionalFormatting sqref="V22:V29">
    <cfRule type="expression" dxfId="446" priority="27">
      <formula>ABS(V$25-V$28)&gt;=1000</formula>
    </cfRule>
  </conditionalFormatting>
  <conditionalFormatting sqref="W22:W29">
    <cfRule type="expression" dxfId="445" priority="26">
      <formula>ABS(W$25-W$28)&gt;=1000</formula>
    </cfRule>
  </conditionalFormatting>
  <conditionalFormatting sqref="X22:X29">
    <cfRule type="expression" dxfId="444" priority="25">
      <formula>ABS(X$25-X$28)&gt;=1000</formula>
    </cfRule>
  </conditionalFormatting>
  <conditionalFormatting sqref="Y22:Y29">
    <cfRule type="expression" dxfId="443" priority="24">
      <formula>ABS(Y$25-Y$28)&gt;=1000</formula>
    </cfRule>
  </conditionalFormatting>
  <conditionalFormatting sqref="I23">
    <cfRule type="expression" dxfId="442" priority="23">
      <formula>ABS(I$25-I$28)&gt;=1000</formula>
    </cfRule>
  </conditionalFormatting>
  <conditionalFormatting sqref="Q14">
    <cfRule type="expression" dxfId="441" priority="22">
      <formula>ABS(Q$16-Q$19)&gt;=1000</formula>
    </cfRule>
  </conditionalFormatting>
  <conditionalFormatting sqref="W14">
    <cfRule type="expression" dxfId="440" priority="21">
      <formula>ABS(W$16-W$19)&gt;=1000</formula>
    </cfRule>
  </conditionalFormatting>
  <conditionalFormatting sqref="X14">
    <cfRule type="expression" dxfId="439" priority="20">
      <formula>ABS(X$16-X$19)&gt;=1000</formula>
    </cfRule>
  </conditionalFormatting>
  <conditionalFormatting sqref="T10:Y10">
    <cfRule type="expression" dxfId="438" priority="19">
      <formula>ABS(T$7-T$10)&gt;=1000</formula>
    </cfRule>
  </conditionalFormatting>
  <conditionalFormatting sqref="W19">
    <cfRule type="expression" dxfId="437" priority="18">
      <formula>ABS(W$16-W$19)&gt;=1000</formula>
    </cfRule>
  </conditionalFormatting>
  <conditionalFormatting sqref="AC5">
    <cfRule type="expression" dxfId="436" priority="17">
      <formula>ABS(AC$7-AC$10)&gt;=1000</formula>
    </cfRule>
  </conditionalFormatting>
  <conditionalFormatting sqref="M14">
    <cfRule type="expression" dxfId="435" priority="16">
      <formula>ABS(M$16-M$19)&gt;=1000</formula>
    </cfRule>
  </conditionalFormatting>
  <conditionalFormatting sqref="M16">
    <cfRule type="expression" dxfId="434" priority="15">
      <formula>ABS(M$16-M$19)&gt;=1000</formula>
    </cfRule>
  </conditionalFormatting>
  <conditionalFormatting sqref="M19">
    <cfRule type="expression" dxfId="433" priority="14">
      <formula>ABS(M$16-M$19)&gt;=1000</formula>
    </cfRule>
  </conditionalFormatting>
  <conditionalFormatting sqref="K13:K20">
    <cfRule type="expression" dxfId="432" priority="13">
      <formula>ABS(K$16-K$19)&gt;=1000</formula>
    </cfRule>
  </conditionalFormatting>
  <conditionalFormatting sqref="E5">
    <cfRule type="expression" dxfId="431" priority="12">
      <formula>ABS(E$7-E$10)&gt;=1000</formula>
    </cfRule>
  </conditionalFormatting>
  <conditionalFormatting sqref="AB14:AC14">
    <cfRule type="expression" dxfId="430" priority="11">
      <formula>ABS(AB$16-AB$19)&gt;=1000</formula>
    </cfRule>
  </conditionalFormatting>
  <conditionalFormatting sqref="M5">
    <cfRule type="expression" dxfId="429" priority="10">
      <formula>ABS(M$7-M$10)&gt;=1000</formula>
    </cfRule>
  </conditionalFormatting>
  <conditionalFormatting sqref="N5">
    <cfRule type="expression" dxfId="428" priority="9">
      <formula>ABS(N$7-N$10)&gt;=1000</formula>
    </cfRule>
  </conditionalFormatting>
  <conditionalFormatting sqref="O5">
    <cfRule type="expression" dxfId="427" priority="8">
      <formula>ABS(O$7-O$10)&gt;=1000</formula>
    </cfRule>
  </conditionalFormatting>
  <conditionalFormatting sqref="P5">
    <cfRule type="expression" dxfId="426" priority="7">
      <formula>ABS(P$7-P$10)&gt;=1000</formula>
    </cfRule>
  </conditionalFormatting>
  <conditionalFormatting sqref="L23">
    <cfRule type="expression" dxfId="425" priority="6">
      <formula>ABS(L$25-L$28)&gt;=1000</formula>
    </cfRule>
  </conditionalFormatting>
  <conditionalFormatting sqref="Y14">
    <cfRule type="expression" dxfId="424" priority="5">
      <formula>ABS(Y$16-Y$19)&gt;=1000</formula>
    </cfRule>
  </conditionalFormatting>
  <conditionalFormatting sqref="F14">
    <cfRule type="expression" dxfId="423" priority="4">
      <formula>ABS(F$16-F$19)&gt;=1000</formula>
    </cfRule>
  </conditionalFormatting>
  <conditionalFormatting sqref="H14">
    <cfRule type="expression" dxfId="422" priority="3">
      <formula>ABS(H$16-H$19)&gt;=1000</formula>
    </cfRule>
  </conditionalFormatting>
  <conditionalFormatting sqref="AD5">
    <cfRule type="expression" dxfId="421" priority="2">
      <formula>ABS(AD$7-AD$10)&gt;=1000</formula>
    </cfRule>
  </conditionalFormatting>
  <conditionalFormatting sqref="AE5">
    <cfRule type="expression" dxfId="42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432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6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46050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9" t="s" ph="1">
        <v>177</v>
      </c>
      <c r="D6" s="71">
        <v>5587</v>
      </c>
      <c r="E6" s="71">
        <v>0</v>
      </c>
      <c r="F6" s="71">
        <v>4464</v>
      </c>
      <c r="G6" s="71">
        <v>2678</v>
      </c>
      <c r="H6" s="71">
        <v>3101</v>
      </c>
      <c r="I6" s="71">
        <v>0.09</v>
      </c>
      <c r="J6" s="71">
        <v>6.61</v>
      </c>
      <c r="K6" s="71">
        <v>28.18</v>
      </c>
      <c r="L6" s="71">
        <v>7.82</v>
      </c>
      <c r="M6" s="71">
        <v>1387</v>
      </c>
      <c r="N6" s="71">
        <v>4328</v>
      </c>
      <c r="O6" s="71">
        <v>1275</v>
      </c>
      <c r="P6" s="71">
        <v>2921</v>
      </c>
      <c r="Q6" s="71">
        <v>239</v>
      </c>
      <c r="R6" s="71">
        <v>0</v>
      </c>
      <c r="S6" s="71">
        <v>0</v>
      </c>
      <c r="T6" s="71">
        <v>0</v>
      </c>
      <c r="U6" s="71">
        <v>7099</v>
      </c>
      <c r="V6" s="71">
        <v>5193</v>
      </c>
      <c r="W6" s="71">
        <v>6990</v>
      </c>
      <c r="X6" s="71">
        <v>7051</v>
      </c>
      <c r="Y6" s="71">
        <v>4647</v>
      </c>
      <c r="Z6" s="71">
        <v>2806</v>
      </c>
      <c r="AA6" s="71">
        <v>3992</v>
      </c>
      <c r="AB6" s="71">
        <v>2303</v>
      </c>
      <c r="AC6" s="71">
        <v>7526</v>
      </c>
      <c r="AD6" s="71">
        <v>4780</v>
      </c>
      <c r="AE6" s="71">
        <v>3560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175387.73806863002</v>
      </c>
      <c r="E7" s="73" ph="1">
        <f>E6*51.53*LOOKUP(E8,密度!$A$2:$A$50,密度!$B$2:$B$50)</f>
        <v>0</v>
      </c>
      <c r="F7" s="73" ph="1">
        <f>F6*33.183*LOOKUP(F8,密度!$A$2:$A$50,密度!$C$2:$C$50)</f>
        <v>165193.3626624</v>
      </c>
      <c r="G7" s="73" ph="1">
        <f xml:space="preserve"> (G6+2)*51.53*LOOKUP(G8,密度!$A$2:$A$50,密度!$B$2:$B$50)</f>
        <v>108823.1152</v>
      </c>
      <c r="H7" s="73" ph="1">
        <f>(H6)*51.53*LOOKUP(H8,密度!$A$2:$A$50,密度!$B$2:$B$50)</f>
        <v>126189.740341</v>
      </c>
      <c r="I7" s="73" ph="1">
        <f>I6*290.8*1.0267</f>
        <v>26.870792399999999</v>
      </c>
      <c r="J7" s="73" ph="1">
        <f>J6*290.8*0.7892</f>
        <v>1516.9907696</v>
      </c>
      <c r="K7" s="73" ph="1">
        <f>K6*290.8*1.1126</f>
        <v>9117.4721744000017</v>
      </c>
      <c r="L7" s="73" ph="1">
        <f>L6*290.8*0.777</f>
        <v>1766.9415120000001</v>
      </c>
      <c r="M7" s="73" ph="1">
        <f>M6*33.183*LOOKUP(M8,密度!$A$2:$A$50,密度!$D$2:$D$50)</f>
        <v>47663.304627600002</v>
      </c>
      <c r="N7" s="73" ph="1">
        <f>N6*33.183*LOOKUP(N8,密度!$A$2:$A$50,密度!$E$2:$E$50)</f>
        <v>113657.7213936</v>
      </c>
      <c r="O7" s="73" ph="1">
        <f>O6*20.428*LOOKUP(O8,密度!$A$2:$A$50,密度!$C$2:$C$50)</f>
        <v>28921.145280000001</v>
      </c>
      <c r="P7" s="73" ph="1">
        <f>P6*51.53*LOOKUP(P8,密度!$A$2:$A$50,密度!$B$2:$B$50)</f>
        <v>118744.54165700001</v>
      </c>
      <c r="Q7" s="73" ph="1">
        <f>Q6*1.5*1.5*3.1416*LOOKUP(W8,密度!$A$2:$A$50,密度!$L$2:$L$50)</f>
        <v>1594.7892575999997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47420.091872999998</v>
      </c>
      <c r="V7" s="73" ph="1">
        <f>V6*1.5*1.5*3.1416*LOOKUP(V8,密度!$A$2:$A$50,密度!$L$2:$L$50)</f>
        <v>34468.0981722</v>
      </c>
      <c r="W7" s="73" ph="1">
        <f>W6*1.5*1.5*3.1416*LOOKUP(W8,密度!$A$2:$A$50,密度!$L$2:$L$50)</f>
        <v>46642.581215999991</v>
      </c>
      <c r="X7" s="73" ph="1">
        <f>X6*1.5*1.5*3.1416*LOOKUP(X8,密度!$A$2:$A$50,密度!$L$2:$L$50)</f>
        <v>47548.026464399991</v>
      </c>
      <c r="Y7" s="73" ph="1">
        <f>Y6*1.5*1.5*3.1416*LOOKUP(Y8,密度!$A$2:$A$50,密度!$L$2:$L$50)</f>
        <v>31041.156069000001</v>
      </c>
      <c r="Z7" s="73" ph="1">
        <f>Z6*33.183*LOOKUP(Z8,密度!$A$2:$A$50,密度!$L$2:$L$50)</f>
        <v>88269.700103999989</v>
      </c>
      <c r="AA7" s="73" ph="1">
        <f>AA6*33.183*LOOKUP(AA8,密度!$A$2:$A$50,密度!$D$2:$D$50)</f>
        <v>137182.34468159999</v>
      </c>
      <c r="AB7" s="73" ph="1">
        <f>AB6*20.428*LOOKUP(AB8,密度!$A$2:$A$50,密度!$D$2:$D$50)</f>
        <v>48969.852475599997</v>
      </c>
      <c r="AC7" s="73" ph="1">
        <f>AC6*51.53*LOOKUP(AC8,密度!$A$2:$A$50,密度!$Q$2:$Q$50)</f>
        <v>370184.72010120004</v>
      </c>
      <c r="AD7" s="73" ph="1">
        <f>AD6*20.428*LOOKUP(AD8,密度!$A$2:$A$50,密度!$V$2:$V$50)</f>
        <v>94130.589760000003</v>
      </c>
      <c r="AE7" s="73" ph="1">
        <f>AE6*20.428</f>
        <v>72723.680000000008</v>
      </c>
    </row>
    <row r="8" spans="1:99" ph="1">
      <c r="B8" s="191" ph="1"/>
      <c r="C8" s="68" t="s" ph="1">
        <v>179</v>
      </c>
      <c r="D8" s="74">
        <v>26</v>
      </c>
      <c r="E8" s="74">
        <v>15</v>
      </c>
      <c r="F8" s="74">
        <v>16</v>
      </c>
      <c r="G8" s="74">
        <v>15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18</v>
      </c>
      <c r="O8" s="74">
        <v>23</v>
      </c>
      <c r="P8" s="74">
        <v>14</v>
      </c>
      <c r="Q8" s="74">
        <v>17</v>
      </c>
      <c r="R8" s="74">
        <v>20</v>
      </c>
      <c r="S8" s="74">
        <v>13</v>
      </c>
      <c r="T8" s="74">
        <v>11</v>
      </c>
      <c r="U8" s="74">
        <v>17</v>
      </c>
      <c r="V8" s="74">
        <v>23</v>
      </c>
      <c r="W8" s="74">
        <v>18</v>
      </c>
      <c r="X8" s="74">
        <v>8</v>
      </c>
      <c r="Y8" s="74">
        <v>17</v>
      </c>
      <c r="Z8" s="74">
        <v>14</v>
      </c>
      <c r="AA8" s="74">
        <v>15</v>
      </c>
      <c r="AB8" s="74">
        <v>9</v>
      </c>
      <c r="AC8" s="74">
        <v>13</v>
      </c>
      <c r="AD8" s="74">
        <v>14</v>
      </c>
      <c r="AE8" s="74">
        <v>16</v>
      </c>
    </row>
    <row r="9" spans="1:99" ph="1">
      <c r="B9" s="191" ph="1">
        <v>0.66666666666666663</v>
      </c>
      <c r="C9" s="169" t="s" ph="1">
        <v>180</v>
      </c>
      <c r="D9" s="71">
        <v>5917</v>
      </c>
      <c r="E9" s="71">
        <v>0</v>
      </c>
      <c r="F9" s="71">
        <v>4373</v>
      </c>
      <c r="G9" s="71">
        <v>2676</v>
      </c>
      <c r="H9" s="71">
        <v>2831</v>
      </c>
      <c r="I9" s="71">
        <v>0.08</v>
      </c>
      <c r="J9" s="71">
        <v>6.66</v>
      </c>
      <c r="K9" s="71">
        <v>40.29</v>
      </c>
      <c r="L9" s="71">
        <v>7.79</v>
      </c>
      <c r="M9" s="71">
        <v>1370</v>
      </c>
      <c r="N9" s="71">
        <v>4328</v>
      </c>
      <c r="O9" s="71">
        <v>247</v>
      </c>
      <c r="P9" s="71">
        <v>2536</v>
      </c>
      <c r="Q9" s="71">
        <v>2725</v>
      </c>
      <c r="R9" s="71">
        <v>2896</v>
      </c>
      <c r="S9" s="71">
        <v>0</v>
      </c>
      <c r="T9" s="71">
        <v>0</v>
      </c>
      <c r="U9" s="71">
        <v>3289</v>
      </c>
      <c r="V9" s="71">
        <v>5194</v>
      </c>
      <c r="W9" s="71">
        <v>6995</v>
      </c>
      <c r="X9" s="71">
        <v>7055</v>
      </c>
      <c r="Y9" s="71">
        <v>4649</v>
      </c>
      <c r="Z9" s="71">
        <v>3605</v>
      </c>
      <c r="AA9" s="71">
        <v>3991</v>
      </c>
      <c r="AB9" s="71">
        <v>2564</v>
      </c>
      <c r="AC9" s="71">
        <v>7247</v>
      </c>
      <c r="AD9" s="71">
        <v>4780</v>
      </c>
      <c r="AE9" s="71">
        <v>3760</v>
      </c>
    </row>
    <row r="10" spans="1:99" s="72" customFormat="1" ht="22.5" ph="1">
      <c r="B10" s="191" ph="1"/>
      <c r="C10" s="169" t="s" ph="1">
        <v>178</v>
      </c>
      <c r="D10" s="73" ph="1">
        <f>D9*33.183*LOOKUP(D11,密度!$A$2:$A$50,密度!$Q$2:$Q$50)</f>
        <v>186173.20159019998</v>
      </c>
      <c r="E10" s="73" ph="1">
        <f>E9*51.53*LOOKUP(E11,密度!$A$2:$A$50,密度!$B$2:$B$50)</f>
        <v>0</v>
      </c>
      <c r="F10" s="73" ph="1">
        <f>F9*33.183*LOOKUP(F11,密度!$A$2:$A$50,密度!$C$2:$C$50)</f>
        <v>161724.26915549999</v>
      </c>
      <c r="G10" s="73" ph="1">
        <f xml:space="preserve"> (G9+2)*51.53*LOOKUP(G11,密度!$A$2:$A$50,密度!$B$2:$B$50)</f>
        <v>108521.10817599999</v>
      </c>
      <c r="H10" s="73" ph="1">
        <f>(H9)*51.53*LOOKUP(H11,密度!$A$2:$A$50,密度!$B$2:$B$50)</f>
        <v>114954.56684</v>
      </c>
      <c r="I10" s="73" ph="1">
        <f>I9*290.8*1.0267</f>
        <v>23.885148800000003</v>
      </c>
      <c r="J10" s="73" ph="1">
        <f>J9*290.8*0.7892</f>
        <v>1528.4657376</v>
      </c>
      <c r="K10" s="73" ph="1">
        <f>K9*290.8*1.1126</f>
        <v>13035.590983200002</v>
      </c>
      <c r="L10" s="73" ph="1">
        <f>L9*290.8*0.777</f>
        <v>1760.1629639999999</v>
      </c>
      <c r="M10" s="73" ph="1">
        <f>M9*33.183*LOOKUP(M11,密度!$A$2:$A$50,密度!$D$2:$D$50)</f>
        <v>46965.459500999998</v>
      </c>
      <c r="N10" s="73" ph="1">
        <f>N9*33.183*LOOKUP(N11,密度!$A$2:$A$50,密度!$E$2:$E$50)</f>
        <v>113657.7213936</v>
      </c>
      <c r="O10" s="73" ph="1">
        <f>O9*20.428*LOOKUP(O11,密度!$A$2:$A$50,密度!$C$2:$C$50)</f>
        <v>5602.7630464000003</v>
      </c>
      <c r="P10" s="73" ph="1">
        <f>P9*51.53*LOOKUP(P11,密度!$A$2:$A$50,密度!$B$2:$B$50)</f>
        <v>102675.338856</v>
      </c>
      <c r="Q10" s="73" ph="1">
        <f>Q9*1.5*1.5*3.1416*LOOKUP(W11,密度!$A$2:$A$50,密度!$L$2:$L$50)</f>
        <v>18183.266640000002</v>
      </c>
      <c r="R10" s="73" ph="1">
        <f>R9*1.5*1.5*3.1416*LOOKUP(R11,密度!$A$2:$A$50,密度!$L$2:$L$50)</f>
        <v>19262.8963296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21946.702377599999</v>
      </c>
      <c r="V10" s="73" ph="1">
        <f>V9*1.5*1.5*3.1416*LOOKUP(V11,密度!$A$2:$A$50,密度!$L$2:$L$50)</f>
        <v>34401.306970800004</v>
      </c>
      <c r="W10" s="73" ph="1">
        <f>W9*1.5*1.5*3.1416*LOOKUP(W11,密度!$A$2:$A$50,密度!$L$2:$L$50)</f>
        <v>46675.945007999995</v>
      </c>
      <c r="X10" s="73" ph="1">
        <f>X9*1.5*1.5*3.1416*LOOKUP(X11,密度!$A$2:$A$50,密度!$L$2:$L$50)</f>
        <v>47475.262295999994</v>
      </c>
      <c r="Y10" s="73" ph="1">
        <f>Y9*1.5*1.5*3.1416*LOOKUP(Y11,密度!$A$2:$A$50,密度!$L$2:$L$50)</f>
        <v>30955.929958799996</v>
      </c>
      <c r="Z10" s="73" ph="1">
        <f>Z9*33.183*LOOKUP(Z11,密度!$A$2:$A$50,密度!$L$2:$L$50)</f>
        <v>113164.98039</v>
      </c>
      <c r="AA10" s="73" ph="1">
        <f>AA9*33.183*LOOKUP(AA11,密度!$A$2:$A$50,密度!$D$2:$D$50)</f>
        <v>136816.89698429999</v>
      </c>
      <c r="AB10" s="73" ph="1">
        <f>AB9*20.428*LOOKUP(AB11,密度!$A$2:$A$50,密度!$D$2:$D$50)</f>
        <v>54472.487679999998</v>
      </c>
      <c r="AC10" s="73" ph="1">
        <f>AC9*51.53*LOOKUP(AC11,密度!$A$2:$A$50,密度!$Q$2:$Q$50)</f>
        <v>356110.39097600005</v>
      </c>
      <c r="AD10" s="73" ph="1">
        <f>AD9*20.428*LOOKUP(AD11,密度!$A$2:$A$50,密度!$V$2:$V$50)</f>
        <v>94130.589760000003</v>
      </c>
      <c r="AE10" s="73" ph="1">
        <f>AE9*20.428</f>
        <v>76809.279999999999</v>
      </c>
    </row>
    <row r="11" spans="1:99" ph="1">
      <c r="A11" s="64" t="s" ph="1">
        <v>162</v>
      </c>
      <c r="B11" s="191" ph="1"/>
      <c r="C11" s="169" t="s" ph="1">
        <v>179</v>
      </c>
      <c r="D11" s="74">
        <v>23</v>
      </c>
      <c r="E11" s="74">
        <v>17</v>
      </c>
      <c r="F11" s="74">
        <v>17</v>
      </c>
      <c r="G11" s="74">
        <v>17</v>
      </c>
      <c r="H11" s="74">
        <v>15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23</v>
      </c>
      <c r="P11" s="74">
        <v>18</v>
      </c>
      <c r="Q11" s="74">
        <v>17</v>
      </c>
      <c r="R11" s="74">
        <v>21</v>
      </c>
      <c r="S11" s="74">
        <v>15</v>
      </c>
      <c r="T11" s="74">
        <v>20</v>
      </c>
      <c r="U11" s="74">
        <v>18</v>
      </c>
      <c r="V11" s="74">
        <v>25</v>
      </c>
      <c r="W11" s="74">
        <v>18</v>
      </c>
      <c r="X11" s="74">
        <v>10</v>
      </c>
      <c r="Y11" s="74">
        <v>20</v>
      </c>
      <c r="Z11" s="74">
        <v>16</v>
      </c>
      <c r="AA11" s="74">
        <v>18</v>
      </c>
      <c r="AB11" s="74">
        <v>10</v>
      </c>
      <c r="AC11" s="74">
        <v>16</v>
      </c>
      <c r="AD11" s="74">
        <v>16</v>
      </c>
      <c r="AE11" s="74">
        <v>21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249" t="s" ph="1">
        <v>649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9" t="s" ph="1">
        <v>177</v>
      </c>
      <c r="D15" s="78">
        <v>5981</v>
      </c>
      <c r="E15" s="78">
        <v>6063</v>
      </c>
      <c r="F15" s="78">
        <v>3392</v>
      </c>
      <c r="G15" s="78">
        <v>2724</v>
      </c>
      <c r="H15" s="78">
        <v>5384</v>
      </c>
      <c r="I15" s="78">
        <v>5214</v>
      </c>
      <c r="J15" s="78">
        <v>1068</v>
      </c>
      <c r="K15" s="78">
        <v>4415</v>
      </c>
      <c r="L15" s="78">
        <v>3078</v>
      </c>
      <c r="M15" s="78">
        <v>3424</v>
      </c>
      <c r="N15" s="78">
        <v>527</v>
      </c>
      <c r="O15" s="78">
        <v>4564</v>
      </c>
      <c r="P15" s="78">
        <v>6973</v>
      </c>
      <c r="Q15" s="78">
        <v>7007</v>
      </c>
      <c r="R15" s="78">
        <v>7339</v>
      </c>
      <c r="S15" s="78">
        <v>6397</v>
      </c>
      <c r="T15" s="78">
        <v>2364</v>
      </c>
      <c r="U15" s="78">
        <v>6089</v>
      </c>
      <c r="V15" s="78">
        <v>4991</v>
      </c>
      <c r="W15" s="71">
        <v>-817</v>
      </c>
      <c r="X15" s="78">
        <v>407</v>
      </c>
      <c r="Y15" s="106">
        <v>-9900</v>
      </c>
      <c r="Z15" s="78">
        <v>0</v>
      </c>
      <c r="AA15" s="78">
        <v>10</v>
      </c>
      <c r="AB15" s="78" ph="1">
        <v>6944</v>
      </c>
      <c r="AC15" s="78" ph="1">
        <v>2141</v>
      </c>
      <c r="AD15" s="78">
        <v>5.39</v>
      </c>
      <c r="AE15" s="78">
        <v>38.96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9" t="s" ph="1">
        <v>178</v>
      </c>
      <c r="D16" s="73" ph="1">
        <f>D15*7.0686*LOOKUP(D17,密度!$A$2:$A$50,密度!$L$2:$L$50)</f>
        <v>39909.767990399996</v>
      </c>
      <c r="E16" s="73" ph="1">
        <f>E15*7.0686*LOOKUP(E17,密度!$A$2:$A$50,密度!$L$2:$L$50)</f>
        <v>40456.934179199998</v>
      </c>
      <c r="F16" s="73" ph="1">
        <f>F15*9.0746*LOOKUP(F17,密度!$A$2:$A$50,密度!$L$2:$L$50)</f>
        <v>29088.085823999998</v>
      </c>
      <c r="G16" s="73" ph="1">
        <f>G15*9.0746*LOOKUP(G17,密度!$A$2:$A$50,密度!$B$2:$B$50)</f>
        <v>19439.187058560001</v>
      </c>
      <c r="H16" s="73" ph="1">
        <f>H15*9.0746*LOOKUP(H17,密度!$A$2:$A$50,密度!$L$2:$L$50)</f>
        <v>46414.764079999994</v>
      </c>
      <c r="I16" s="73" ph="1">
        <f>I15*9.0746*LOOKUP(I17,密度!$A$2:$A$50,密度!$U$2:$U$50)</f>
        <v>48639.783403200003</v>
      </c>
      <c r="J16" s="73" ph="1">
        <f>J15*9.0746*LOOKUP(J17,密度!$A$2:$A$50,密度!$L$2:$L$50)</f>
        <v>9148.9391231999998</v>
      </c>
      <c r="K16" s="73" ph="1">
        <f>K15*9.0746*LOOKUP(K17,密度!$A$2:$A$50,密度!$C$2:$C$50)</f>
        <v>44679.773156800002</v>
      </c>
      <c r="L16" s="73" ph="1">
        <f>L15*9.0746*LOOKUP(L17,密度!$A$2:$A$50,密度!$E$2:$E$50)</f>
        <v>22166.53267968</v>
      </c>
      <c r="M16" s="73" ph="1">
        <f>M15*9.0746*LOOKUP(M17,密度!$A$2:$A$50,密度!$M$2:$M$50)</f>
        <v>27352.180181119998</v>
      </c>
      <c r="N16" s="73" ph="1">
        <f>N15*9.0746*LOOKUP(N17,密度!$A$2:$A$50,密度!$M$2:$M$50)</f>
        <v>4209.8711902599998</v>
      </c>
      <c r="O16" s="73" ph="1">
        <f>O15*9.0746*LOOKUP(O17,密度!$A$2:$A$50,密度!$G$2:$G$50)</f>
        <v>40091.1472192</v>
      </c>
      <c r="P16" s="73" ph="1">
        <f ca="1">P15*9.0746*LOOKUP(P17,密度!$A$2:$A$51,密度!$Q$2:$Q$50)</f>
        <v>60240.513653458001</v>
      </c>
      <c r="Q16" s="73" ph="1">
        <f>Q15*9.0746*LOOKUP(Q17,密度!$A$2:$A$50,密度!$Q$2:$Q$50)</f>
        <v>60534.243391622003</v>
      </c>
      <c r="R16" s="73" ph="1">
        <f>MAX(R15*9.0746*LOOKUP(R17,密度!$A$2:$A$50,密度!$B$2:$B$50),0)</f>
        <v>52273.15433006001</v>
      </c>
      <c r="S16" s="73" ph="1">
        <f>S15*9.0746*LOOKUP(S17,密度!$A$2:$A$50,密度!$Q$2:$Q$50)</f>
        <v>55310.245995360005</v>
      </c>
      <c r="T16" s="73" ph="1">
        <f>T15*9.0746*LOOKUP(T17,密度!$A$2:$A$50,密度!$O$2:$O$50)</f>
        <v>20036.4990096</v>
      </c>
      <c r="U16" s="73" ph="1">
        <f>U15*9.0746*LOOKUP(U17,密度!$A$2:$A$50,密度!$H$2:$H$50)</f>
        <v>51205.03035198</v>
      </c>
      <c r="V16" s="73" ph="1">
        <f>MAX(5600*LOOKUP(V17,密度!$A$2:$A$50,密度!$Q$2:$Q$50)+V15*9.0476*LOOKUP(V17,密度!$A$2:$A$50,密度!$Q$2:$Q$50),0)</f>
        <v>48401.466677759992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9602.6150753999991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71.743787600000005</v>
      </c>
      <c r="AB16" s="73" ph="1">
        <f>AB15*9.0746*LOOKUP(AB17,密度!$A$2:$A$50,密度!$L$2:$L$50)</f>
        <v>59548.251167999995</v>
      </c>
      <c r="AC16" s="73" ph="1">
        <f>AC15*9.0746*LOOKUP(AC17,密度!$A$2:$A$50,密度!$L$2:$L$50)</f>
        <v>18418.4252328</v>
      </c>
      <c r="AD16" s="73" ph="1">
        <f>AD15*268.68*LOOKUP(AD17,密度!$A$2:$A$50,密度!B2:B50)+IF(AD15&lt;=0,0,1566*LOOKUP(AD17,密度!$A$2:$A$50,密度!B2:B50))</f>
        <v>2349.8587819199997</v>
      </c>
      <c r="AE16" s="73" ph="1">
        <f>AE15*268.68*LOOKUP(AE17,密度!$A$2:$A$50,密度!B2:B50)+IF(AE15&lt;=0,0,1566*LOOKUP(AE17,密度!$A$2:$A$50,密度!B2:B50))</f>
        <v>9381.5292748800002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18</v>
      </c>
      <c r="E17" s="74">
        <v>18</v>
      </c>
      <c r="F17" s="74">
        <v>17</v>
      </c>
      <c r="G17" s="74">
        <v>17</v>
      </c>
      <c r="H17" s="74">
        <v>12</v>
      </c>
      <c r="I17" s="74">
        <v>14</v>
      </c>
      <c r="J17" s="74">
        <v>18</v>
      </c>
      <c r="K17" s="74">
        <v>16</v>
      </c>
      <c r="L17" s="74">
        <v>16</v>
      </c>
      <c r="M17" s="74">
        <v>18</v>
      </c>
      <c r="N17" s="74">
        <v>15</v>
      </c>
      <c r="O17" s="74">
        <v>18</v>
      </c>
      <c r="P17" s="74">
        <v>18</v>
      </c>
      <c r="Q17" s="74">
        <v>18</v>
      </c>
      <c r="R17" s="74">
        <v>19</v>
      </c>
      <c r="S17" s="74">
        <v>17</v>
      </c>
      <c r="T17" s="74">
        <v>17</v>
      </c>
      <c r="U17" s="74">
        <v>13</v>
      </c>
      <c r="V17" s="74">
        <v>16</v>
      </c>
      <c r="W17" s="74">
        <v>18</v>
      </c>
      <c r="X17" s="74">
        <v>32</v>
      </c>
      <c r="Y17" s="108">
        <v>32</v>
      </c>
      <c r="Z17" s="74">
        <v>16</v>
      </c>
      <c r="AA17" s="74">
        <v>12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5989</v>
      </c>
      <c r="E18" s="71">
        <v>5715</v>
      </c>
      <c r="F18" s="71">
        <v>4323</v>
      </c>
      <c r="G18" s="71">
        <v>2780</v>
      </c>
      <c r="H18" s="71">
        <v>5386</v>
      </c>
      <c r="I18" s="71">
        <v>5216</v>
      </c>
      <c r="J18" s="71">
        <v>2018</v>
      </c>
      <c r="K18" s="71">
        <v>4424</v>
      </c>
      <c r="L18" s="71">
        <v>3078</v>
      </c>
      <c r="M18" s="71">
        <v>468</v>
      </c>
      <c r="N18" s="71">
        <v>3186</v>
      </c>
      <c r="O18" s="71">
        <v>4818</v>
      </c>
      <c r="P18" s="71">
        <v>6979</v>
      </c>
      <c r="Q18" s="71">
        <v>7010</v>
      </c>
      <c r="R18" s="71">
        <v>7346</v>
      </c>
      <c r="S18" s="71">
        <v>6399</v>
      </c>
      <c r="T18" s="71">
        <v>1960</v>
      </c>
      <c r="U18" s="71">
        <v>6090</v>
      </c>
      <c r="V18" s="71">
        <v>4991</v>
      </c>
      <c r="W18" s="71">
        <v>-817</v>
      </c>
      <c r="X18" s="71">
        <v>405</v>
      </c>
      <c r="Y18" s="109">
        <v>-9903</v>
      </c>
      <c r="Z18" s="71">
        <v>0</v>
      </c>
      <c r="AA18" s="71">
        <v>10</v>
      </c>
      <c r="AB18" s="71">
        <v>6947</v>
      </c>
      <c r="AC18" s="71">
        <v>2141</v>
      </c>
      <c r="AD18" s="71">
        <v>9.3800000000000008</v>
      </c>
      <c r="AE18" s="71">
        <v>84.68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9" t="s" ph="1">
        <v>178</v>
      </c>
      <c r="D19" s="73" ph="1">
        <f>D18*7.0686*LOOKUP(D20,密度!$A$2:$A$50,密度!$L$2:$L$50)</f>
        <v>39963.150057599996</v>
      </c>
      <c r="E19" s="73" ph="1">
        <f>E18*7.0686*LOOKUP(E20,密度!$A$2:$A$50,密度!$L$2:$L$50)</f>
        <v>38134.814255999998</v>
      </c>
      <c r="F19" s="73" ph="1">
        <f>F18*9.0746*LOOKUP(F20,密度!$A$2:$A$50,密度!$L$2:$L$50)</f>
        <v>36797.267060400001</v>
      </c>
      <c r="G19" s="73" ph="1">
        <f>G18*9.0746*LOOKUP(G20,密度!$A$2:$A$50,密度!$B$2:$B$50)</f>
        <v>19821.158751599996</v>
      </c>
      <c r="H19" s="73" ph="1">
        <f>H18*9.0746*LOOKUP(H20,密度!$A$2:$A$50,密度!$L$2:$L$50)</f>
        <v>46334.254228799997</v>
      </c>
      <c r="I19" s="73" ph="1">
        <f>I18*9.0746*LOOKUP(I20,密度!$A$2:$A$50,密度!$U$2:$U$50)</f>
        <v>48658.440780800003</v>
      </c>
      <c r="J19" s="73" ph="1">
        <f>J18*9.0746*LOOKUP(J20,密度!$A$2:$A$50,密度!$L$2:$L$50)</f>
        <v>17305.352945999999</v>
      </c>
      <c r="K19" s="73" ph="1">
        <f>K18*9.0746*LOOKUP(K20,密度!$A$2:$A$50,密度!$C$2:$C$50)</f>
        <v>44690.561041280002</v>
      </c>
      <c r="L19" s="73" ph="1">
        <f>L18*9.0746*LOOKUP(L20,密度!$A$2:$A$50,密度!$E$2:$E$50)</f>
        <v>22105.083118319999</v>
      </c>
      <c r="M19" s="73" ph="1">
        <f>M18*9.0746*LOOKUP(M20,密度!$A$2:$A$50,密度!$M$2:$M$50)</f>
        <v>3738.5573378399999</v>
      </c>
      <c r="N19" s="73" ph="1">
        <f>N18*9.0746*LOOKUP(N20,密度!$A$2:$A$50,密度!$M$2:$M$50)</f>
        <v>25450.94803068</v>
      </c>
      <c r="O19" s="73" ph="1">
        <f>O18*9.0746*LOOKUP(O20,密度!$A$2:$A$50,密度!$G$2:$G$50)</f>
        <v>42230.522282519996</v>
      </c>
      <c r="P19" s="73" ph="1">
        <f ca="1">P18*9.0746*LOOKUP(P20,密度!$A$2:$A$51,密度!$Q$2:$Q$50)</f>
        <v>60189.117750691999</v>
      </c>
      <c r="Q19" s="73" ph="1">
        <f>Q18*9.0746*LOOKUP(Q20,密度!$A$2:$A$50,密度!$Q$2:$Q$50)</f>
        <v>60560.160721460008</v>
      </c>
      <c r="R19" s="73" ph="1">
        <f>MAX(R18*9.0746*LOOKUP(R20,密度!$A$2:$A$50,密度!$B$2:$B$50),0)</f>
        <v>52269.683295559997</v>
      </c>
      <c r="S19" s="73" ph="1">
        <f>S18*9.0746*LOOKUP(S20,密度!$A$2:$A$50,密度!$Q$2:$Q$50)</f>
        <v>55281.664544454004</v>
      </c>
      <c r="T19" s="73" ph="1">
        <f>T18*9.0746*LOOKUP(T20,密度!$A$2:$A$50,密度!$O$2:$O$50)</f>
        <v>16541.18088</v>
      </c>
      <c r="U19" s="73" ph="1">
        <f>U18*9.0746*LOOKUP(U20,密度!$A$2:$A$50,密度!$H$2:$H$50)</f>
        <v>51102.911155799993</v>
      </c>
      <c r="V19" s="73" ph="1">
        <f>MAX(5600*LOOKUP(V20,密度!$A$2:$A$50,密度!$Q$2:$Q$50)+V18*9.0476*LOOKUP(V20,密度!$A$2:$A$50,密度!$Q$2:$Q$50),0)</f>
        <v>48281.173603067997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9645.9662535999996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71.43525120000001</v>
      </c>
      <c r="AB19" s="73" ph="1">
        <f>AB18*9.0746*LOOKUP(AB20,密度!$A$2:$A$50,密度!$L$2:$L$50)</f>
        <v>59510.936412800002</v>
      </c>
      <c r="AC19" s="73" ph="1">
        <f>AC18*9.0746*LOOKUP(AC20,密度!$A$2:$A$50,密度!$L$2:$L$50)</f>
        <v>18398.9965142</v>
      </c>
      <c r="AD19" s="73" ph="1">
        <f>AD18*268.68*LOOKUP(AD20,密度!$A$2:$A$50,密度!B5:B53)+IF(AD18&lt;=0,0,1566*LOOKUP(AD20,密度!$A$2:$A$50,密度!B5:B53))</f>
        <v>3174.9916968000002</v>
      </c>
      <c r="AE19" s="73" ph="1">
        <f>AE18*268.68*LOOKUP(AE20,密度!$A$2:$A$50,密度!B5:B53)+IF(AE18&lt;=0,0,1566*LOOKUP(AE20,密度!$A$2:$A$50,密度!B5:B53))</f>
        <v>18894.9480048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18</v>
      </c>
      <c r="E20" s="81">
        <v>18</v>
      </c>
      <c r="F20" s="81">
        <v>24</v>
      </c>
      <c r="G20" s="81">
        <v>18</v>
      </c>
      <c r="H20" s="81">
        <v>14</v>
      </c>
      <c r="I20" s="81">
        <v>18</v>
      </c>
      <c r="J20" s="81">
        <v>17</v>
      </c>
      <c r="K20" s="81">
        <v>19</v>
      </c>
      <c r="L20" s="81">
        <v>18</v>
      </c>
      <c r="M20" s="81">
        <v>20</v>
      </c>
      <c r="N20" s="81">
        <v>18</v>
      </c>
      <c r="O20" s="81">
        <v>20</v>
      </c>
      <c r="P20" s="81">
        <v>20</v>
      </c>
      <c r="Q20" s="81">
        <v>18</v>
      </c>
      <c r="R20" s="81">
        <v>20</v>
      </c>
      <c r="S20" s="81">
        <v>18</v>
      </c>
      <c r="T20" s="81">
        <v>21</v>
      </c>
      <c r="U20" s="81">
        <v>15</v>
      </c>
      <c r="V20" s="81">
        <v>19</v>
      </c>
      <c r="W20" s="81">
        <v>18</v>
      </c>
      <c r="X20" s="81">
        <v>26</v>
      </c>
      <c r="Y20" s="110">
        <v>26</v>
      </c>
      <c r="Z20" s="81">
        <v>21</v>
      </c>
      <c r="AA20" s="81">
        <v>16</v>
      </c>
      <c r="AB20" s="81">
        <v>18</v>
      </c>
      <c r="AC20" s="81">
        <v>15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647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9" t="s" ph="1">
        <v>177</v>
      </c>
      <c r="D24" s="71">
        <v>5.43</v>
      </c>
      <c r="E24" s="71">
        <v>7.25</v>
      </c>
      <c r="F24" s="71">
        <v>509</v>
      </c>
      <c r="G24" s="71">
        <v>3601</v>
      </c>
      <c r="H24" s="71">
        <v>3494</v>
      </c>
      <c r="I24" s="71">
        <v>1254</v>
      </c>
      <c r="J24" s="71">
        <v>4927</v>
      </c>
      <c r="K24" s="71">
        <v>4722</v>
      </c>
      <c r="L24" s="71">
        <v>5541</v>
      </c>
      <c r="M24" s="71">
        <v>5071</v>
      </c>
      <c r="N24" s="71">
        <v>2847</v>
      </c>
      <c r="O24" s="71">
        <v>5719</v>
      </c>
      <c r="P24" s="71">
        <v>628</v>
      </c>
      <c r="Q24" s="90">
        <v>945</v>
      </c>
      <c r="R24" s="71">
        <v>2012</v>
      </c>
      <c r="S24" s="71">
        <v>5268</v>
      </c>
      <c r="T24" s="71">
        <v>180</v>
      </c>
      <c r="U24" s="71">
        <v>3696</v>
      </c>
      <c r="V24" s="71">
        <v>4044</v>
      </c>
      <c r="W24" s="71">
        <v>6048</v>
      </c>
      <c r="X24" s="71">
        <v>7241</v>
      </c>
      <c r="Y24" s="71">
        <v>5610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2863.8245003759998</v>
      </c>
      <c r="E25" s="91" ph="1">
        <f>E24*268.68*LOOKUP(E26,密度!$A$2:$A$50,密度!$C$2:$C$50)+IF(E24&lt;=0,0,1566*LOOKUP(E26,密度!$A$2:$A$50,密度!$C$2:$C$50))</f>
        <v>3896.5969770000002</v>
      </c>
      <c r="F25" s="91" ph="1">
        <f>F24*11.702*LOOKUP(F26,密度!$A$2:$A$50,密度!$Q$2:$Q$50)</f>
        <v>5670.4742991800003</v>
      </c>
      <c r="G25" s="91" ph="1">
        <f>G24*18.322*LOOKUP(G26,密度!$A$2:$A$50,密度!$B$2:$B$50)</f>
        <v>51838.539035399997</v>
      </c>
      <c r="H25" s="91" ph="1">
        <f>H24*18.322*LOOKUP(H26,密度!$A$2:$A$50,密度!$B$2:$B$50)</f>
        <v>50343.022275199997</v>
      </c>
      <c r="I25" s="91" ph="1">
        <f>I24*18.322*LOOKUP(I26,密度!$A$2:$A$50,密度!$Q$2:$Q$50)</f>
        <v>21891.330806400001</v>
      </c>
      <c r="J25" s="91" ph="1">
        <f>J24*18.322*LOOKUP(J26,密度!$A$2:$A$50,密度!$Q$2:$Q$50)</f>
        <v>86011.632283199986</v>
      </c>
      <c r="K25" s="91" ph="1">
        <f>K24*18.322*LOOKUP(K26,密度!$A$2:$A$50,密度!$Q$2:$Q$50)</f>
        <v>82432.905955199996</v>
      </c>
      <c r="L25" s="91" ph="1">
        <f>L24*18.322*LOOKUP(L26,密度!$A$2:$A$50,密度!$Q$2:$Q$50)</f>
        <v>96811.571827199994</v>
      </c>
      <c r="M25" s="91" ph="1">
        <f>M24*18.322*LOOKUP(M26,密度!$A$2:$A$50,密度!$Q$2:$Q$50)</f>
        <v>88599.79800319999</v>
      </c>
      <c r="N25" s="91" ph="1">
        <f>N24*18.322*LOOKUP(N26,密度!$A$2:$A$50,密度!$Q$2:$Q$50)</f>
        <v>49742.383142399995</v>
      </c>
      <c r="O25" s="91" ph="1">
        <f>O24*18.322*LOOKUP(O26,密度!$A$2:$A$50,密度!$C$2:$C$50)</f>
        <v>116854.57927359999</v>
      </c>
      <c r="P25" s="91" ph="1">
        <f>P24*11.702*LOOKUP(P26,密度!$A$2:$A$50,密度!$B$2:$B$50)</f>
        <v>5773.9961591999991</v>
      </c>
      <c r="Q25" s="92" ph="1">
        <f>Q24*18.322*LOOKUP(Q26,密度!$A$2:$A$50,密度!$B$2:$B$50)</f>
        <v>13603.837653000001</v>
      </c>
      <c r="R25" s="91" ph="1">
        <f>R24*35.891*LOOKUP(R26,密度!$A$2:$A$50,密度!$C$2:$C$50)</f>
        <v>80481.045234000005</v>
      </c>
      <c r="S25" s="91" ph="1">
        <f>S24*35.891*LOOKUP(S26,密度!$A$2:$A$50,密度!$B$2:$B$50)</f>
        <v>148687.62688319999</v>
      </c>
      <c r="T25" s="91" ph="1">
        <f>T24*35.891*LOOKUP(T26,密度!$A$2:$A$50,密度!$Q$2:$Q$50)</f>
        <v>6166.6911252000009</v>
      </c>
      <c r="U25" s="91" ph="1">
        <f>U24*35.891</f>
        <v>132653.136</v>
      </c>
      <c r="V25" s="91" ph="1">
        <f>V24*47.051*LOOKUP(V26,密度!$A$2:$A$50,密度!$B$2:$B$50)</f>
        <v>149783.8848768</v>
      </c>
      <c r="W25" s="91" ph="1">
        <f>W24*47.051*LOOKUP(W26,密度!$A$2:$A$50,密度!$B$2:$B$50)</f>
        <v>223582.28679360001</v>
      </c>
      <c r="X25" s="91" ph="1">
        <f>X24*47.051*LOOKUP(X26,密度!$A$2:$A$61,密度!$I$2:$I$61)</f>
        <v>346351.84943060001</v>
      </c>
      <c r="Y25" s="91" ph="1">
        <f>Y24*47.051*LOOKUP(Y26,密度!$A$2:$A$50,密度!$L$2:$L$50)</f>
        <v>248382.69950999998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18</v>
      </c>
      <c r="G26" s="74">
        <v>18</v>
      </c>
      <c r="H26" s="74">
        <v>17</v>
      </c>
      <c r="I26" s="74">
        <v>17</v>
      </c>
      <c r="J26" s="74">
        <v>17</v>
      </c>
      <c r="K26" s="74">
        <v>17</v>
      </c>
      <c r="L26" s="74">
        <v>16</v>
      </c>
      <c r="M26" s="74">
        <v>16</v>
      </c>
      <c r="N26" s="74">
        <v>16</v>
      </c>
      <c r="O26" s="74">
        <v>16</v>
      </c>
      <c r="P26" s="74">
        <v>18</v>
      </c>
      <c r="Q26" s="93">
        <v>18</v>
      </c>
      <c r="R26" s="74">
        <v>17</v>
      </c>
      <c r="S26" s="74">
        <v>17</v>
      </c>
      <c r="T26" s="74">
        <v>15</v>
      </c>
      <c r="U26" s="74">
        <v>16</v>
      </c>
      <c r="V26" s="74">
        <v>16</v>
      </c>
      <c r="W26" s="74">
        <v>18</v>
      </c>
      <c r="X26" s="74">
        <v>48</v>
      </c>
      <c r="Y26" s="74">
        <v>21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9" t="s" ph="1">
        <v>180</v>
      </c>
      <c r="D27" s="71">
        <v>5.43</v>
      </c>
      <c r="E27" s="71">
        <v>59.13</v>
      </c>
      <c r="F27" s="71">
        <v>507</v>
      </c>
      <c r="G27" s="71">
        <v>3144</v>
      </c>
      <c r="H27" s="71">
        <v>3043</v>
      </c>
      <c r="I27" s="71">
        <v>1252</v>
      </c>
      <c r="J27" s="71">
        <v>4927</v>
      </c>
      <c r="K27" s="71">
        <v>4720</v>
      </c>
      <c r="L27" s="71">
        <v>5540</v>
      </c>
      <c r="M27" s="71">
        <v>5071</v>
      </c>
      <c r="N27" s="71">
        <v>2845</v>
      </c>
      <c r="O27" s="71">
        <v>5716</v>
      </c>
      <c r="P27" s="71">
        <v>625</v>
      </c>
      <c r="Q27" s="90">
        <v>1252</v>
      </c>
      <c r="R27" s="71">
        <v>2433</v>
      </c>
      <c r="S27" s="71">
        <v>5265</v>
      </c>
      <c r="T27" s="71">
        <v>178</v>
      </c>
      <c r="U27" s="71">
        <v>3779</v>
      </c>
      <c r="V27" s="71">
        <v>4041</v>
      </c>
      <c r="W27" s="71">
        <v>6047</v>
      </c>
      <c r="X27" s="71">
        <v>7243</v>
      </c>
      <c r="Y27" s="71">
        <v>3853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9" t="s" ph="1">
        <v>178</v>
      </c>
      <c r="D28" s="91" ph="1">
        <f>D27*268.68*LOOKUP(D29,密度!$A$2:$A$50,密度!$Q$2:$Q$50)+IF(D27&lt;=0,0,1566*LOOKUP(D29,密度!$A$2:$A$50,密度!$Q$2:$Q$50))</f>
        <v>2863.8245003759998</v>
      </c>
      <c r="E28" s="91" ph="1">
        <f>E27*268.68*LOOKUP(E29,密度!$A$2:$A$50,密度!$C$2:$C$50)+IF(E27&lt;=0,0,1566*LOOKUP(E29,密度!$A$2:$A$50,密度!$C$2:$C$50))</f>
        <v>19353.685370760002</v>
      </c>
      <c r="F28" s="91" ph="1">
        <f>F27*11.702*LOOKUP(F29,密度!$A$2:$A$50,密度!$Q$2:$Q$50)</f>
        <v>5652.8804591999997</v>
      </c>
      <c r="G28" s="91" ph="1">
        <f>G27*18.322*LOOKUP(G29,密度!$A$2:$A$50,密度!$B$2:$B$50)</f>
        <v>45300.074995199997</v>
      </c>
      <c r="H28" s="91" ph="1">
        <f>H27*18.322*LOOKUP(H29,密度!$A$2:$A$50,密度!$B$2:$B$50)</f>
        <v>43844.824494399996</v>
      </c>
      <c r="I28" s="91" ph="1">
        <f>I27*18.322*LOOKUP(I29,密度!$A$2:$A$50,密度!$Q$2:$Q$50)</f>
        <v>21838.294479439999</v>
      </c>
      <c r="J28" s="91" ph="1">
        <f>J27*18.322*LOOKUP(J29,密度!$A$2:$A$50,密度!$Q$2:$Q$50)</f>
        <v>85940.317012939995</v>
      </c>
      <c r="K28" s="91" ph="1">
        <f>K27*18.322*LOOKUP(K29,密度!$A$2:$A$50,密度!$Q$2:$Q$50)</f>
        <v>82262.218203199998</v>
      </c>
      <c r="L28" s="91" ph="1">
        <f>L27*18.322*LOOKUP(L29,密度!$A$2:$A$50,密度!$Q$2:$Q$50)</f>
        <v>96632.708798799998</v>
      </c>
      <c r="M28" s="91" ph="1">
        <f>M27*18.322*LOOKUP(M29,密度!$A$2:$A$50,密度!$Q$2:$Q$50)</f>
        <v>88452.069732620002</v>
      </c>
      <c r="N28" s="91" ph="1">
        <f>N27*18.322*LOOKUP(N29,密度!$A$2:$A$50,密度!$Q$2:$Q$50)</f>
        <v>49665.738551999995</v>
      </c>
      <c r="O28" s="91" ph="1">
        <f>O27*18.322*LOOKUP(O29,密度!$A$2:$A$50,密度!$C$2:$C$50)</f>
        <v>116719.971204</v>
      </c>
      <c r="P28" s="91" ph="1">
        <f>P27*11.702*LOOKUP(P29,密度!$A$2:$A$50,密度!$B$2:$B$50)</f>
        <v>5746.4133750000001</v>
      </c>
      <c r="Q28" s="92" ph="1">
        <f>Q27*18.322*LOOKUP(Q29,密度!$A$2:$A$50,密度!$B$2:$B$50)</f>
        <v>18023.285440799998</v>
      </c>
      <c r="R28" s="91" ph="1">
        <f>R27*35.891*LOOKUP(R29,密度!$A$2:$A$50,密度!$C$2:$C$50)</f>
        <v>97321.263943500002</v>
      </c>
      <c r="S28" s="91" ph="1">
        <f>S27*35.891*LOOKUP(S29,密度!$A$2:$A$50,密度!$B$2:$B$50)</f>
        <v>148602.95283599998</v>
      </c>
      <c r="T28" s="91" ph="1">
        <f>T27*35.891*LOOKUP(T29,密度!$A$2:$A$50,密度!$Q$2:$Q$50)</f>
        <v>6071.59576724</v>
      </c>
      <c r="U28" s="91" ph="1">
        <f>U27*35.891</f>
        <v>135632.08900000001</v>
      </c>
      <c r="V28" s="91" ph="1">
        <f>V27*47.051*LOOKUP(V29,密度!$A$2:$A$50,密度!$B$2:$B$50)</f>
        <v>149387.56959870001</v>
      </c>
      <c r="W28" s="91" ph="1">
        <f>W27*47.051*LOOKUP(W29,密度!$A$2:$A$50,密度!$B$2:$B$50)</f>
        <v>223545.31882289998</v>
      </c>
      <c r="X28" s="91" ph="1">
        <f>X27*47.051*LOOKUP(X29,密度!$A$2:$A$61,密度!$I$2:$I$61)</f>
        <v>347572.12182070006</v>
      </c>
      <c r="Y28" s="91" ph="1">
        <f>Y27*47.051*LOOKUP(Y29,密度!$A$2:$A$50,密度!$L$2:$L$50)</f>
        <v>171316.69033499999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9" t="s" ph="1">
        <v>179</v>
      </c>
      <c r="D29" s="74">
        <v>25</v>
      </c>
      <c r="E29" s="74">
        <v>25</v>
      </c>
      <c r="F29" s="74">
        <v>17</v>
      </c>
      <c r="G29" s="74">
        <v>17</v>
      </c>
      <c r="H29" s="74">
        <v>17</v>
      </c>
      <c r="I29" s="74">
        <v>18</v>
      </c>
      <c r="J29" s="74">
        <v>18</v>
      </c>
      <c r="K29" s="74">
        <v>19</v>
      </c>
      <c r="L29" s="74">
        <v>18</v>
      </c>
      <c r="M29" s="74">
        <v>18</v>
      </c>
      <c r="N29" s="74">
        <v>17</v>
      </c>
      <c r="O29" s="74">
        <v>17</v>
      </c>
      <c r="P29" s="74">
        <v>18</v>
      </c>
      <c r="Q29" s="93">
        <v>18</v>
      </c>
      <c r="R29" s="74">
        <v>17</v>
      </c>
      <c r="S29" s="74">
        <v>17</v>
      </c>
      <c r="T29" s="74">
        <v>20</v>
      </c>
      <c r="U29" s="74">
        <v>17</v>
      </c>
      <c r="V29" s="74">
        <v>18</v>
      </c>
      <c r="W29" s="74">
        <v>18</v>
      </c>
      <c r="X29" s="74">
        <v>45</v>
      </c>
      <c r="Y29" s="74">
        <v>17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9" t="s" ph="1">
        <v>5</v>
      </c>
      <c r="F32" s="168" t="s" ph="1">
        <v>43</v>
      </c>
      <c r="G32" s="97" t="s" ph="1">
        <v>4</v>
      </c>
      <c r="H32" s="169" t="s" ph="1">
        <v>5</v>
      </c>
      <c r="I32" s="168" t="s" ph="1">
        <v>43</v>
      </c>
      <c r="J32" s="97" t="s" ph="1">
        <v>4</v>
      </c>
      <c r="K32" s="169" t="s" ph="1">
        <v>5</v>
      </c>
      <c r="L32" s="168" t="s" ph="1">
        <v>43</v>
      </c>
      <c r="M32" s="97" t="s" ph="1">
        <v>4</v>
      </c>
      <c r="N32" s="169" t="s" ph="1">
        <v>5</v>
      </c>
      <c r="O32" s="16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9" t="s" ph="1">
        <v>5</v>
      </c>
      <c r="U32" s="99" t="s" ph="1">
        <v>43</v>
      </c>
      <c r="V32" s="97" t="s" ph="1">
        <v>4</v>
      </c>
      <c r="W32" s="169" t="s" ph="1">
        <v>5</v>
      </c>
      <c r="X32" s="99" t="s" ph="1">
        <v>43</v>
      </c>
      <c r="Y32" s="100" t="s" ph="1">
        <v>4</v>
      </c>
      <c r="Z32" s="169" t="s" ph="1">
        <v>5</v>
      </c>
      <c r="AA32" s="168" t="s" ph="1">
        <v>43</v>
      </c>
      <c r="AB32" s="97" t="s" ph="1">
        <v>85</v>
      </c>
      <c r="AC32" s="169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191289.38466429999</v>
      </c>
      <c r="E33" s="213" ph="1">
        <f>M10+I10</f>
        <v>46989.344649799998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7" ph="1">
        <f>N19</f>
        <v>25450.94803068</v>
      </c>
      <c r="H33" s="213" ph="1">
        <f>M19</f>
        <v>3738.5573378399999</v>
      </c>
      <c r="I33" s="226" ph="1">
        <v>0</v>
      </c>
      <c r="J33" s="224" ph="1">
        <f>F10+O28</f>
        <v>278444.24035949999</v>
      </c>
      <c r="K33" s="213" ph="1">
        <f>O10+K10+E28+R28</f>
        <v>135313.30334386003</v>
      </c>
      <c r="L33" s="228" ph="1">
        <f>K19</f>
        <v>44690.561041280002</v>
      </c>
      <c r="M33" s="224" ph="1">
        <f>G10+H10+W28+S28+V28+E10+R19+P28+Q28</f>
        <v>821050.89838496002</v>
      </c>
      <c r="N33" s="213" ph="1">
        <f>L10+P10++G28+H28+AD19+AE19</f>
        <v>215650.34101120001</v>
      </c>
      <c r="O33" s="226" ph="1">
        <f>G19</f>
        <v>19821.158751599996</v>
      </c>
      <c r="P33" s="224" ph="1">
        <f>L19</f>
        <v>22105.083118319999</v>
      </c>
      <c r="Q33" s="213" ph="1">
        <f>J10+N10</f>
        <v>115186.1871312</v>
      </c>
      <c r="R33" s="226" ph="1">
        <f>BE23</f>
        <v>890</v>
      </c>
      <c r="S33" s="224" ph="1">
        <f>X28</f>
        <v>347572.12182070006</v>
      </c>
      <c r="T33" s="213" ph="1">
        <f>X19</f>
        <v>9645.9662535999996</v>
      </c>
      <c r="U33" s="234" ph="1">
        <f>BE21</f>
        <v>730</v>
      </c>
      <c r="V33" s="245" ph="1">
        <f ca="1">P19+Q19+S19+M28+N28+J28+D10+AC10+D19+E19+H19+J19+O19+V19+W19+K28+L28</f>
        <v>1353516.8552563542</v>
      </c>
      <c r="W33" s="245" ph="1">
        <f>D28+F28+T28+I28</f>
        <v>36426.595206255995</v>
      </c>
      <c r="X33" s="226" ph="1">
        <f>BE29+BE31</f>
        <v>10200</v>
      </c>
      <c r="Y33" s="247" ph="1">
        <f>+Q10+R10+S10+T10+U10+V10+W10+X10+Y10</f>
        <v>218901.30958080001</v>
      </c>
      <c r="Z33" s="232" ph="1">
        <f>T19+U19+Y28+Z10</f>
        <v>352125.76276079996</v>
      </c>
      <c r="AA33" s="234" ph="1">
        <f>BE19</f>
        <v>1440</v>
      </c>
      <c r="AB33" s="236" ph="1">
        <f>I19</f>
        <v>48658.440780800003</v>
      </c>
      <c r="AC33" s="238" ph="1">
        <f>AD10+AB19</f>
        <v>153641.52617279999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7" t="s" ph="1">
        <v>185</v>
      </c>
      <c r="AA36" s="167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342</v>
      </c>
      <c r="AI37" s="167" t="s" ph="1">
        <v>209</v>
      </c>
      <c r="AJ37" s="167" t="s" ph="1">
        <v>210</v>
      </c>
      <c r="AK37" s="167" t="s" ph="1">
        <v>211</v>
      </c>
      <c r="AM37" s="167" t="s" ph="1">
        <v>210</v>
      </c>
      <c r="AN37" s="167" t="s" ph="1">
        <v>211</v>
      </c>
      <c r="AO37" s="167" t="s" ph="1">
        <v>212</v>
      </c>
      <c r="AP37" s="167" t="s" ph="1">
        <v>210</v>
      </c>
      <c r="AQ37" s="167" t="s" ph="1">
        <v>211</v>
      </c>
      <c r="AR37" s="167" t="s" ph="1">
        <v>212</v>
      </c>
      <c r="AS37" s="167" t="s" ph="1">
        <v>210</v>
      </c>
      <c r="AT37" s="167" t="s" ph="1">
        <v>211</v>
      </c>
      <c r="AU37" s="167" t="s" ph="1">
        <v>212</v>
      </c>
      <c r="AV37" s="167" t="s" ph="1">
        <v>210</v>
      </c>
      <c r="AW37" s="167" t="s" ph="1">
        <v>211</v>
      </c>
      <c r="AX37" s="167" t="s" ph="1">
        <v>212</v>
      </c>
      <c r="AY37" s="167" t="s" ph="1">
        <v>211</v>
      </c>
      <c r="AZ37" s="167" t="s" ph="1">
        <v>213</v>
      </c>
      <c r="BD37" s="167" t="s" ph="1">
        <v>305</v>
      </c>
      <c r="BE37" s="16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89" priority="100">
      <formula>ABS(D$7-D$10)&gt;=1000</formula>
    </cfRule>
  </conditionalFormatting>
  <conditionalFormatting sqref="E4 E6:E11">
    <cfRule type="expression" dxfId="388" priority="99">
      <formula>ABS(E$7-E$10)&gt;=1000</formula>
    </cfRule>
  </conditionalFormatting>
  <conditionalFormatting sqref="F4:F11">
    <cfRule type="expression" dxfId="387" priority="98">
      <formula>ABS(F$7-F$10)&gt;=1000</formula>
    </cfRule>
  </conditionalFormatting>
  <conditionalFormatting sqref="G4:G11">
    <cfRule type="expression" dxfId="386" priority="97">
      <formula>ABS(G$7-G$10)&gt;=1000</formula>
    </cfRule>
  </conditionalFormatting>
  <conditionalFormatting sqref="H4:H11">
    <cfRule type="expression" dxfId="385" priority="96">
      <formula>ABS(H$7-H$10)&gt;=1000</formula>
    </cfRule>
  </conditionalFormatting>
  <conditionalFormatting sqref="I4:I11">
    <cfRule type="expression" dxfId="384" priority="95">
      <formula>ABS(I$7-I$10)&gt;=1000</formula>
    </cfRule>
  </conditionalFormatting>
  <conditionalFormatting sqref="J4:J11">
    <cfRule type="expression" dxfId="383" priority="94">
      <formula>ABS(J$7-J$10)&gt;=1000</formula>
    </cfRule>
  </conditionalFormatting>
  <conditionalFormatting sqref="K4:K11">
    <cfRule type="expression" dxfId="382" priority="93">
      <formula>ABS(K$7-K$10)&gt;=1000</formula>
    </cfRule>
  </conditionalFormatting>
  <conditionalFormatting sqref="L4:L11">
    <cfRule type="expression" dxfId="381" priority="92">
      <formula>ABS(L$7-L$10)&gt;=1000</formula>
    </cfRule>
  </conditionalFormatting>
  <conditionalFormatting sqref="M4 M6:M11">
    <cfRule type="expression" dxfId="380" priority="91">
      <formula>ABS(M$7-M$10)&gt;=1000</formula>
    </cfRule>
  </conditionalFormatting>
  <conditionalFormatting sqref="N4 N6:N11">
    <cfRule type="expression" dxfId="379" priority="90">
      <formula>ABS(N$7-N$10)&gt;=1000</formula>
    </cfRule>
  </conditionalFormatting>
  <conditionalFormatting sqref="O4 O6:O11">
    <cfRule type="expression" dxfId="378" priority="89">
      <formula>ABS(O$7-O$10)&gt;=1000</formula>
    </cfRule>
  </conditionalFormatting>
  <conditionalFormatting sqref="P4 P6:P11">
    <cfRule type="expression" dxfId="377" priority="88">
      <formula>ABS(P$7-P$10)&gt;=1000</formula>
    </cfRule>
  </conditionalFormatting>
  <conditionalFormatting sqref="Q4:Q11">
    <cfRule type="expression" dxfId="376" priority="87">
      <formula>ABS(Q$7-Q$10)&gt;=1000</formula>
    </cfRule>
  </conditionalFormatting>
  <conditionalFormatting sqref="R4:R11">
    <cfRule type="expression" dxfId="375" priority="86">
      <formula>ABS(R$7-R$10)&gt;=1000</formula>
    </cfRule>
  </conditionalFormatting>
  <conditionalFormatting sqref="S4:S11">
    <cfRule type="expression" dxfId="374" priority="85">
      <formula>ABS(S$7-S$10)&gt;=1000</formula>
    </cfRule>
  </conditionalFormatting>
  <conditionalFormatting sqref="T4:T9 T11">
    <cfRule type="expression" dxfId="373" priority="84">
      <formula>ABS(T$7-T$10)&gt;=1000</formula>
    </cfRule>
  </conditionalFormatting>
  <conditionalFormatting sqref="U4:U9 U11">
    <cfRule type="expression" dxfId="372" priority="83">
      <formula>ABS(U$7-U$10)&gt;=1000</formula>
    </cfRule>
  </conditionalFormatting>
  <conditionalFormatting sqref="V4:V9 V11">
    <cfRule type="expression" dxfId="371" priority="82">
      <formula>ABS(V$7-V$10)&gt;=1000</formula>
    </cfRule>
  </conditionalFormatting>
  <conditionalFormatting sqref="W4:W9 W11">
    <cfRule type="expression" dxfId="370" priority="81">
      <formula>ABS(W$7-W$10)&gt;=1000</formula>
    </cfRule>
  </conditionalFormatting>
  <conditionalFormatting sqref="X4:X9 X11">
    <cfRule type="expression" dxfId="369" priority="80">
      <formula>ABS(X$7-X$10)&gt;=1000</formula>
    </cfRule>
  </conditionalFormatting>
  <conditionalFormatting sqref="Y4:Y9 Y11">
    <cfRule type="expression" dxfId="368" priority="79">
      <formula>ABS(Y$7-Y$10)&gt;=1000</formula>
    </cfRule>
  </conditionalFormatting>
  <conditionalFormatting sqref="Z4:Z11">
    <cfRule type="expression" dxfId="367" priority="78">
      <formula>ABS(Z$7-Z$10)&gt;=1000</formula>
    </cfRule>
  </conditionalFormatting>
  <conditionalFormatting sqref="AA4:AA11">
    <cfRule type="expression" dxfId="366" priority="77">
      <formula>ABS(AA$7-AA$10)&gt;=1000</formula>
    </cfRule>
  </conditionalFormatting>
  <conditionalFormatting sqref="AB4:AB11">
    <cfRule type="expression" dxfId="365" priority="76">
      <formula>ABS(AB$7-AB$10)&gt;=1000</formula>
    </cfRule>
  </conditionalFormatting>
  <conditionalFormatting sqref="AC4 AC6:AC11">
    <cfRule type="expression" dxfId="364" priority="75">
      <formula>ABS(AC$7-AC$10)&gt;=1000</formula>
    </cfRule>
  </conditionalFormatting>
  <conditionalFormatting sqref="AD4 AD6:AD11">
    <cfRule type="expression" dxfId="363" priority="74">
      <formula>ABS(AD$7-AD$10)&gt;=1000</formula>
    </cfRule>
  </conditionalFormatting>
  <conditionalFormatting sqref="AE4 AE6:AE11">
    <cfRule type="expression" dxfId="362" priority="73">
      <formula>ABS(AE$7-AE$10)&gt;=1000</formula>
    </cfRule>
  </conditionalFormatting>
  <conditionalFormatting sqref="D13:D20">
    <cfRule type="expression" dxfId="361" priority="72">
      <formula>ABS(D$16-D$19)&gt;=1000</formula>
    </cfRule>
  </conditionalFormatting>
  <conditionalFormatting sqref="E13:E20">
    <cfRule type="expression" dxfId="360" priority="71">
      <formula>ABS(E$16-E$19)&gt;=1000</formula>
    </cfRule>
  </conditionalFormatting>
  <conditionalFormatting sqref="F13 F15:F20">
    <cfRule type="expression" dxfId="359" priority="70">
      <formula>ABS(F$16-F$19)&gt;=1000</formula>
    </cfRule>
  </conditionalFormatting>
  <conditionalFormatting sqref="G13:G20">
    <cfRule type="expression" dxfId="358" priority="69">
      <formula>ABS(G$16-G$19)&gt;=1000</formula>
    </cfRule>
  </conditionalFormatting>
  <conditionalFormatting sqref="H13 H15:H20">
    <cfRule type="expression" dxfId="357" priority="68">
      <formula>ABS(H$16-H$19)&gt;=1000</formula>
    </cfRule>
  </conditionalFormatting>
  <conditionalFormatting sqref="I13:I20">
    <cfRule type="expression" dxfId="356" priority="67">
      <formula>ABS(I$16-I$19)&gt;=1000</formula>
    </cfRule>
  </conditionalFormatting>
  <conditionalFormatting sqref="J13:J20">
    <cfRule type="expression" dxfId="355" priority="66">
      <formula>ABS(J$16-J$19)&gt;=1000</formula>
    </cfRule>
  </conditionalFormatting>
  <conditionalFormatting sqref="L13:L20">
    <cfRule type="expression" dxfId="354" priority="65">
      <formula>ABS(L$16-L$19)&gt;=1000</formula>
    </cfRule>
  </conditionalFormatting>
  <conditionalFormatting sqref="M13 M15 M17:M18 M20">
    <cfRule type="expression" dxfId="353" priority="64">
      <formula>ABS(M$16-M$19)&gt;=1000</formula>
    </cfRule>
  </conditionalFormatting>
  <conditionalFormatting sqref="N13:N20">
    <cfRule type="expression" dxfId="352" priority="63">
      <formula>ABS(N$16-N$19)&gt;=1000</formula>
    </cfRule>
  </conditionalFormatting>
  <conditionalFormatting sqref="O13:O20">
    <cfRule type="expression" dxfId="351" priority="62">
      <formula>ABS(O$16-O$19)&gt;=1000</formula>
    </cfRule>
  </conditionalFormatting>
  <conditionalFormatting sqref="P13:P20">
    <cfRule type="expression" dxfId="350" priority="61">
      <formula>ABS(P$16-P$19)&gt;=1000</formula>
    </cfRule>
  </conditionalFormatting>
  <conditionalFormatting sqref="Q13 Q15:Q20">
    <cfRule type="expression" dxfId="349" priority="60">
      <formula>ABS(Q$16-Q$19)&gt;=1000</formula>
    </cfRule>
  </conditionalFormatting>
  <conditionalFormatting sqref="R13:R20">
    <cfRule type="expression" dxfId="348" priority="59">
      <formula>ABS(R$16-R$19)&gt;=1000</formula>
    </cfRule>
  </conditionalFormatting>
  <conditionalFormatting sqref="S13:S20">
    <cfRule type="expression" dxfId="347" priority="58">
      <formula>ABS(S$16-S$19)&gt;=1000</formula>
    </cfRule>
  </conditionalFormatting>
  <conditionalFormatting sqref="T13:T20">
    <cfRule type="expression" dxfId="346" priority="57">
      <formula>ABS(T$16-T$19)&gt;=1000</formula>
    </cfRule>
  </conditionalFormatting>
  <conditionalFormatting sqref="U13:U20">
    <cfRule type="expression" dxfId="345" priority="56">
      <formula>ABS(U$16-U$19)&gt;=1000</formula>
    </cfRule>
  </conditionalFormatting>
  <conditionalFormatting sqref="V13:V20">
    <cfRule type="expression" dxfId="344" priority="55">
      <formula>ABS(V$16-V$19)&gt;=1000</formula>
    </cfRule>
  </conditionalFormatting>
  <conditionalFormatting sqref="W13 W20 W15:W18">
    <cfRule type="expression" dxfId="343" priority="54">
      <formula>ABS(W$16-W$19)&gt;=1000</formula>
    </cfRule>
  </conditionalFormatting>
  <conditionalFormatting sqref="X13 X15:X20 Y19">
    <cfRule type="expression" dxfId="342" priority="53">
      <formula>ABS(X$16-X$19)&gt;=1000</formula>
    </cfRule>
  </conditionalFormatting>
  <conditionalFormatting sqref="Y13 Y15:Y18 Y20">
    <cfRule type="expression" dxfId="341" priority="52">
      <formula>ABS(Y$16-Y$19)&gt;=1000</formula>
    </cfRule>
  </conditionalFormatting>
  <conditionalFormatting sqref="Z13:Z20">
    <cfRule type="expression" dxfId="340" priority="51">
      <formula>ABS(Z$16-Z$19)&gt;=1000</formula>
    </cfRule>
  </conditionalFormatting>
  <conditionalFormatting sqref="AA13:AA20">
    <cfRule type="expression" dxfId="339" priority="50">
      <formula>ABS(AA$16-AA$19)&gt;=1000</formula>
    </cfRule>
  </conditionalFormatting>
  <conditionalFormatting sqref="AB13 AB15:AB20">
    <cfRule type="expression" dxfId="338" priority="49">
      <formula>ABS(AB$16-AB$19)&gt;=1000</formula>
    </cfRule>
  </conditionalFormatting>
  <conditionalFormatting sqref="AC13 AC15:AC20">
    <cfRule type="expression" dxfId="337" priority="48">
      <formula>ABS(AC$16-AC$19)&gt;=1000</formula>
    </cfRule>
  </conditionalFormatting>
  <conditionalFormatting sqref="AD13:AD20">
    <cfRule type="expression" dxfId="336" priority="47">
      <formula>ABS(AD$16-AD$19)&gt;=1000</formula>
    </cfRule>
  </conditionalFormatting>
  <conditionalFormatting sqref="AE13:AE20">
    <cfRule type="expression" dxfId="335" priority="46">
      <formula>ABS(AE$16-AE$19)&gt;=1000</formula>
    </cfRule>
  </conditionalFormatting>
  <conditionalFormatting sqref="D22:D29">
    <cfRule type="expression" dxfId="334" priority="45">
      <formula>ABS(D$25-D$28)&gt;=1000</formula>
    </cfRule>
  </conditionalFormatting>
  <conditionalFormatting sqref="E22:E29">
    <cfRule type="expression" dxfId="333" priority="44">
      <formula>ABS(E$25-E$28)&gt;=1000</formula>
    </cfRule>
  </conditionalFormatting>
  <conditionalFormatting sqref="F22:F29">
    <cfRule type="expression" dxfId="332" priority="43">
      <formula>ABS(F$25-F$28)&gt;=1000</formula>
    </cfRule>
  </conditionalFormatting>
  <conditionalFormatting sqref="G22:G29">
    <cfRule type="expression" dxfId="331" priority="42">
      <formula>ABS(G$25-G$28)&gt;=1000</formula>
    </cfRule>
  </conditionalFormatting>
  <conditionalFormatting sqref="H22:H29">
    <cfRule type="expression" dxfId="330" priority="41">
      <formula>ABS(H$25-H$28)&gt;=1000</formula>
    </cfRule>
  </conditionalFormatting>
  <conditionalFormatting sqref="I22 I24:I29">
    <cfRule type="expression" dxfId="329" priority="40">
      <formula>ABS(I$25-I$28)&gt;=1000</formula>
    </cfRule>
  </conditionalFormatting>
  <conditionalFormatting sqref="J22:J29 K22">
    <cfRule type="expression" dxfId="328" priority="39">
      <formula>ABS(J$25-J$28)&gt;=1000</formula>
    </cfRule>
  </conditionalFormatting>
  <conditionalFormatting sqref="K23:K29 L25 L28">
    <cfRule type="expression" dxfId="327" priority="38">
      <formula>ABS(K$25-K$28)&gt;=1000</formula>
    </cfRule>
  </conditionalFormatting>
  <conditionalFormatting sqref="L22 L26:L27 L29 L24">
    <cfRule type="expression" dxfId="326" priority="37">
      <formula>ABS(L$25-L$28)&gt;=1000</formula>
    </cfRule>
  </conditionalFormatting>
  <conditionalFormatting sqref="M22:M29">
    <cfRule type="expression" dxfId="325" priority="36">
      <formula>ABS(M$25-M$28)&gt;=1000</formula>
    </cfRule>
  </conditionalFormatting>
  <conditionalFormatting sqref="N22:N29">
    <cfRule type="expression" dxfId="324" priority="35">
      <formula>ABS(N$25-N$28)&gt;=1000</formula>
    </cfRule>
  </conditionalFormatting>
  <conditionalFormatting sqref="O22:O29">
    <cfRule type="expression" dxfId="323" priority="34">
      <formula>ABS(O$25-O$28)&gt;=1000</formula>
    </cfRule>
  </conditionalFormatting>
  <conditionalFormatting sqref="P22:P29">
    <cfRule type="expression" dxfId="322" priority="33">
      <formula>ABS(P$25-P$28)&gt;=1000</formula>
    </cfRule>
  </conditionalFormatting>
  <conditionalFormatting sqref="Q22:Q29">
    <cfRule type="expression" dxfId="321" priority="32">
      <formula>ABS(Q$25-Q$28)&gt;=1000</formula>
    </cfRule>
  </conditionalFormatting>
  <conditionalFormatting sqref="R22:R29">
    <cfRule type="expression" dxfId="320" priority="31">
      <formula>ABS(R$25-R$28)&gt;=1000</formula>
    </cfRule>
  </conditionalFormatting>
  <conditionalFormatting sqref="S22:S29">
    <cfRule type="expression" dxfId="319" priority="30">
      <formula>ABS(S$25-S$28)&gt;=1000</formula>
    </cfRule>
  </conditionalFormatting>
  <conditionalFormatting sqref="T22:T29">
    <cfRule type="expression" dxfId="318" priority="29">
      <formula>ABS(T$25-T$28)&gt;=1000</formula>
    </cfRule>
  </conditionalFormatting>
  <conditionalFormatting sqref="U22:U29">
    <cfRule type="expression" dxfId="317" priority="28">
      <formula>ABS(U$25-U$28)&gt;=1000</formula>
    </cfRule>
  </conditionalFormatting>
  <conditionalFormatting sqref="V22:V29">
    <cfRule type="expression" dxfId="316" priority="27">
      <formula>ABS(V$25-V$28)&gt;=1000</formula>
    </cfRule>
  </conditionalFormatting>
  <conditionalFormatting sqref="W22:W29">
    <cfRule type="expression" dxfId="315" priority="26">
      <formula>ABS(W$25-W$28)&gt;=1000</formula>
    </cfRule>
  </conditionalFormatting>
  <conditionalFormatting sqref="X22:X29">
    <cfRule type="expression" dxfId="314" priority="25">
      <formula>ABS(X$25-X$28)&gt;=1000</formula>
    </cfRule>
  </conditionalFormatting>
  <conditionalFormatting sqref="Y22:Y29">
    <cfRule type="expression" dxfId="313" priority="24">
      <formula>ABS(Y$25-Y$28)&gt;=1000</formula>
    </cfRule>
  </conditionalFormatting>
  <conditionalFormatting sqref="I23">
    <cfRule type="expression" dxfId="312" priority="23">
      <formula>ABS(I$25-I$28)&gt;=1000</formula>
    </cfRule>
  </conditionalFormatting>
  <conditionalFormatting sqref="Q14">
    <cfRule type="expression" dxfId="311" priority="22">
      <formula>ABS(Q$16-Q$19)&gt;=1000</formula>
    </cfRule>
  </conditionalFormatting>
  <conditionalFormatting sqref="W14">
    <cfRule type="expression" dxfId="310" priority="21">
      <formula>ABS(W$16-W$19)&gt;=1000</formula>
    </cfRule>
  </conditionalFormatting>
  <conditionalFormatting sqref="X14">
    <cfRule type="expression" dxfId="309" priority="20">
      <formula>ABS(X$16-X$19)&gt;=1000</formula>
    </cfRule>
  </conditionalFormatting>
  <conditionalFormatting sqref="T10:Y10">
    <cfRule type="expression" dxfId="308" priority="19">
      <formula>ABS(T$7-T$10)&gt;=1000</formula>
    </cfRule>
  </conditionalFormatting>
  <conditionalFormatting sqref="W19">
    <cfRule type="expression" dxfId="307" priority="18">
      <formula>ABS(W$16-W$19)&gt;=1000</formula>
    </cfRule>
  </conditionalFormatting>
  <conditionalFormatting sqref="AC5">
    <cfRule type="expression" dxfId="306" priority="17">
      <formula>ABS(AC$7-AC$10)&gt;=1000</formula>
    </cfRule>
  </conditionalFormatting>
  <conditionalFormatting sqref="M14">
    <cfRule type="expression" dxfId="305" priority="16">
      <formula>ABS(M$16-M$19)&gt;=1000</formula>
    </cfRule>
  </conditionalFormatting>
  <conditionalFormatting sqref="M16">
    <cfRule type="expression" dxfId="304" priority="15">
      <formula>ABS(M$16-M$19)&gt;=1000</formula>
    </cfRule>
  </conditionalFormatting>
  <conditionalFormatting sqref="M19">
    <cfRule type="expression" dxfId="303" priority="14">
      <formula>ABS(M$16-M$19)&gt;=1000</formula>
    </cfRule>
  </conditionalFormatting>
  <conditionalFormatting sqref="K13:K20">
    <cfRule type="expression" dxfId="302" priority="13">
      <formula>ABS(K$16-K$19)&gt;=1000</formula>
    </cfRule>
  </conditionalFormatting>
  <conditionalFormatting sqref="E5">
    <cfRule type="expression" dxfId="301" priority="12">
      <formula>ABS(E$7-E$10)&gt;=1000</formula>
    </cfRule>
  </conditionalFormatting>
  <conditionalFormatting sqref="AB14:AC14">
    <cfRule type="expression" dxfId="300" priority="11">
      <formula>ABS(AB$16-AB$19)&gt;=1000</formula>
    </cfRule>
  </conditionalFormatting>
  <conditionalFormatting sqref="M5">
    <cfRule type="expression" dxfId="299" priority="10">
      <formula>ABS(M$7-M$10)&gt;=1000</formula>
    </cfRule>
  </conditionalFormatting>
  <conditionalFormatting sqref="N5">
    <cfRule type="expression" dxfId="298" priority="9">
      <formula>ABS(N$7-N$10)&gt;=1000</formula>
    </cfRule>
  </conditionalFormatting>
  <conditionalFormatting sqref="O5">
    <cfRule type="expression" dxfId="297" priority="8">
      <formula>ABS(O$7-O$10)&gt;=1000</formula>
    </cfRule>
  </conditionalFormatting>
  <conditionalFormatting sqref="P5">
    <cfRule type="expression" dxfId="296" priority="7">
      <formula>ABS(P$7-P$10)&gt;=1000</formula>
    </cfRule>
  </conditionalFormatting>
  <conditionalFormatting sqref="L23">
    <cfRule type="expression" dxfId="295" priority="6">
      <formula>ABS(L$25-L$28)&gt;=1000</formula>
    </cfRule>
  </conditionalFormatting>
  <conditionalFormatting sqref="Y14">
    <cfRule type="expression" dxfId="294" priority="5">
      <formula>ABS(Y$16-Y$19)&gt;=1000</formula>
    </cfRule>
  </conditionalFormatting>
  <conditionalFormatting sqref="F14">
    <cfRule type="expression" dxfId="293" priority="4">
      <formula>ABS(F$16-F$19)&gt;=1000</formula>
    </cfRule>
  </conditionalFormatting>
  <conditionalFormatting sqref="H14">
    <cfRule type="expression" dxfId="292" priority="3">
      <formula>ABS(H$16-H$19)&gt;=1000</formula>
    </cfRule>
  </conditionalFormatting>
  <conditionalFormatting sqref="AD5">
    <cfRule type="expression" dxfId="291" priority="2">
      <formula>ABS(AD$7-AD$10)&gt;=1000</formula>
    </cfRule>
  </conditionalFormatting>
  <conditionalFormatting sqref="AE5">
    <cfRule type="expression" dxfId="29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53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7">
    <pageSetUpPr fitToPage="1"/>
  </sheetPr>
  <dimension ref="A1:CU223"/>
  <sheetViews>
    <sheetView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46051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9" t="s" ph="1">
        <v>177</v>
      </c>
      <c r="D6" s="71">
        <v>6298</v>
      </c>
      <c r="E6" s="71">
        <v>0</v>
      </c>
      <c r="F6" s="71">
        <v>4140</v>
      </c>
      <c r="G6" s="71">
        <v>2680</v>
      </c>
      <c r="H6" s="71">
        <v>2260</v>
      </c>
      <c r="I6" s="71">
        <v>0.09</v>
      </c>
      <c r="J6" s="71">
        <v>6.59</v>
      </c>
      <c r="K6" s="71">
        <v>66.11</v>
      </c>
      <c r="L6" s="71">
        <v>21.07</v>
      </c>
      <c r="M6" s="71">
        <v>1364</v>
      </c>
      <c r="N6" s="71">
        <v>4325</v>
      </c>
      <c r="O6" s="71">
        <v>246</v>
      </c>
      <c r="P6" s="71">
        <v>2404</v>
      </c>
      <c r="Q6" s="71">
        <v>2721</v>
      </c>
      <c r="R6" s="71">
        <v>2893</v>
      </c>
      <c r="S6" s="71">
        <v>0</v>
      </c>
      <c r="T6" s="71">
        <v>0</v>
      </c>
      <c r="U6" s="71">
        <v>0</v>
      </c>
      <c r="V6" s="71">
        <v>3667</v>
      </c>
      <c r="W6" s="71">
        <v>6985</v>
      </c>
      <c r="X6" s="71">
        <v>7045</v>
      </c>
      <c r="Y6" s="71">
        <v>4642</v>
      </c>
      <c r="Z6" s="71">
        <v>4653</v>
      </c>
      <c r="AA6" s="71">
        <v>3991</v>
      </c>
      <c r="AB6" s="71">
        <v>5132</v>
      </c>
      <c r="AC6" s="71">
        <v>6984</v>
      </c>
      <c r="AD6" s="71">
        <v>4780</v>
      </c>
      <c r="AE6" s="71">
        <v>3850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198472.42147445999</v>
      </c>
      <c r="E7" s="73" ph="1">
        <f>E6*51.53*LOOKUP(E8,密度!$A$2:$A$50,密度!$B$2:$B$50)</f>
        <v>0</v>
      </c>
      <c r="F7" s="73" ph="1">
        <f>F6*33.183*LOOKUP(F8,密度!$A$2:$A$50,密度!$C$2:$C$50)</f>
        <v>153203.521824</v>
      </c>
      <c r="G7" s="73" ph="1">
        <f xml:space="preserve"> (G6+2)*51.53*LOOKUP(G8,密度!$A$2:$A$50,密度!$B$2:$B$50)</f>
        <v>108904.32648</v>
      </c>
      <c r="H7" s="73" ph="1">
        <f>(H6)*51.53*LOOKUP(H8,密度!$A$2:$A$50,密度!$B$2:$B$50)</f>
        <v>91966.724659999993</v>
      </c>
      <c r="I7" s="73" ph="1">
        <f>I6*290.8*1.0267</f>
        <v>26.870792399999999</v>
      </c>
      <c r="J7" s="73" ph="1">
        <f>J6*290.8*0.7892</f>
        <v>1512.4007824</v>
      </c>
      <c r="K7" s="73" ph="1">
        <f>K6*290.8*1.1126</f>
        <v>21389.499128800002</v>
      </c>
      <c r="L7" s="73" ph="1">
        <f>L6*290.8*0.777</f>
        <v>4760.8002120000001</v>
      </c>
      <c r="M7" s="73" ph="1">
        <f>M6*33.183*LOOKUP(M8,密度!$A$2:$A$50,密度!$D$2:$D$50)</f>
        <v>46872.925387200004</v>
      </c>
      <c r="N7" s="73" ph="1">
        <f>N6*33.183*LOOKUP(N8,密度!$A$2:$A$50,密度!$E$2:$E$50)</f>
        <v>113578.93831500001</v>
      </c>
      <c r="O7" s="73" ph="1">
        <f>O6*20.428*LOOKUP(O8,密度!$A$2:$A$50,密度!$C$2:$C$50)</f>
        <v>5597.6683032000001</v>
      </c>
      <c r="P7" s="73" ph="1">
        <f>P6*51.53*LOOKUP(P8,密度!$A$2:$A$50,密度!$B$2:$B$50)</f>
        <v>97727.448868000007</v>
      </c>
      <c r="Q7" s="73" ph="1">
        <f>Q6*1.5*1.5*3.1416*LOOKUP(W8,密度!$A$2:$A$50,密度!$L$2:$L$50)</f>
        <v>18156.575606399998</v>
      </c>
      <c r="R7" s="73" ph="1">
        <f>R6*1.5*1.5*3.1416*LOOKUP(R8,密度!$A$2:$A$50,密度!$L$2:$L$50)</f>
        <v>19263.391131600001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24417.163940399998</v>
      </c>
      <c r="W7" s="73" ph="1">
        <f>W6*1.5*1.5*3.1416*LOOKUP(W8,密度!$A$2:$A$50,密度!$L$2:$L$50)</f>
        <v>46609.217424000002</v>
      </c>
      <c r="X7" s="73" ph="1">
        <f>X6*1.5*1.5*3.1416*LOOKUP(X8,密度!$A$2:$A$50,密度!$L$2:$L$50)</f>
        <v>47507.565797999996</v>
      </c>
      <c r="Y7" s="73" ph="1">
        <f>Y6*1.5*1.5*3.1416*LOOKUP(Y8,密度!$A$2:$A$50,密度!$L$2:$L$50)</f>
        <v>30974.944492800001</v>
      </c>
      <c r="Z7" s="73" ph="1">
        <f>Z6*33.183*LOOKUP(Z8,密度!$A$2:$A$50,密度!$L$2:$L$50)</f>
        <v>146217.27255300002</v>
      </c>
      <c r="AA7" s="73" ph="1">
        <f>AA6*33.183*LOOKUP(AA8,密度!$A$2:$A$50,密度!$D$2:$D$50)</f>
        <v>137147.98036680001</v>
      </c>
      <c r="AB7" s="73" ph="1">
        <f>AB6*20.428*LOOKUP(AB8,密度!$A$2:$A$50,密度!$D$2:$D$50)</f>
        <v>109218.6615328</v>
      </c>
      <c r="AC7" s="73" ph="1">
        <f>AC6*51.53*LOOKUP(AC8,密度!$A$2:$A$50,密度!$Q$2:$Q$50)</f>
        <v>343525.12426080002</v>
      </c>
      <c r="AD7" s="73" ph="1">
        <f>AD6*20.428*LOOKUP(AD8,密度!$A$2:$A$50,密度!$V$2:$V$50)</f>
        <v>94130.589760000003</v>
      </c>
      <c r="AE7" s="73" ph="1">
        <f>AE6*20.428</f>
        <v>78647.8</v>
      </c>
    </row>
    <row r="8" spans="1:99" ph="1">
      <c r="B8" s="191" ph="1"/>
      <c r="C8" s="68" t="s" ph="1">
        <v>179</v>
      </c>
      <c r="D8" s="74">
        <v>21</v>
      </c>
      <c r="E8" s="74">
        <v>15</v>
      </c>
      <c r="F8" s="74">
        <v>16</v>
      </c>
      <c r="G8" s="74">
        <v>15</v>
      </c>
      <c r="H8" s="74">
        <v>13</v>
      </c>
      <c r="I8" s="74">
        <v>25</v>
      </c>
      <c r="J8" s="74">
        <v>25</v>
      </c>
      <c r="K8" s="74">
        <v>25</v>
      </c>
      <c r="L8" s="74">
        <v>25</v>
      </c>
      <c r="M8" s="74">
        <v>15</v>
      </c>
      <c r="N8" s="74">
        <v>18</v>
      </c>
      <c r="O8" s="74">
        <v>18</v>
      </c>
      <c r="P8" s="74">
        <v>14</v>
      </c>
      <c r="Q8" s="74">
        <v>18</v>
      </c>
      <c r="R8" s="74">
        <v>20</v>
      </c>
      <c r="S8" s="74">
        <v>12</v>
      </c>
      <c r="T8" s="74">
        <v>11</v>
      </c>
      <c r="U8" s="74">
        <v>15</v>
      </c>
      <c r="V8" s="74">
        <v>20</v>
      </c>
      <c r="W8" s="74">
        <v>18</v>
      </c>
      <c r="X8" s="74">
        <v>8</v>
      </c>
      <c r="Y8" s="74">
        <v>18</v>
      </c>
      <c r="Z8" s="74">
        <v>15</v>
      </c>
      <c r="AA8" s="74">
        <v>15</v>
      </c>
      <c r="AB8" s="74">
        <v>8</v>
      </c>
      <c r="AC8" s="74">
        <v>13</v>
      </c>
      <c r="AD8" s="74">
        <v>14</v>
      </c>
      <c r="AE8" s="74">
        <v>18</v>
      </c>
    </row>
    <row r="9" spans="1:99" ph="1">
      <c r="B9" s="191" ph="1">
        <v>0.66666666666666663</v>
      </c>
      <c r="C9" s="169" t="s" ph="1">
        <v>180</v>
      </c>
      <c r="D9" s="71">
        <v>6296</v>
      </c>
      <c r="E9" s="71">
        <v>86</v>
      </c>
      <c r="F9" s="71">
        <v>4794</v>
      </c>
      <c r="G9" s="71">
        <v>2795</v>
      </c>
      <c r="H9" s="71">
        <v>1984</v>
      </c>
      <c r="I9" s="71">
        <v>7.0000000000000007E-2</v>
      </c>
      <c r="J9" s="71">
        <v>6.65</v>
      </c>
      <c r="K9" s="71">
        <v>16.329999999999998</v>
      </c>
      <c r="L9" s="71">
        <v>0</v>
      </c>
      <c r="M9" s="71">
        <v>791</v>
      </c>
      <c r="N9" s="71">
        <v>4329</v>
      </c>
      <c r="O9" s="71">
        <v>1155</v>
      </c>
      <c r="P9" s="71">
        <v>1998</v>
      </c>
      <c r="Q9" s="71">
        <v>5218</v>
      </c>
      <c r="R9" s="71">
        <v>5769</v>
      </c>
      <c r="S9" s="71">
        <v>0</v>
      </c>
      <c r="T9" s="71">
        <v>0</v>
      </c>
      <c r="U9" s="71">
        <v>0</v>
      </c>
      <c r="V9" s="71">
        <v>1721</v>
      </c>
      <c r="W9" s="71">
        <v>6994</v>
      </c>
      <c r="X9" s="71">
        <v>7054</v>
      </c>
      <c r="Y9" s="71">
        <v>4648</v>
      </c>
      <c r="Z9" s="71">
        <v>5033</v>
      </c>
      <c r="AA9" s="71">
        <v>3990</v>
      </c>
      <c r="AB9" s="71">
        <v>4978</v>
      </c>
      <c r="AC9" s="71">
        <v>6988</v>
      </c>
      <c r="AD9" s="71">
        <v>4780</v>
      </c>
      <c r="AE9" s="71">
        <v>3765</v>
      </c>
    </row>
    <row r="10" spans="1:99" s="72" customFormat="1" ht="22.5" ph="1">
      <c r="B10" s="191" ph="1"/>
      <c r="C10" s="169" t="s" ph="1">
        <v>178</v>
      </c>
      <c r="D10" s="73" ph="1">
        <f>D9*33.183*LOOKUP(D11,密度!$A$2:$A$50,密度!$Q$2:$Q$50)</f>
        <v>198284.04224712</v>
      </c>
      <c r="E10" s="73" ph="1">
        <f>E9*51.53*LOOKUP(E11,密度!$A$2:$A$50,密度!$B$2:$B$50)</f>
        <v>3474.8018780000002</v>
      </c>
      <c r="F10" s="73" ph="1">
        <f>F9*33.183*LOOKUP(F11,密度!$A$2:$A$50,密度!$C$2:$C$50)</f>
        <v>177198.43449779999</v>
      </c>
      <c r="G10" s="73" ph="1">
        <f xml:space="preserve"> (G9+2)*51.53*LOOKUP(G11,密度!$A$2:$A$50,密度!$B$2:$B$50)</f>
        <v>113343.368024</v>
      </c>
      <c r="H10" s="73" ph="1">
        <f>(H9)*51.53*LOOKUP(H11,密度!$A$2:$A$50,密度!$B$2:$B$50)</f>
        <v>80479.801344000007</v>
      </c>
      <c r="I10" s="73" ph="1">
        <f>I9*290.8*1.0267</f>
        <v>20.8995052</v>
      </c>
      <c r="J10" s="73" ph="1">
        <f>J9*290.8*0.7892</f>
        <v>1526.1707440000002</v>
      </c>
      <c r="K10" s="73" ph="1">
        <f>K9*290.8*1.1126</f>
        <v>5283.4748264</v>
      </c>
      <c r="L10" s="73" ph="1">
        <f>L9*290.8*0.777</f>
        <v>0</v>
      </c>
      <c r="M10" s="73" ph="1">
        <f>M9*33.183*LOOKUP(M11,密度!$A$2:$A$50,密度!$D$2:$D$50)</f>
        <v>27116.553624299999</v>
      </c>
      <c r="N10" s="73" ph="1">
        <f>N9*33.183*LOOKUP(N11,密度!$A$2:$A$50,密度!$E$2:$E$50)</f>
        <v>113683.9824198</v>
      </c>
      <c r="O10" s="73" ph="1">
        <f>O9*20.428*LOOKUP(O11,密度!$A$2:$A$50,密度!$C$2:$C$50)</f>
        <v>26163.763626</v>
      </c>
      <c r="P10" s="73" ph="1">
        <f>P9*51.53*LOOKUP(P11,密度!$A$2:$A$50,密度!$B$2:$B$50)</f>
        <v>80893.267758000002</v>
      </c>
      <c r="Q10" s="73" ph="1">
        <f>Q9*1.5*1.5*3.1416*LOOKUP(W11,密度!$A$2:$A$50,密度!$L$2:$L$50)</f>
        <v>34818.453331199999</v>
      </c>
      <c r="R10" s="73" ph="1">
        <f>R9*1.5*1.5*3.1416*LOOKUP(R11,密度!$A$2:$A$50,密度!$L$2:$L$50)</f>
        <v>38209.691935800001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11410.826842799999</v>
      </c>
      <c r="W10" s="73" ph="1">
        <f>W9*1.5*1.5*3.1416*LOOKUP(W11,密度!$A$2:$A$50,密度!$L$2:$L$50)</f>
        <v>46669.272249599999</v>
      </c>
      <c r="X10" s="73" ph="1">
        <f>X9*1.5*1.5*3.1416*LOOKUP(X11,密度!$A$2:$A$50,密度!$L$2:$L$50)</f>
        <v>47468.532988799998</v>
      </c>
      <c r="Y10" s="73" ph="1">
        <f>Y9*1.5*1.5*3.1416*LOOKUP(Y11,密度!$A$2:$A$50,密度!$L$2:$L$50)</f>
        <v>30982.126190399998</v>
      </c>
      <c r="Z10" s="73" ph="1">
        <f>Z9*33.183*LOOKUP(Z11,密度!$A$2:$A$50,密度!$L$2:$L$50)</f>
        <v>157824.486855</v>
      </c>
      <c r="AA10" s="73" ph="1">
        <f>AA9*33.183*LOOKUP(AA11,密度!$A$2:$A$50,密度!$D$2:$D$50)</f>
        <v>136663.45547400002</v>
      </c>
      <c r="AB10" s="73" ph="1">
        <f>AB9*20.428*LOOKUP(AB11,密度!$A$2:$A$50,密度!$D$2:$D$50)</f>
        <v>105758.20736</v>
      </c>
      <c r="AC10" s="73" ph="1">
        <f>AC9*51.53*LOOKUP(AC11,密度!$A$2:$A$50,密度!$Q$2:$Q$50)</f>
        <v>343095.31459199998</v>
      </c>
      <c r="AD10" s="73" ph="1">
        <f>AD9*20.428*LOOKUP(AD11,密度!$A$2:$A$50,密度!$V$2:$V$50)</f>
        <v>94130.589760000003</v>
      </c>
      <c r="AE10" s="73" ph="1">
        <f>AE9*20.428</f>
        <v>76911.42</v>
      </c>
    </row>
    <row r="11" spans="1:99" ph="1">
      <c r="A11" s="64" t="s" ph="1">
        <v>162</v>
      </c>
      <c r="B11" s="191" ph="1"/>
      <c r="C11" s="169" t="s" ph="1">
        <v>179</v>
      </c>
      <c r="D11" s="74">
        <v>22</v>
      </c>
      <c r="E11" s="74">
        <v>20</v>
      </c>
      <c r="F11" s="74">
        <v>18</v>
      </c>
      <c r="G11" s="74">
        <v>17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18</v>
      </c>
      <c r="N11" s="74">
        <v>18</v>
      </c>
      <c r="O11" s="74">
        <v>25</v>
      </c>
      <c r="P11" s="74">
        <v>18</v>
      </c>
      <c r="Q11" s="74">
        <v>20</v>
      </c>
      <c r="R11" s="74">
        <v>25</v>
      </c>
      <c r="S11" s="74">
        <v>16</v>
      </c>
      <c r="T11" s="74">
        <v>19</v>
      </c>
      <c r="U11" s="74">
        <v>20</v>
      </c>
      <c r="V11" s="74">
        <v>24</v>
      </c>
      <c r="W11" s="74">
        <v>18</v>
      </c>
      <c r="X11" s="74">
        <v>10</v>
      </c>
      <c r="Y11" s="74">
        <v>19</v>
      </c>
      <c r="Z11" s="74">
        <v>17</v>
      </c>
      <c r="AA11" s="74">
        <v>19</v>
      </c>
      <c r="AB11" s="74">
        <v>10</v>
      </c>
      <c r="AC11" s="74">
        <v>17</v>
      </c>
      <c r="AD11" s="74">
        <v>17</v>
      </c>
      <c r="AE11" s="74">
        <v>21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249" t="s" ph="1">
        <v>649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9" t="s" ph="1">
        <v>177</v>
      </c>
      <c r="D15" s="78">
        <v>5976</v>
      </c>
      <c r="E15" s="78">
        <v>6400</v>
      </c>
      <c r="F15" s="78">
        <v>4560</v>
      </c>
      <c r="G15" s="78">
        <v>2909</v>
      </c>
      <c r="H15" s="78">
        <v>5381</v>
      </c>
      <c r="I15" s="78">
        <v>5212</v>
      </c>
      <c r="J15" s="78">
        <v>2007</v>
      </c>
      <c r="K15" s="78">
        <v>4421</v>
      </c>
      <c r="L15" s="78">
        <v>3074</v>
      </c>
      <c r="M15" s="78">
        <v>3714</v>
      </c>
      <c r="N15" s="78">
        <v>975</v>
      </c>
      <c r="O15" s="78">
        <v>5338</v>
      </c>
      <c r="P15" s="78">
        <v>6969</v>
      </c>
      <c r="Q15" s="78">
        <v>7001</v>
      </c>
      <c r="R15" s="78">
        <v>7334</v>
      </c>
      <c r="S15" s="78">
        <v>6390</v>
      </c>
      <c r="T15" s="78">
        <v>1959</v>
      </c>
      <c r="U15" s="78">
        <v>6084</v>
      </c>
      <c r="V15" s="78">
        <v>4989</v>
      </c>
      <c r="W15" s="71">
        <v>-817</v>
      </c>
      <c r="X15" s="78">
        <v>404</v>
      </c>
      <c r="Y15" s="106">
        <v>-9900</v>
      </c>
      <c r="Z15" s="78">
        <v>0</v>
      </c>
      <c r="AA15" s="78">
        <v>11</v>
      </c>
      <c r="AB15" s="78" ph="1">
        <v>6939</v>
      </c>
      <c r="AC15" s="78" ph="1">
        <v>2140</v>
      </c>
      <c r="AD15" s="78">
        <v>5.28</v>
      </c>
      <c r="AE15" s="78">
        <v>36.04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9" t="s" ph="1">
        <v>178</v>
      </c>
      <c r="D16" s="73" ph="1">
        <f>D15*7.0686*LOOKUP(D17,密度!$A$2:$A$50,密度!$L$2:$L$50)</f>
        <v>40003.130059199997</v>
      </c>
      <c r="E16" s="73" ph="1">
        <f>E15*7.0686*LOOKUP(E17,密度!$A$2:$A$50,密度!$L$2:$L$50)</f>
        <v>42841.370880000002</v>
      </c>
      <c r="F16" s="73" ph="1">
        <f>F15*9.0746*LOOKUP(F17,密度!$A$2:$A$50,密度!$L$2:$L$50)</f>
        <v>38897.365439999994</v>
      </c>
      <c r="G16" s="73" ph="1">
        <f>G15*9.0746*LOOKUP(G17,密度!$A$2:$A$50,密度!$B$2:$B$50)</f>
        <v>20740.917556979999</v>
      </c>
      <c r="H16" s="73" ph="1">
        <f>H15*9.0746*LOOKUP(H17,密度!$A$2:$A$50,密度!$L$2:$L$50)</f>
        <v>46437.731892599993</v>
      </c>
      <c r="I16" s="73" ph="1">
        <f>I15*9.0746*LOOKUP(I17,密度!$A$2:$A$50,密度!$U$2:$U$50)</f>
        <v>48621.126025600002</v>
      </c>
      <c r="J16" s="73" ph="1">
        <f>J15*9.0746*LOOKUP(J17,密度!$A$2:$A$50,密度!$L$2:$L$50)</f>
        <v>17156.384312399998</v>
      </c>
      <c r="K16" s="73" ph="1">
        <f>K15*9.0746*LOOKUP(K17,密度!$A$2:$A$50,密度!$C$2:$C$50)</f>
        <v>44740.493120320003</v>
      </c>
      <c r="L16" s="73" ph="1">
        <f>L15*9.0746*LOOKUP(L17,密度!$A$2:$A$50,密度!$E$2:$E$50)</f>
        <v>22137.726269439998</v>
      </c>
      <c r="M16" s="73" ph="1">
        <f>M15*9.0746*LOOKUP(M17,密度!$A$2:$A$50,密度!$M$2:$M$50)</f>
        <v>29668.807591320001</v>
      </c>
      <c r="N16" s="73" ph="1">
        <f>N15*9.0746*LOOKUP(N17,密度!$A$2:$A$50,密度!$M$2:$M$50)</f>
        <v>7788.6611204999999</v>
      </c>
      <c r="O16" s="73" ph="1">
        <f>O15*9.0746*LOOKUP(O17,密度!$A$2:$A$50,密度!$G$2:$G$50)</f>
        <v>46890.127926399997</v>
      </c>
      <c r="P16" s="73" ph="1">
        <f ca="1">P15*9.0746*LOOKUP(P17,密度!$A$2:$A$51,密度!$Q$2:$Q$50)</f>
        <v>60255.91751472</v>
      </c>
      <c r="Q16" s="73" ph="1">
        <f>Q15*9.0746*LOOKUP(Q17,密度!$A$2:$A$50,密度!$Q$2:$Q$50)</f>
        <v>60643.142856684004</v>
      </c>
      <c r="R16" s="73" ph="1">
        <f>MAX(R15*9.0746*LOOKUP(R17,密度!$A$2:$A$50,密度!$B$2:$B$50),0)</f>
        <v>52290.783555479997</v>
      </c>
      <c r="S16" s="73" ph="1">
        <f>S15*9.0746*LOOKUP(S17,密度!$A$2:$A$50,密度!$Q$2:$Q$50)</f>
        <v>55350.618890760008</v>
      </c>
      <c r="T16" s="73" ph="1">
        <f>T15*9.0746*LOOKUP(T17,密度!$A$2:$A$50,密度!$O$2:$O$50)</f>
        <v>16603.8500676</v>
      </c>
      <c r="U16" s="73" ph="1">
        <f>U15*9.0746*LOOKUP(U17,密度!$A$2:$A$50,密度!$H$2:$H$50)</f>
        <v>51218.193059279998</v>
      </c>
      <c r="V16" s="73" ph="1">
        <f>MAX(5600*LOOKUP(V17,密度!$A$2:$A$50,密度!$Q$2:$Q$50)+V15*9.0476*LOOKUP(V17,密度!$A$2:$A$50,密度!$Q$2:$Q$50),0)</f>
        <v>48431.905262856002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9616.1843855999978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78.828327819999998</v>
      </c>
      <c r="AB16" s="73" ph="1">
        <f>AB15*9.0746*LOOKUP(AB17,密度!$A$2:$A$50,密度!$L$2:$L$50)</f>
        <v>59505.373682999998</v>
      </c>
      <c r="AC16" s="73" ph="1">
        <f>AC15*9.0746*LOOKUP(AC17,密度!$A$2:$A$50,密度!$L$2:$L$50)</f>
        <v>18409.822511999999</v>
      </c>
      <c r="AD16" s="73" ph="1">
        <f>AD15*268.68*LOOKUP(AD17,密度!$A$2:$A$50,密度!B2:B50)+IF(AD15&lt;=0,0,1566*LOOKUP(AD17,密度!$A$2:$A$50,密度!B2:B50))</f>
        <v>2326.81785984</v>
      </c>
      <c r="AE16" s="73" ph="1">
        <f>AE15*268.68*LOOKUP(AE17,密度!$A$2:$A$50,密度!B2:B50)+IF(AE15&lt;=0,0,1566*LOOKUP(AE17,密度!$A$2:$A$50,密度!B2:B50))</f>
        <v>8769.897525119999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15</v>
      </c>
      <c r="E17" s="74">
        <v>15</v>
      </c>
      <c r="F17" s="74">
        <v>22</v>
      </c>
      <c r="G17" s="74">
        <v>18</v>
      </c>
      <c r="H17" s="74">
        <v>11</v>
      </c>
      <c r="I17" s="74">
        <v>12</v>
      </c>
      <c r="J17" s="74">
        <v>20</v>
      </c>
      <c r="K17" s="74">
        <v>16</v>
      </c>
      <c r="L17" s="74">
        <v>16</v>
      </c>
      <c r="M17" s="74">
        <v>17</v>
      </c>
      <c r="N17" s="74">
        <v>15</v>
      </c>
      <c r="O17" s="74">
        <v>18</v>
      </c>
      <c r="P17" s="74">
        <v>17</v>
      </c>
      <c r="Q17" s="74">
        <v>15</v>
      </c>
      <c r="R17" s="74">
        <v>18</v>
      </c>
      <c r="S17" s="74">
        <v>15</v>
      </c>
      <c r="T17" s="74">
        <v>17</v>
      </c>
      <c r="U17" s="74">
        <v>12</v>
      </c>
      <c r="V17" s="74">
        <v>15</v>
      </c>
      <c r="W17" s="74">
        <v>17</v>
      </c>
      <c r="X17" s="74">
        <v>28</v>
      </c>
      <c r="Y17" s="108">
        <v>28</v>
      </c>
      <c r="Z17" s="74">
        <v>15</v>
      </c>
      <c r="AA17" s="74">
        <v>13</v>
      </c>
      <c r="AB17" s="74">
        <v>17</v>
      </c>
      <c r="AC17" s="74">
        <v>14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5991</v>
      </c>
      <c r="E18" s="71">
        <v>5981</v>
      </c>
      <c r="F18" s="71">
        <v>4558</v>
      </c>
      <c r="G18" s="71">
        <v>2969</v>
      </c>
      <c r="H18" s="71">
        <v>5385</v>
      </c>
      <c r="I18" s="71">
        <v>5215</v>
      </c>
      <c r="J18" s="71">
        <v>4605</v>
      </c>
      <c r="K18" s="71">
        <v>4434</v>
      </c>
      <c r="L18" s="71">
        <v>3078</v>
      </c>
      <c r="M18" s="71">
        <v>3723</v>
      </c>
      <c r="N18" s="71">
        <v>974</v>
      </c>
      <c r="O18" s="71">
        <v>5341</v>
      </c>
      <c r="P18" s="71">
        <v>6980</v>
      </c>
      <c r="Q18" s="71">
        <v>5246</v>
      </c>
      <c r="R18" s="71">
        <v>7345</v>
      </c>
      <c r="S18" s="71">
        <v>6398</v>
      </c>
      <c r="T18" s="71">
        <v>1109</v>
      </c>
      <c r="U18" s="71">
        <v>6088</v>
      </c>
      <c r="V18" s="71">
        <v>4989</v>
      </c>
      <c r="W18" s="71">
        <v>-568</v>
      </c>
      <c r="X18" s="71">
        <v>403</v>
      </c>
      <c r="Y18" s="109">
        <v>-9902</v>
      </c>
      <c r="Z18" s="71">
        <v>0</v>
      </c>
      <c r="AA18" s="71">
        <v>10</v>
      </c>
      <c r="AB18" s="71">
        <v>6947</v>
      </c>
      <c r="AC18" s="71">
        <v>2141</v>
      </c>
      <c r="AD18" s="71">
        <v>7.98</v>
      </c>
      <c r="AE18" s="71">
        <v>84.91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9" t="s" ph="1">
        <v>178</v>
      </c>
      <c r="D19" s="73" ph="1">
        <f>D18*7.0686*LOOKUP(D20,密度!$A$2:$A$50,密度!$L$2:$L$50)</f>
        <v>39934.1475918</v>
      </c>
      <c r="E19" s="73" ph="1">
        <f>E18*7.0686*LOOKUP(E20,密度!$A$2:$A$50,密度!$L$2:$L$50)</f>
        <v>39867.490693799999</v>
      </c>
      <c r="F19" s="73" ph="1">
        <f>F18*9.0746*LOOKUP(F20,密度!$A$2:$A$50,密度!$L$2:$L$50)</f>
        <v>38756.219111600003</v>
      </c>
      <c r="G19" s="73" ph="1">
        <f>G18*9.0746*LOOKUP(G20,密度!$A$2:$A$50,密度!$B$2:$B$50)</f>
        <v>21147.158360260004</v>
      </c>
      <c r="H19" s="73" ph="1">
        <f>H18*9.0746*LOOKUP(H20,密度!$A$2:$A$50,密度!$L$2:$L$50)</f>
        <v>46325.651507999995</v>
      </c>
      <c r="I19" s="73" ph="1">
        <f>I18*9.0746*LOOKUP(I20,密度!$A$2:$A$50,密度!$U$2:$U$50)</f>
        <v>48649.112092000003</v>
      </c>
      <c r="J19" s="73" ph="1">
        <f>J18*9.0746*LOOKUP(J20,密度!$A$2:$A$50,密度!$L$2:$L$50)</f>
        <v>39323.009553000004</v>
      </c>
      <c r="K19" s="73" ph="1">
        <f>K18*9.0746*LOOKUP(K20,密度!$A$2:$A$50,密度!$C$2:$C$50)</f>
        <v>44767.437422640003</v>
      </c>
      <c r="L19" s="73" ph="1">
        <f>L18*9.0746*LOOKUP(L20,密度!$A$2:$A$50,密度!$E$2:$E$50)</f>
        <v>22105.083118319999</v>
      </c>
      <c r="M19" s="73" ph="1">
        <f>M18*9.0746*LOOKUP(M20,密度!$A$2:$A$50,密度!$M$2:$M$50)</f>
        <v>29740.702924740002</v>
      </c>
      <c r="N19" s="73" ph="1">
        <f>N18*9.0746*LOOKUP(N20,密度!$A$2:$A$50,密度!$M$2:$M$50)</f>
        <v>7780.6727501200003</v>
      </c>
      <c r="O19" s="73" ph="1">
        <f>O18*9.0746*LOOKUP(O20,密度!$A$2:$A$50,密度!$G$2:$G$50)</f>
        <v>46814.698943739997</v>
      </c>
      <c r="P19" s="73" ph="1">
        <f ca="1">P18*9.0746*LOOKUP(P20,密度!$A$2:$A$51,密度!$Q$2:$Q$50)</f>
        <v>60197.742069039996</v>
      </c>
      <c r="Q19" s="73" ph="1">
        <f>Q18*9.0746*LOOKUP(Q20,密度!$A$2:$A$50,密度!$Q$2:$Q$50)</f>
        <v>45283.638602468003</v>
      </c>
      <c r="R19" s="73" ph="1">
        <f>MAX(R18*9.0746*LOOKUP(R20,密度!$A$2:$A$50,密度!$B$2:$B$50),0)</f>
        <v>52202.580258400005</v>
      </c>
      <c r="S19" s="73" ph="1">
        <f>S18*9.0746*LOOKUP(S20,密度!$A$2:$A$50,密度!$Q$2:$Q$50)</f>
        <v>55227.739187684005</v>
      </c>
      <c r="T19" s="73" ph="1">
        <f>T18*9.0746*LOOKUP(T20,密度!$A$2:$A$50,密度!$O$2:$O$50)</f>
        <v>9319.0152764000013</v>
      </c>
      <c r="U19" s="73" ph="1">
        <f>U18*9.0746*LOOKUP(U20,密度!$A$2:$A$50,密度!$H$2:$H$50)</f>
        <v>51086.128590559994</v>
      </c>
      <c r="V19" s="73" ph="1">
        <f>MAX(5600*LOOKUP(V20,密度!$A$2:$A$50,密度!$Q$2:$Q$50)+V18*9.0476*LOOKUP(V20,密度!$A$2:$A$50,密度!$Q$2:$Q$50),0)</f>
        <v>48220.833201031994</v>
      </c>
      <c r="W19" s="73" ph="1">
        <f>MAX(5600*LOOKUP(W20,密度!$A$2:$A$50,密度!$Q$2:$Q$50)+W18*9.0476*LOOKUP(W20,密度!$A$2:$A$50,密度!$Q$2:$Q$50),0)</f>
        <v>437.7721414079997</v>
      </c>
      <c r="X19" s="73" ph="1">
        <f>MAX(5600*LOOKUP(X20,密度!$A$2:$A$50,密度!$I$2:$I$50)+X18*9.0476*LOOKUP(X20,密度!$A$2:$A$50,密度!$I$2:$I$50),0)</f>
        <v>9575.3469076800011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71.226535400000017</v>
      </c>
      <c r="AB19" s="73" ph="1">
        <f>AB18*9.0746*LOOKUP(AB20,密度!$A$2:$A$50,密度!$L$2:$L$50)</f>
        <v>59447.895166599999</v>
      </c>
      <c r="AC19" s="73" ph="1">
        <f>AC18*9.0746*LOOKUP(AC20,密度!$A$2:$A$50,密度!$L$2:$L$50)</f>
        <v>18360.139077</v>
      </c>
      <c r="AD19" s="73" ph="1">
        <f>AD18*268.68*LOOKUP(AD20,密度!$A$2:$A$50,密度!B5:B53)+IF(AD18&lt;=0,0,1566*LOOKUP(AD20,密度!$A$2:$A$50,密度!B5:B53))</f>
        <v>2882.7215928000001</v>
      </c>
      <c r="AE19" s="73" ph="1">
        <f>AE18*268.68*LOOKUP(AE20,密度!$A$2:$A$50,密度!B5:B53)+IF(AE18&lt;=0,0,1566*LOOKUP(AE20,密度!$A$2:$A$50,密度!B5:B53))</f>
        <v>18942.963807600001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25</v>
      </c>
      <c r="G20" s="81">
        <v>19</v>
      </c>
      <c r="H20" s="81">
        <v>14</v>
      </c>
      <c r="I20" s="81">
        <v>20</v>
      </c>
      <c r="J20" s="81">
        <v>21</v>
      </c>
      <c r="K20" s="81">
        <v>20</v>
      </c>
      <c r="L20" s="81">
        <v>18</v>
      </c>
      <c r="M20" s="81">
        <v>20</v>
      </c>
      <c r="N20" s="81">
        <v>20</v>
      </c>
      <c r="O20" s="81">
        <v>20</v>
      </c>
      <c r="P20" s="81">
        <v>20</v>
      </c>
      <c r="Q20" s="81">
        <v>19</v>
      </c>
      <c r="R20" s="81">
        <v>21</v>
      </c>
      <c r="S20" s="81">
        <v>19</v>
      </c>
      <c r="T20" s="81">
        <v>25</v>
      </c>
      <c r="U20" s="81">
        <v>15</v>
      </c>
      <c r="V20" s="81">
        <v>20</v>
      </c>
      <c r="W20" s="81">
        <v>21</v>
      </c>
      <c r="X20" s="81">
        <v>31</v>
      </c>
      <c r="Y20" s="110">
        <v>31</v>
      </c>
      <c r="Z20" s="81">
        <v>22</v>
      </c>
      <c r="AA20" s="81">
        <v>19</v>
      </c>
      <c r="AB20" s="81">
        <v>19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651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9" t="s" ph="1">
        <v>177</v>
      </c>
      <c r="D24" s="71">
        <v>5.42</v>
      </c>
      <c r="E24" s="71">
        <v>5.4</v>
      </c>
      <c r="F24" s="71">
        <v>509</v>
      </c>
      <c r="G24" s="71">
        <v>3667</v>
      </c>
      <c r="H24" s="71">
        <v>3445</v>
      </c>
      <c r="I24" s="71">
        <v>1253</v>
      </c>
      <c r="J24" s="71">
        <v>4925</v>
      </c>
      <c r="K24" s="71">
        <v>4719</v>
      </c>
      <c r="L24" s="71">
        <v>5538</v>
      </c>
      <c r="M24" s="71">
        <v>5069</v>
      </c>
      <c r="N24" s="71">
        <v>2846</v>
      </c>
      <c r="O24" s="71">
        <v>5717</v>
      </c>
      <c r="P24" s="71">
        <v>628</v>
      </c>
      <c r="Q24" s="90">
        <v>1368</v>
      </c>
      <c r="R24" s="71">
        <v>3318</v>
      </c>
      <c r="S24" s="71">
        <v>5267</v>
      </c>
      <c r="T24" s="71">
        <v>180</v>
      </c>
      <c r="U24" s="71">
        <v>3913</v>
      </c>
      <c r="V24" s="71">
        <v>4043</v>
      </c>
      <c r="W24" s="71">
        <v>6048</v>
      </c>
      <c r="X24" s="71">
        <v>7239</v>
      </c>
      <c r="Y24" s="71">
        <v>3462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2861.2807993440001</v>
      </c>
      <c r="E25" s="91" ph="1">
        <f>E24*268.68*LOOKUP(E26,密度!$A$2:$A$50,密度!$C$2:$C$50)+IF(E24&lt;=0,0,1566*LOOKUP(E26,密度!$A$2:$A$50,密度!$C$2:$C$50))</f>
        <v>3345.4093608000003</v>
      </c>
      <c r="F25" s="91" ph="1">
        <f>F24*11.702*LOOKUP(F26,密度!$A$2:$A$50,密度!$Q$2:$Q$50)</f>
        <v>5679.9448448000003</v>
      </c>
      <c r="G25" s="91" ph="1">
        <f>G24*18.322*LOOKUP(G26,密度!$A$2:$A$50,密度!$B$2:$B$50)</f>
        <v>52835.679073599989</v>
      </c>
      <c r="H25" s="91" ph="1">
        <f>H24*18.322*LOOKUP(H26,密度!$A$2:$A$50,密度!$B$2:$B$50)</f>
        <v>49687.505087999998</v>
      </c>
      <c r="I25" s="91" ph="1">
        <f>I24*18.322*LOOKUP(I26,密度!$A$2:$A$50,密度!$Q$2:$Q$50)</f>
        <v>21892.239577600001</v>
      </c>
      <c r="J25" s="91" ph="1">
        <f>J24*18.322*LOOKUP(J26,密度!$A$2:$A$50,密度!$Q$2:$Q$50)</f>
        <v>85905.4315585</v>
      </c>
      <c r="K25" s="91" ph="1">
        <f>K24*18.322*LOOKUP(K26,密度!$A$2:$A$50,密度!$Q$2:$Q$50)</f>
        <v>82380.53435039999</v>
      </c>
      <c r="L25" s="91" ph="1">
        <f>L24*18.322*LOOKUP(L26,密度!$A$2:$A$50,密度!$Q$2:$Q$50)</f>
        <v>96677.982460799991</v>
      </c>
      <c r="M25" s="91" ph="1">
        <f>M24*18.322*LOOKUP(M26,密度!$A$2:$A$50,密度!$Q$2:$Q$50)</f>
        <v>88417.184278179993</v>
      </c>
      <c r="N25" s="91" ph="1">
        <f>N24*18.322*LOOKUP(N26,密度!$A$2:$A$50,密度!$Q$2:$Q$50)</f>
        <v>49642.00166812</v>
      </c>
      <c r="O25" s="91" ph="1">
        <f>O24*18.322*LOOKUP(O26,密度!$A$2:$A$50,密度!$C$2:$C$50)</f>
        <v>116677.54294859998</v>
      </c>
      <c r="P25" s="91" ph="1">
        <f>P24*11.702*LOOKUP(P26,密度!$A$2:$A$50,密度!$B$2:$B$50)</f>
        <v>5773.9961591999991</v>
      </c>
      <c r="Q25" s="92" ph="1">
        <f>Q24*18.322*LOOKUP(Q26,密度!$A$2:$A$50,密度!$B$2:$B$50)</f>
        <v>19730.7712512</v>
      </c>
      <c r="R25" s="91" ph="1">
        <f>R24*35.891*LOOKUP(R26,密度!$A$2:$A$50,密度!$C$2:$C$50)</f>
        <v>132721.72370099998</v>
      </c>
      <c r="S25" s="91" ph="1">
        <f>S24*35.891*LOOKUP(S26,密度!$A$2:$A$50,密度!$B$2:$B$50)</f>
        <v>148659.40220079999</v>
      </c>
      <c r="T25" s="91" ph="1">
        <f>T24*35.891*LOOKUP(T26,密度!$A$2:$A$50,密度!$Q$2:$Q$50)</f>
        <v>6166.6911252000009</v>
      </c>
      <c r="U25" s="91" ph="1">
        <f>U24*35.891</f>
        <v>140441.48300000001</v>
      </c>
      <c r="V25" s="91" ph="1">
        <f>V24*47.051*LOOKUP(V26,密度!$A$2:$A$50,密度!$B$2:$B$50)</f>
        <v>149899.02808400002</v>
      </c>
      <c r="W25" s="91" ph="1">
        <f>W24*47.051*LOOKUP(W26,密度!$A$2:$A$50,密度!$B$2:$B$50)</f>
        <v>223781.48190720001</v>
      </c>
      <c r="X25" s="91" ph="1">
        <f>X24*47.051*LOOKUP(X26,密度!$A$2:$A$61,密度!$I$2:$I$61)</f>
        <v>347380.17256110004</v>
      </c>
      <c r="Y25" s="91" ph="1">
        <f>Y24*47.051*LOOKUP(Y26,密度!$A$2:$A$50,密度!$L$2:$L$50)</f>
        <v>153442.90940400001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16</v>
      </c>
      <c r="G26" s="74">
        <v>17</v>
      </c>
      <c r="H26" s="74">
        <v>16</v>
      </c>
      <c r="I26" s="74">
        <v>16</v>
      </c>
      <c r="J26" s="74">
        <v>18</v>
      </c>
      <c r="K26" s="74">
        <v>17</v>
      </c>
      <c r="L26" s="74">
        <v>17</v>
      </c>
      <c r="M26" s="74">
        <v>18</v>
      </c>
      <c r="N26" s="74">
        <v>18</v>
      </c>
      <c r="O26" s="74">
        <v>18</v>
      </c>
      <c r="P26" s="74">
        <v>18</v>
      </c>
      <c r="Q26" s="93">
        <v>16</v>
      </c>
      <c r="R26" s="74">
        <v>17</v>
      </c>
      <c r="S26" s="74">
        <v>17</v>
      </c>
      <c r="T26" s="74">
        <v>15</v>
      </c>
      <c r="U26" s="74">
        <v>16</v>
      </c>
      <c r="V26" s="74">
        <v>15</v>
      </c>
      <c r="W26" s="74">
        <v>17</v>
      </c>
      <c r="X26" s="74">
        <v>45</v>
      </c>
      <c r="Y26" s="74">
        <v>20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9" t="s" ph="1">
        <v>180</v>
      </c>
      <c r="D27" s="71">
        <v>5.43</v>
      </c>
      <c r="E27" s="71">
        <v>63.92</v>
      </c>
      <c r="F27" s="71">
        <v>507</v>
      </c>
      <c r="G27" s="71">
        <v>3010</v>
      </c>
      <c r="H27" s="71">
        <v>3035</v>
      </c>
      <c r="I27" s="71">
        <v>1251</v>
      </c>
      <c r="J27" s="71">
        <v>4926</v>
      </c>
      <c r="K27" s="71">
        <v>4720</v>
      </c>
      <c r="L27" s="71">
        <v>5538</v>
      </c>
      <c r="M27" s="71">
        <v>5069</v>
      </c>
      <c r="N27" s="71">
        <v>2844</v>
      </c>
      <c r="O27" s="71">
        <v>5716</v>
      </c>
      <c r="P27" s="71">
        <v>624</v>
      </c>
      <c r="Q27" s="90">
        <v>1605</v>
      </c>
      <c r="R27" s="71">
        <v>2803</v>
      </c>
      <c r="S27" s="71">
        <v>5264</v>
      </c>
      <c r="T27" s="71">
        <v>177</v>
      </c>
      <c r="U27" s="71">
        <v>3997</v>
      </c>
      <c r="V27" s="71">
        <v>4042</v>
      </c>
      <c r="W27" s="71">
        <v>6049</v>
      </c>
      <c r="X27" s="71">
        <v>7237</v>
      </c>
      <c r="Y27" s="71">
        <v>1851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9" t="s" ph="1">
        <v>178</v>
      </c>
      <c r="D28" s="91" ph="1">
        <f>D27*268.68*LOOKUP(D29,密度!$A$2:$A$50,密度!$Q$2:$Q$50)+IF(D27&lt;=0,0,1566*LOOKUP(D29,密度!$A$2:$A$50,密度!$Q$2:$Q$50))</f>
        <v>2863.8245003759998</v>
      </c>
      <c r="E28" s="91" ph="1">
        <f>E27*268.68*LOOKUP(E29,密度!$A$2:$A$50,密度!$C$2:$C$50)+IF(E27&lt;=0,0,1566*LOOKUP(E29,密度!$A$2:$A$50,密度!$C$2:$C$50))</f>
        <v>20780.814387840001</v>
      </c>
      <c r="F28" s="91" ph="1">
        <f>F27*11.702*LOOKUP(F29,密度!$A$2:$A$50,密度!$Q$2:$Q$50)</f>
        <v>5643.5657842199998</v>
      </c>
      <c r="G28" s="91" ph="1">
        <f>G27*18.322*LOOKUP(G29,密度!$A$2:$A$50,密度!$B$2:$B$50)</f>
        <v>43286.622777999997</v>
      </c>
      <c r="H28" s="91" ph="1">
        <f>H27*18.322*LOOKUP(H29,密度!$A$2:$A$50,密度!$B$2:$B$50)</f>
        <v>43601.660406999996</v>
      </c>
      <c r="I28" s="91" ph="1">
        <f>I27*18.322*LOOKUP(I29,密度!$A$2:$A$50,密度!$Q$2:$Q$50)</f>
        <v>21767.675445180001</v>
      </c>
      <c r="J28" s="91" ph="1">
        <f>J27*18.322*LOOKUP(J29,密度!$A$2:$A$50,密度!$Q$2:$Q$50)</f>
        <v>85659.332103479988</v>
      </c>
      <c r="K28" s="91" ph="1">
        <f>K27*18.322*LOOKUP(K29,密度!$A$2:$A$50,密度!$Q$2:$Q$50)</f>
        <v>82129.039249599999</v>
      </c>
      <c r="L28" s="91" ph="1">
        <f>L27*18.322*LOOKUP(L29,密度!$A$2:$A$50,密度!$Q$2:$Q$50)</f>
        <v>96432.431749679992</v>
      </c>
      <c r="M28" s="91" ph="1">
        <f>M27*18.322*LOOKUP(M29,密度!$A$2:$A$50,密度!$Q$2:$Q$50)</f>
        <v>88265.799302839994</v>
      </c>
      <c r="N28" s="91" ph="1">
        <f>N27*18.322*LOOKUP(N29,密度!$A$2:$A$50,密度!$Q$2:$Q$50)</f>
        <v>49566.472154639996</v>
      </c>
      <c r="O28" s="91" ph="1">
        <f>O27*18.322*LOOKUP(O29,密度!$A$2:$A$50,密度!$C$2:$C$50)</f>
        <v>116583.8240864</v>
      </c>
      <c r="P28" s="91" ph="1">
        <f>P27*11.702*LOOKUP(P29,密度!$A$2:$A$50,密度!$B$2:$B$50)</f>
        <v>5731.3774751999999</v>
      </c>
      <c r="Q28" s="92" ph="1">
        <f>Q27*18.322*LOOKUP(Q29,密度!$A$2:$A$50,密度!$B$2:$B$50)</f>
        <v>23081.405168999998</v>
      </c>
      <c r="R28" s="91" ph="1">
        <f>R27*35.891*LOOKUP(R29,密度!$A$2:$A$50,密度!$C$2:$C$50)</f>
        <v>111990.67294359999</v>
      </c>
      <c r="S28" s="91" ph="1">
        <f>S27*35.891*LOOKUP(S29,密度!$A$2:$A$50,密度!$B$2:$B$50)</f>
        <v>148442.47699679999</v>
      </c>
      <c r="T28" s="91" ph="1">
        <f>T27*35.891*LOOKUP(T29,密度!$A$2:$A$50,密度!$Q$2:$Q$50)</f>
        <v>6042.8854796099995</v>
      </c>
      <c r="U28" s="91" ph="1">
        <f>U27*35.891</f>
        <v>143456.32699999999</v>
      </c>
      <c r="V28" s="91" ph="1">
        <f>V27*47.051*LOOKUP(V29,密度!$A$2:$A$50,密度!$B$2:$B$50)</f>
        <v>149120.24934220003</v>
      </c>
      <c r="W28" s="91" ph="1">
        <f>W27*47.051*LOOKUP(W29,密度!$A$2:$A$50,密度!$B$2:$B$50)</f>
        <v>222907.72601680001</v>
      </c>
      <c r="X28" s="91" ph="1">
        <f>X27*47.051*LOOKUP(X29,密度!$A$2:$A$61,密度!$I$2:$I$61)</f>
        <v>346909.63903559995</v>
      </c>
      <c r="Y28" s="91" ph="1">
        <f>Y27*47.051*LOOKUP(Y29,密度!$A$2:$A$50,密度!$L$2:$L$50)</f>
        <v>82040.099741999991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9" t="s" ph="1">
        <v>179</v>
      </c>
      <c r="D29" s="74">
        <v>25</v>
      </c>
      <c r="E29" s="74">
        <v>25</v>
      </c>
      <c r="F29" s="74">
        <v>19</v>
      </c>
      <c r="G29" s="74">
        <v>19</v>
      </c>
      <c r="H29" s="74">
        <v>20</v>
      </c>
      <c r="I29" s="74">
        <v>21</v>
      </c>
      <c r="J29" s="74">
        <v>22</v>
      </c>
      <c r="K29" s="74">
        <v>21</v>
      </c>
      <c r="L29" s="74">
        <v>20</v>
      </c>
      <c r="M29" s="74">
        <v>20</v>
      </c>
      <c r="N29" s="74">
        <v>19</v>
      </c>
      <c r="O29" s="74">
        <v>19</v>
      </c>
      <c r="P29" s="74">
        <v>19</v>
      </c>
      <c r="Q29" s="93">
        <v>19</v>
      </c>
      <c r="R29" s="74">
        <v>19</v>
      </c>
      <c r="S29" s="74">
        <v>18</v>
      </c>
      <c r="T29" s="74">
        <v>19</v>
      </c>
      <c r="U29" s="74">
        <v>19</v>
      </c>
      <c r="V29" s="74">
        <v>20</v>
      </c>
      <c r="W29" s="74">
        <v>21</v>
      </c>
      <c r="X29" s="74">
        <v>46</v>
      </c>
      <c r="Y29" s="74">
        <v>20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9" t="s" ph="1">
        <v>5</v>
      </c>
      <c r="F32" s="168" t="s" ph="1">
        <v>43</v>
      </c>
      <c r="G32" s="97" t="s" ph="1">
        <v>4</v>
      </c>
      <c r="H32" s="169" t="s" ph="1">
        <v>5</v>
      </c>
      <c r="I32" s="168" t="s" ph="1">
        <v>43</v>
      </c>
      <c r="J32" s="97" t="s" ph="1">
        <v>4</v>
      </c>
      <c r="K32" s="169" t="s" ph="1">
        <v>5</v>
      </c>
      <c r="L32" s="168" t="s" ph="1">
        <v>43</v>
      </c>
      <c r="M32" s="97" t="s" ph="1">
        <v>4</v>
      </c>
      <c r="N32" s="169" t="s" ph="1">
        <v>5</v>
      </c>
      <c r="O32" s="16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9" t="s" ph="1">
        <v>5</v>
      </c>
      <c r="U32" s="99" t="s" ph="1">
        <v>43</v>
      </c>
      <c r="V32" s="97" t="s" ph="1">
        <v>4</v>
      </c>
      <c r="W32" s="169" t="s" ph="1">
        <v>5</v>
      </c>
      <c r="X32" s="99" t="s" ph="1">
        <v>43</v>
      </c>
      <c r="Y32" s="100" t="s" ph="1">
        <v>4</v>
      </c>
      <c r="Z32" s="169" t="s" ph="1">
        <v>5</v>
      </c>
      <c r="AA32" s="168" t="s" ph="1">
        <v>43</v>
      </c>
      <c r="AB32" s="97" t="s" ph="1">
        <v>85</v>
      </c>
      <c r="AC32" s="169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242421.66283400002</v>
      </c>
      <c r="E33" s="213" ph="1">
        <f>M10+I10</f>
        <v>27137.453129499998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7" ph="1">
        <f>N19</f>
        <v>7780.6727501200003</v>
      </c>
      <c r="H33" s="213" ph="1">
        <f>M19</f>
        <v>29740.702924740002</v>
      </c>
      <c r="I33" s="226" ph="1">
        <v>0</v>
      </c>
      <c r="J33" s="224" ph="1">
        <f>F10+O28</f>
        <v>293782.2585842</v>
      </c>
      <c r="K33" s="213" ph="1">
        <f>O10+K10+E28+R28</f>
        <v>164218.72578384</v>
      </c>
      <c r="L33" s="228" ph="1">
        <f>K19</f>
        <v>44767.437422640003</v>
      </c>
      <c r="M33" s="224" ph="1">
        <f>G10+H10+W28+S28+V28+E10+R19+P28+Q28</f>
        <v>798783.78650440008</v>
      </c>
      <c r="N33" s="213" ph="1">
        <f>L10+P10++G28+H28+AD19+AE19</f>
        <v>189607.23634339997</v>
      </c>
      <c r="O33" s="226" ph="1">
        <f>G19</f>
        <v>21147.158360260004</v>
      </c>
      <c r="P33" s="224" ph="1">
        <f>L19</f>
        <v>22105.083118319999</v>
      </c>
      <c r="Q33" s="213" ph="1">
        <f>J10+N10</f>
        <v>115210.1531638</v>
      </c>
      <c r="R33" s="226" ph="1">
        <f>BE23</f>
        <v>890</v>
      </c>
      <c r="S33" s="224" ph="1">
        <f>X28</f>
        <v>346909.63903559995</v>
      </c>
      <c r="T33" s="213" ph="1">
        <f>X19</f>
        <v>9575.3469076800011</v>
      </c>
      <c r="U33" s="234" ph="1">
        <f>BE21</f>
        <v>730</v>
      </c>
      <c r="V33" s="245" ph="1">
        <f ca="1">P19+Q19+S19+M28+N28+J28+D10+AC10+D19+E19+H19+J19+O19+V19+W19+K28+L28</f>
        <v>1365065.1548913319</v>
      </c>
      <c r="W33" s="245" ph="1">
        <f>D28+F28+T28+I28</f>
        <v>36317.951209385996</v>
      </c>
      <c r="X33" s="226" ph="1">
        <f>BE29+BE31</f>
        <v>10200</v>
      </c>
      <c r="Y33" s="247" ph="1">
        <f>+Q10+R10+S10+T10+U10+V10+W10+X10+Y10</f>
        <v>209558.90353860002</v>
      </c>
      <c r="Z33" s="232" ph="1">
        <f>T19+U19+Y28+Z10</f>
        <v>300269.73046395998</v>
      </c>
      <c r="AA33" s="234" ph="1">
        <f>BE19</f>
        <v>1440</v>
      </c>
      <c r="AB33" s="236" ph="1">
        <f>I19</f>
        <v>48649.112092000003</v>
      </c>
      <c r="AC33" s="238" ph="1">
        <f>AD10+AB19</f>
        <v>153578.48492660001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7" t="s" ph="1">
        <v>185</v>
      </c>
      <c r="AA36" s="167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342</v>
      </c>
      <c r="AI37" s="167" t="s" ph="1">
        <v>209</v>
      </c>
      <c r="AJ37" s="167" t="s" ph="1">
        <v>210</v>
      </c>
      <c r="AK37" s="167" t="s" ph="1">
        <v>211</v>
      </c>
      <c r="AM37" s="167" t="s" ph="1">
        <v>210</v>
      </c>
      <c r="AN37" s="167" t="s" ph="1">
        <v>211</v>
      </c>
      <c r="AO37" s="167" t="s" ph="1">
        <v>212</v>
      </c>
      <c r="AP37" s="167" t="s" ph="1">
        <v>210</v>
      </c>
      <c r="AQ37" s="167" t="s" ph="1">
        <v>211</v>
      </c>
      <c r="AR37" s="167" t="s" ph="1">
        <v>212</v>
      </c>
      <c r="AS37" s="167" t="s" ph="1">
        <v>210</v>
      </c>
      <c r="AT37" s="167" t="s" ph="1">
        <v>211</v>
      </c>
      <c r="AU37" s="167" t="s" ph="1">
        <v>212</v>
      </c>
      <c r="AV37" s="167" t="s" ph="1">
        <v>210</v>
      </c>
      <c r="AW37" s="167" t="s" ph="1">
        <v>211</v>
      </c>
      <c r="AX37" s="167" t="s" ph="1">
        <v>212</v>
      </c>
      <c r="AY37" s="167" t="s" ph="1">
        <v>211</v>
      </c>
      <c r="AZ37" s="167" t="s" ph="1">
        <v>213</v>
      </c>
      <c r="BD37" s="167" t="s" ph="1">
        <v>305</v>
      </c>
      <c r="BE37" s="16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59" priority="100">
      <formula>ABS(D$7-D$10)&gt;=1000</formula>
    </cfRule>
  </conditionalFormatting>
  <conditionalFormatting sqref="E4 E6:E11">
    <cfRule type="expression" dxfId="258" priority="99">
      <formula>ABS(E$7-E$10)&gt;=1000</formula>
    </cfRule>
  </conditionalFormatting>
  <conditionalFormatting sqref="F4:F11">
    <cfRule type="expression" dxfId="257" priority="98">
      <formula>ABS(F$7-F$10)&gt;=1000</formula>
    </cfRule>
  </conditionalFormatting>
  <conditionalFormatting sqref="G4:G11">
    <cfRule type="expression" dxfId="256" priority="97">
      <formula>ABS(G$7-G$10)&gt;=1000</formula>
    </cfRule>
  </conditionalFormatting>
  <conditionalFormatting sqref="H4:H11">
    <cfRule type="expression" dxfId="255" priority="96">
      <formula>ABS(H$7-H$10)&gt;=1000</formula>
    </cfRule>
  </conditionalFormatting>
  <conditionalFormatting sqref="I4:I11">
    <cfRule type="expression" dxfId="254" priority="95">
      <formula>ABS(I$7-I$10)&gt;=1000</formula>
    </cfRule>
  </conditionalFormatting>
  <conditionalFormatting sqref="J4:J11">
    <cfRule type="expression" dxfId="253" priority="94">
      <formula>ABS(J$7-J$10)&gt;=1000</formula>
    </cfRule>
  </conditionalFormatting>
  <conditionalFormatting sqref="K4:K11">
    <cfRule type="expression" dxfId="252" priority="93">
      <formula>ABS(K$7-K$10)&gt;=1000</formula>
    </cfRule>
  </conditionalFormatting>
  <conditionalFormatting sqref="L4:L11">
    <cfRule type="expression" dxfId="251" priority="92">
      <formula>ABS(L$7-L$10)&gt;=1000</formula>
    </cfRule>
  </conditionalFormatting>
  <conditionalFormatting sqref="M4 M6:M11">
    <cfRule type="expression" dxfId="250" priority="91">
      <formula>ABS(M$7-M$10)&gt;=1000</formula>
    </cfRule>
  </conditionalFormatting>
  <conditionalFormatting sqref="N4 N6:N11">
    <cfRule type="expression" dxfId="249" priority="90">
      <formula>ABS(N$7-N$10)&gt;=1000</formula>
    </cfRule>
  </conditionalFormatting>
  <conditionalFormatting sqref="O4 O6:O11">
    <cfRule type="expression" dxfId="248" priority="89">
      <formula>ABS(O$7-O$10)&gt;=1000</formula>
    </cfRule>
  </conditionalFormatting>
  <conditionalFormatting sqref="P4 P6:P11">
    <cfRule type="expression" dxfId="247" priority="88">
      <formula>ABS(P$7-P$10)&gt;=1000</formula>
    </cfRule>
  </conditionalFormatting>
  <conditionalFormatting sqref="Q4:Q11">
    <cfRule type="expression" dxfId="246" priority="87">
      <formula>ABS(Q$7-Q$10)&gt;=1000</formula>
    </cfRule>
  </conditionalFormatting>
  <conditionalFormatting sqref="R4:R11">
    <cfRule type="expression" dxfId="245" priority="86">
      <formula>ABS(R$7-R$10)&gt;=1000</formula>
    </cfRule>
  </conditionalFormatting>
  <conditionalFormatting sqref="S4:S11">
    <cfRule type="expression" dxfId="244" priority="85">
      <formula>ABS(S$7-S$10)&gt;=1000</formula>
    </cfRule>
  </conditionalFormatting>
  <conditionalFormatting sqref="T4:T9 T11">
    <cfRule type="expression" dxfId="243" priority="84">
      <formula>ABS(T$7-T$10)&gt;=1000</formula>
    </cfRule>
  </conditionalFormatting>
  <conditionalFormatting sqref="U4:U9 U11">
    <cfRule type="expression" dxfId="242" priority="83">
      <formula>ABS(U$7-U$10)&gt;=1000</formula>
    </cfRule>
  </conditionalFormatting>
  <conditionalFormatting sqref="V4:V9 V11">
    <cfRule type="expression" dxfId="241" priority="82">
      <formula>ABS(V$7-V$10)&gt;=1000</formula>
    </cfRule>
  </conditionalFormatting>
  <conditionalFormatting sqref="W4:W9 W11">
    <cfRule type="expression" dxfId="240" priority="81">
      <formula>ABS(W$7-W$10)&gt;=1000</formula>
    </cfRule>
  </conditionalFormatting>
  <conditionalFormatting sqref="X4:X9 X11">
    <cfRule type="expression" dxfId="239" priority="80">
      <formula>ABS(X$7-X$10)&gt;=1000</formula>
    </cfRule>
  </conditionalFormatting>
  <conditionalFormatting sqref="Y4:Y9 Y11">
    <cfRule type="expression" dxfId="238" priority="79">
      <formula>ABS(Y$7-Y$10)&gt;=1000</formula>
    </cfRule>
  </conditionalFormatting>
  <conditionalFormatting sqref="Z4:Z11">
    <cfRule type="expression" dxfId="237" priority="78">
      <formula>ABS(Z$7-Z$10)&gt;=1000</formula>
    </cfRule>
  </conditionalFormatting>
  <conditionalFormatting sqref="AA4:AA11">
    <cfRule type="expression" dxfId="236" priority="77">
      <formula>ABS(AA$7-AA$10)&gt;=1000</formula>
    </cfRule>
  </conditionalFormatting>
  <conditionalFormatting sqref="AB4:AB11">
    <cfRule type="expression" dxfId="235" priority="76">
      <formula>ABS(AB$7-AB$10)&gt;=1000</formula>
    </cfRule>
  </conditionalFormatting>
  <conditionalFormatting sqref="AC4 AC6:AC11">
    <cfRule type="expression" dxfId="234" priority="75">
      <formula>ABS(AC$7-AC$10)&gt;=1000</formula>
    </cfRule>
  </conditionalFormatting>
  <conditionalFormatting sqref="AD4 AD6:AD11">
    <cfRule type="expression" dxfId="233" priority="74">
      <formula>ABS(AD$7-AD$10)&gt;=1000</formula>
    </cfRule>
  </conditionalFormatting>
  <conditionalFormatting sqref="AE4 AE6:AE11">
    <cfRule type="expression" dxfId="232" priority="73">
      <formula>ABS(AE$7-AE$10)&gt;=1000</formula>
    </cfRule>
  </conditionalFormatting>
  <conditionalFormatting sqref="D13:D20">
    <cfRule type="expression" dxfId="231" priority="72">
      <formula>ABS(D$16-D$19)&gt;=1000</formula>
    </cfRule>
  </conditionalFormatting>
  <conditionalFormatting sqref="E13:E20">
    <cfRule type="expression" dxfId="230" priority="71">
      <formula>ABS(E$16-E$19)&gt;=1000</formula>
    </cfRule>
  </conditionalFormatting>
  <conditionalFormatting sqref="F13 F15:F20">
    <cfRule type="expression" dxfId="229" priority="70">
      <formula>ABS(F$16-F$19)&gt;=1000</formula>
    </cfRule>
  </conditionalFormatting>
  <conditionalFormatting sqref="G13:G20">
    <cfRule type="expression" dxfId="228" priority="69">
      <formula>ABS(G$16-G$19)&gt;=1000</formula>
    </cfRule>
  </conditionalFormatting>
  <conditionalFormatting sqref="H13 H15:H20">
    <cfRule type="expression" dxfId="227" priority="68">
      <formula>ABS(H$16-H$19)&gt;=1000</formula>
    </cfRule>
  </conditionalFormatting>
  <conditionalFormatting sqref="I13:I20">
    <cfRule type="expression" dxfId="226" priority="67">
      <formula>ABS(I$16-I$19)&gt;=1000</formula>
    </cfRule>
  </conditionalFormatting>
  <conditionalFormatting sqref="J13:J20">
    <cfRule type="expression" dxfId="225" priority="66">
      <formula>ABS(J$16-J$19)&gt;=1000</formula>
    </cfRule>
  </conditionalFormatting>
  <conditionalFormatting sqref="L13:L20">
    <cfRule type="expression" dxfId="224" priority="65">
      <formula>ABS(L$16-L$19)&gt;=1000</formula>
    </cfRule>
  </conditionalFormatting>
  <conditionalFormatting sqref="M13 M15 M17:M18 M20">
    <cfRule type="expression" dxfId="223" priority="64">
      <formula>ABS(M$16-M$19)&gt;=1000</formula>
    </cfRule>
  </conditionalFormatting>
  <conditionalFormatting sqref="N13:N20">
    <cfRule type="expression" dxfId="222" priority="63">
      <formula>ABS(N$16-N$19)&gt;=1000</formula>
    </cfRule>
  </conditionalFormatting>
  <conditionalFormatting sqref="O13:O20">
    <cfRule type="expression" dxfId="221" priority="62">
      <formula>ABS(O$16-O$19)&gt;=1000</formula>
    </cfRule>
  </conditionalFormatting>
  <conditionalFormatting sqref="P13:P20">
    <cfRule type="expression" dxfId="220" priority="61">
      <formula>ABS(P$16-P$19)&gt;=1000</formula>
    </cfRule>
  </conditionalFormatting>
  <conditionalFormatting sqref="Q13 Q15:Q20">
    <cfRule type="expression" dxfId="219" priority="60">
      <formula>ABS(Q$16-Q$19)&gt;=1000</formula>
    </cfRule>
  </conditionalFormatting>
  <conditionalFormatting sqref="R13:R20">
    <cfRule type="expression" dxfId="218" priority="59">
      <formula>ABS(R$16-R$19)&gt;=1000</formula>
    </cfRule>
  </conditionalFormatting>
  <conditionalFormatting sqref="S13:S20">
    <cfRule type="expression" dxfId="217" priority="58">
      <formula>ABS(S$16-S$19)&gt;=1000</formula>
    </cfRule>
  </conditionalFormatting>
  <conditionalFormatting sqref="T13:T20">
    <cfRule type="expression" dxfId="216" priority="57">
      <formula>ABS(T$16-T$19)&gt;=1000</formula>
    </cfRule>
  </conditionalFormatting>
  <conditionalFormatting sqref="U13:U20">
    <cfRule type="expression" dxfId="215" priority="56">
      <formula>ABS(U$16-U$19)&gt;=1000</formula>
    </cfRule>
  </conditionalFormatting>
  <conditionalFormatting sqref="V13:V20">
    <cfRule type="expression" dxfId="214" priority="55">
      <formula>ABS(V$16-V$19)&gt;=1000</formula>
    </cfRule>
  </conditionalFormatting>
  <conditionalFormatting sqref="W13 W20 W15:W18">
    <cfRule type="expression" dxfId="213" priority="54">
      <formula>ABS(W$16-W$19)&gt;=1000</formula>
    </cfRule>
  </conditionalFormatting>
  <conditionalFormatting sqref="X13 X15:X20 Y19">
    <cfRule type="expression" dxfId="212" priority="53">
      <formula>ABS(X$16-X$19)&gt;=1000</formula>
    </cfRule>
  </conditionalFormatting>
  <conditionalFormatting sqref="Y13 Y15:Y18 Y20">
    <cfRule type="expression" dxfId="211" priority="52">
      <formula>ABS(Y$16-Y$19)&gt;=1000</formula>
    </cfRule>
  </conditionalFormatting>
  <conditionalFormatting sqref="Z13:Z20">
    <cfRule type="expression" dxfId="210" priority="51">
      <formula>ABS(Z$16-Z$19)&gt;=1000</formula>
    </cfRule>
  </conditionalFormatting>
  <conditionalFormatting sqref="AA13:AA20">
    <cfRule type="expression" dxfId="209" priority="50">
      <formula>ABS(AA$16-AA$19)&gt;=1000</formula>
    </cfRule>
  </conditionalFormatting>
  <conditionalFormatting sqref="AB13 AB15:AB20">
    <cfRule type="expression" dxfId="208" priority="49">
      <formula>ABS(AB$16-AB$19)&gt;=1000</formula>
    </cfRule>
  </conditionalFormatting>
  <conditionalFormatting sqref="AC13 AC15:AC20">
    <cfRule type="expression" dxfId="207" priority="48">
      <formula>ABS(AC$16-AC$19)&gt;=1000</formula>
    </cfRule>
  </conditionalFormatting>
  <conditionalFormatting sqref="AD13:AD20">
    <cfRule type="expression" dxfId="206" priority="47">
      <formula>ABS(AD$16-AD$19)&gt;=1000</formula>
    </cfRule>
  </conditionalFormatting>
  <conditionalFormatting sqref="AE13:AE20">
    <cfRule type="expression" dxfId="205" priority="46">
      <formula>ABS(AE$16-AE$19)&gt;=1000</formula>
    </cfRule>
  </conditionalFormatting>
  <conditionalFormatting sqref="D22:D29">
    <cfRule type="expression" dxfId="204" priority="45">
      <formula>ABS(D$25-D$28)&gt;=1000</formula>
    </cfRule>
  </conditionalFormatting>
  <conditionalFormatting sqref="E22:E29">
    <cfRule type="expression" dxfId="203" priority="44">
      <formula>ABS(E$25-E$28)&gt;=1000</formula>
    </cfRule>
  </conditionalFormatting>
  <conditionalFormatting sqref="F22:F29">
    <cfRule type="expression" dxfId="202" priority="43">
      <formula>ABS(F$25-F$28)&gt;=1000</formula>
    </cfRule>
  </conditionalFormatting>
  <conditionalFormatting sqref="G22:G29">
    <cfRule type="expression" dxfId="201" priority="42">
      <formula>ABS(G$25-G$28)&gt;=1000</formula>
    </cfRule>
  </conditionalFormatting>
  <conditionalFormatting sqref="H22:H29">
    <cfRule type="expression" dxfId="200" priority="41">
      <formula>ABS(H$25-H$28)&gt;=1000</formula>
    </cfRule>
  </conditionalFormatting>
  <conditionalFormatting sqref="I22 I24:I29">
    <cfRule type="expression" dxfId="199" priority="40">
      <formula>ABS(I$25-I$28)&gt;=1000</formula>
    </cfRule>
  </conditionalFormatting>
  <conditionalFormatting sqref="J22:J29 K22">
    <cfRule type="expression" dxfId="198" priority="39">
      <formula>ABS(J$25-J$28)&gt;=1000</formula>
    </cfRule>
  </conditionalFormatting>
  <conditionalFormatting sqref="K23:K29 L25 L28">
    <cfRule type="expression" dxfId="197" priority="38">
      <formula>ABS(K$25-K$28)&gt;=1000</formula>
    </cfRule>
  </conditionalFormatting>
  <conditionalFormatting sqref="L22 L26:L27 L29 L24">
    <cfRule type="expression" dxfId="196" priority="37">
      <formula>ABS(L$25-L$28)&gt;=1000</formula>
    </cfRule>
  </conditionalFormatting>
  <conditionalFormatting sqref="M22:M29">
    <cfRule type="expression" dxfId="195" priority="36">
      <formula>ABS(M$25-M$28)&gt;=1000</formula>
    </cfRule>
  </conditionalFormatting>
  <conditionalFormatting sqref="N22:N29">
    <cfRule type="expression" dxfId="194" priority="35">
      <formula>ABS(N$25-N$28)&gt;=1000</formula>
    </cfRule>
  </conditionalFormatting>
  <conditionalFormatting sqref="O22:O29">
    <cfRule type="expression" dxfId="193" priority="34">
      <formula>ABS(O$25-O$28)&gt;=1000</formula>
    </cfRule>
  </conditionalFormatting>
  <conditionalFormatting sqref="P22:P29">
    <cfRule type="expression" dxfId="192" priority="33">
      <formula>ABS(P$25-P$28)&gt;=1000</formula>
    </cfRule>
  </conditionalFormatting>
  <conditionalFormatting sqref="Q22:Q29">
    <cfRule type="expression" dxfId="191" priority="32">
      <formula>ABS(Q$25-Q$28)&gt;=1000</formula>
    </cfRule>
  </conditionalFormatting>
  <conditionalFormatting sqref="R22:R29">
    <cfRule type="expression" dxfId="190" priority="31">
      <formula>ABS(R$25-R$28)&gt;=1000</formula>
    </cfRule>
  </conditionalFormatting>
  <conditionalFormatting sqref="S22:S29">
    <cfRule type="expression" dxfId="189" priority="30">
      <formula>ABS(S$25-S$28)&gt;=1000</formula>
    </cfRule>
  </conditionalFormatting>
  <conditionalFormatting sqref="T22:T29">
    <cfRule type="expression" dxfId="188" priority="29">
      <formula>ABS(T$25-T$28)&gt;=1000</formula>
    </cfRule>
  </conditionalFormatting>
  <conditionalFormatting sqref="U22:U29">
    <cfRule type="expression" dxfId="187" priority="28">
      <formula>ABS(U$25-U$28)&gt;=1000</formula>
    </cfRule>
  </conditionalFormatting>
  <conditionalFormatting sqref="V22:V29">
    <cfRule type="expression" dxfId="186" priority="27">
      <formula>ABS(V$25-V$28)&gt;=1000</formula>
    </cfRule>
  </conditionalFormatting>
  <conditionalFormatting sqref="W22:W29">
    <cfRule type="expression" dxfId="185" priority="26">
      <formula>ABS(W$25-W$28)&gt;=1000</formula>
    </cfRule>
  </conditionalFormatting>
  <conditionalFormatting sqref="X22:X29">
    <cfRule type="expression" dxfId="184" priority="25">
      <formula>ABS(X$25-X$28)&gt;=1000</formula>
    </cfRule>
  </conditionalFormatting>
  <conditionalFormatting sqref="Y22:Y29">
    <cfRule type="expression" dxfId="183" priority="24">
      <formula>ABS(Y$25-Y$28)&gt;=1000</formula>
    </cfRule>
  </conditionalFormatting>
  <conditionalFormatting sqref="I23">
    <cfRule type="expression" dxfId="182" priority="23">
      <formula>ABS(I$25-I$28)&gt;=1000</formula>
    </cfRule>
  </conditionalFormatting>
  <conditionalFormatting sqref="Q14">
    <cfRule type="expression" dxfId="181" priority="22">
      <formula>ABS(Q$16-Q$19)&gt;=1000</formula>
    </cfRule>
  </conditionalFormatting>
  <conditionalFormatting sqref="W14">
    <cfRule type="expression" dxfId="180" priority="21">
      <formula>ABS(W$16-W$19)&gt;=1000</formula>
    </cfRule>
  </conditionalFormatting>
  <conditionalFormatting sqref="X14">
    <cfRule type="expression" dxfId="179" priority="20">
      <formula>ABS(X$16-X$19)&gt;=1000</formula>
    </cfRule>
  </conditionalFormatting>
  <conditionalFormatting sqref="T10:Y10">
    <cfRule type="expression" dxfId="178" priority="19">
      <formula>ABS(T$7-T$10)&gt;=1000</formula>
    </cfRule>
  </conditionalFormatting>
  <conditionalFormatting sqref="W19">
    <cfRule type="expression" dxfId="177" priority="18">
      <formula>ABS(W$16-W$19)&gt;=1000</formula>
    </cfRule>
  </conditionalFormatting>
  <conditionalFormatting sqref="AC5">
    <cfRule type="expression" dxfId="176" priority="17">
      <formula>ABS(AC$7-AC$10)&gt;=1000</formula>
    </cfRule>
  </conditionalFormatting>
  <conditionalFormatting sqref="M14">
    <cfRule type="expression" dxfId="175" priority="16">
      <formula>ABS(M$16-M$19)&gt;=1000</formula>
    </cfRule>
  </conditionalFormatting>
  <conditionalFormatting sqref="M16">
    <cfRule type="expression" dxfId="174" priority="15">
      <formula>ABS(M$16-M$19)&gt;=1000</formula>
    </cfRule>
  </conditionalFormatting>
  <conditionalFormatting sqref="M19">
    <cfRule type="expression" dxfId="173" priority="14">
      <formula>ABS(M$16-M$19)&gt;=1000</formula>
    </cfRule>
  </conditionalFormatting>
  <conditionalFormatting sqref="K13:K20">
    <cfRule type="expression" dxfId="172" priority="13">
      <formula>ABS(K$16-K$19)&gt;=1000</formula>
    </cfRule>
  </conditionalFormatting>
  <conditionalFormatting sqref="E5">
    <cfRule type="expression" dxfId="171" priority="12">
      <formula>ABS(E$7-E$10)&gt;=1000</formula>
    </cfRule>
  </conditionalFormatting>
  <conditionalFormatting sqref="AB14:AC14">
    <cfRule type="expression" dxfId="170" priority="11">
      <formula>ABS(AB$16-AB$19)&gt;=1000</formula>
    </cfRule>
  </conditionalFormatting>
  <conditionalFormatting sqref="M5">
    <cfRule type="expression" dxfId="169" priority="10">
      <formula>ABS(M$7-M$10)&gt;=1000</formula>
    </cfRule>
  </conditionalFormatting>
  <conditionalFormatting sqref="N5">
    <cfRule type="expression" dxfId="168" priority="9">
      <formula>ABS(N$7-N$10)&gt;=1000</formula>
    </cfRule>
  </conditionalFormatting>
  <conditionalFormatting sqref="O5">
    <cfRule type="expression" dxfId="167" priority="8">
      <formula>ABS(O$7-O$10)&gt;=1000</formula>
    </cfRule>
  </conditionalFormatting>
  <conditionalFormatting sqref="P5">
    <cfRule type="expression" dxfId="166" priority="7">
      <formula>ABS(P$7-P$10)&gt;=1000</formula>
    </cfRule>
  </conditionalFormatting>
  <conditionalFormatting sqref="L23">
    <cfRule type="expression" dxfId="165" priority="6">
      <formula>ABS(L$25-L$28)&gt;=1000</formula>
    </cfRule>
  </conditionalFormatting>
  <conditionalFormatting sqref="Y14">
    <cfRule type="expression" dxfId="164" priority="5">
      <formula>ABS(Y$16-Y$19)&gt;=1000</formula>
    </cfRule>
  </conditionalFormatting>
  <conditionalFormatting sqref="F14">
    <cfRule type="expression" dxfId="163" priority="4">
      <formula>ABS(F$16-F$19)&gt;=1000</formula>
    </cfRule>
  </conditionalFormatting>
  <conditionalFormatting sqref="H14">
    <cfRule type="expression" dxfId="162" priority="3">
      <formula>ABS(H$16-H$19)&gt;=1000</formula>
    </cfRule>
  </conditionalFormatting>
  <conditionalFormatting sqref="AD5">
    <cfRule type="expression" dxfId="161" priority="2">
      <formula>ABS(AD$7-AD$10)&gt;=1000</formula>
    </cfRule>
  </conditionalFormatting>
  <conditionalFormatting sqref="AE5">
    <cfRule type="expression" dxfId="16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63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18">
    <pageSetUpPr fitToPage="1"/>
  </sheetPr>
  <dimension ref="A1:CU223"/>
  <sheetViews>
    <sheetView tabSelected="1" view="pageBreakPreview" zoomScale="70" zoomScaleNormal="100" zoomScaleSheetLayoutView="70" workbookViewId="0">
      <selection activeCell="Z23" sqref="Z23:AE29"/>
    </sheetView>
  </sheetViews>
  <sheetFormatPr defaultColWidth="8.125" defaultRowHeight="25.5"/>
  <cols>
    <col min="1" max="1" width="11.625" style="64" customWidth="1" phonetic="1"/>
    <col min="2" max="2" width="7.625" style="64" customWidth="1" phonetic="1"/>
    <col min="3" max="3" width="8" style="64" customWidth="1" phonetic="1"/>
    <col min="4" max="8" width="7.625" style="64" customWidth="1" phonetic="1"/>
    <col min="9" max="9" width="8" style="64" customWidth="1" phonetic="1"/>
    <col min="10" max="12" width="7.625" style="64" customWidth="1" phonetic="1"/>
    <col min="13" max="13" width="7.75" style="64" bestFit="1" customWidth="1" phonetic="1"/>
    <col min="14" max="30" width="7.625" style="64" customWidth="1" phonetic="1"/>
    <col min="31" max="31" width="7.625" style="75" customWidth="1" phonetic="1"/>
    <col min="32" max="32" width="11.625" style="64" bestFit="1" customWidth="1" phonetic="1"/>
    <col min="33" max="33" width="22.125" style="64" customWidth="1" phonetic="1"/>
    <col min="34" max="34" width="5.625" style="64" customWidth="1" phonetic="1"/>
    <col min="35" max="35" width="18.25" style="64" customWidth="1" phonetic="1"/>
    <col min="36" max="36" width="12" style="64" bestFit="1" customWidth="1" phonetic="1"/>
    <col min="37" max="37" width="11.625" style="64" bestFit="1" customWidth="1" phonetic="1"/>
    <col min="38" max="38" width="5.625" style="64" customWidth="1" phonetic="1"/>
    <col min="39" max="39" width="11.5" style="64" bestFit="1" customWidth="1" phonetic="1"/>
    <col min="40" max="40" width="6.25" style="64" customWidth="1" phonetic="1"/>
    <col min="41" max="41" width="8.625" style="64" customWidth="1" phonetic="1"/>
    <col min="42" max="42" width="11.25" style="64" customWidth="1" phonetic="1"/>
    <col min="43" max="43" width="11.75" style="64" customWidth="1" phonetic="1"/>
    <col min="44" max="44" width="11.25" style="64" customWidth="1" phonetic="1"/>
    <col min="45" max="45" width="11.25" style="64" bestFit="1" customWidth="1" phonetic="1"/>
    <col min="46" max="46" width="41.75" style="64" customWidth="1" phonetic="1"/>
    <col min="47" max="47" width="7.75" style="64" customWidth="1" phonetic="1"/>
    <col min="48" max="48" width="17.125" style="64" customWidth="1" phonetic="1"/>
    <col min="49" max="49" width="6.25" style="64" customWidth="1" phonetic="1"/>
    <col min="50" max="50" width="10" style="64" customWidth="1" phonetic="1"/>
    <col min="51" max="51" width="6.25" style="64" customWidth="1" phonetic="1"/>
    <col min="52" max="52" width="6.875" style="64" customWidth="1" phonetic="1"/>
    <col min="53" max="53" width="6.5" style="64" customWidth="1" phonetic="1"/>
    <col min="54" max="54" width="15.5" style="64" customWidth="1" phonetic="1"/>
    <col min="55" max="55" width="6.25" style="64" customWidth="1" phonetic="1"/>
    <col min="56" max="56" width="22.125" style="64" bestFit="1" customWidth="1" phonetic="1"/>
    <col min="57" max="57" width="6.5" style="64" customWidth="1" phonetic="1"/>
    <col min="58" max="60" width="6.25" style="64" customWidth="1" phonetic="1"/>
    <col min="61" max="16384" width="8.125" style="64" phonetic="1"/>
  </cols>
  <sheetData>
    <row r="1" spans="1:99" ht="30.75" ph="1">
      <c r="A1" s="64"/>
      <c r="B1" s="192" t="s" ph="1">
        <v>161</v>
      </c>
      <c r="C1" s="192" ph="1"/>
      <c r="D1" s="192" ph="1"/>
      <c r="E1" s="192" ph="1"/>
      <c r="F1" s="192" ph="1"/>
      <c r="G1" s="192" ph="1"/>
      <c r="H1" s="192" ph="1"/>
      <c r="I1" s="192" ph="1"/>
      <c r="J1" s="192" ph="1"/>
      <c r="K1" s="192" ph="1"/>
      <c r="L1" s="192" ph="1"/>
      <c r="M1" s="192" ph="1"/>
      <c r="N1" s="192" ph="1"/>
      <c r="O1" s="192" ph="1"/>
      <c r="P1" s="192" ph="1"/>
      <c r="Q1" s="192" ph="1"/>
      <c r="R1" s="192" ph="1"/>
      <c r="S1" s="192" ph="1"/>
      <c r="T1" s="192" ph="1"/>
      <c r="U1" s="192" ph="1"/>
      <c r="V1" s="192" ph="1"/>
      <c r="W1" s="192" ph="1"/>
      <c r="X1" s="192" ph="1"/>
      <c r="Y1" s="192" ph="1"/>
      <c r="Z1" s="192" ph="1"/>
      <c r="AA1" s="192" ph="1"/>
      <c r="AB1" s="192" ph="1"/>
      <c r="AC1" s="192" ph="1"/>
      <c r="AD1" s="192" ph="1"/>
      <c r="AE1" s="192" ph="1"/>
    </row>
    <row r="2" spans="1:99" s="66" customFormat="1" ht="24" customHeight="1" ph="1">
      <c r="B2" s="193" t="s" ph="1">
        <v>82</v>
      </c>
      <c r="C2" s="193" ph="1"/>
      <c r="D2" s="193" ph="1"/>
      <c r="E2" s="193" ph="1"/>
      <c r="F2" s="193" ph="1"/>
      <c r="G2" s="193" ph="1"/>
      <c r="H2" s="193" ph="1"/>
      <c r="I2" s="193" ph="1"/>
      <c r="J2" s="193" ph="1"/>
      <c r="K2" s="193" ph="1"/>
      <c r="L2" s="193" ph="1"/>
      <c r="M2" s="193" ph="1"/>
      <c r="N2" s="193" ph="1"/>
      <c r="O2" s="193" ph="1"/>
      <c r="P2" s="193" ph="1"/>
      <c r="Q2" s="193" ph="1"/>
      <c r="R2" s="193" ph="1"/>
      <c r="S2" s="193" ph="1"/>
      <c r="T2" s="193" ph="1"/>
      <c r="U2" s="193" ph="1"/>
      <c r="V2" s="193" ph="1"/>
      <c r="W2" s="193" ph="1"/>
      <c r="X2" s="193" ph="1"/>
      <c r="Y2" s="193" ph="1"/>
      <c r="Z2" s="193" ph="1"/>
      <c r="AA2" s="193" ph="1"/>
      <c r="AB2" s="193" ph="1"/>
      <c r="AC2" s="193" ph="1"/>
      <c r="AD2" s="193" ph="1"/>
      <c r="AE2" s="193" ph="1"/>
    </row>
    <row r="3" spans="1:99" ht="21" customHeight="1" ph="1">
      <c r="B3" s="194" ph="1">
        <v>46052</v>
      </c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</row>
    <row r="4" spans="1:99" s="69" customFormat="1" ph="1">
      <c r="A4" s="65" ph="1"/>
      <c r="B4" s="195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195" ph="1"/>
      <c r="C5" s="67" t="s" ph="1">
        <v>36</v>
      </c>
      <c r="D5" s="70" t="s" ph="1">
        <v>160</v>
      </c>
      <c r="E5" s="158" t="s" ph="1">
        <v>633</v>
      </c>
      <c r="F5" s="158" t="s" ph="1">
        <v>1</v>
      </c>
      <c r="G5" s="158" t="s" ph="1">
        <v>7</v>
      </c>
      <c r="H5" s="158" t="s" ph="1">
        <v>7</v>
      </c>
      <c r="I5" s="157" t="s" ph="1">
        <v>608</v>
      </c>
      <c r="J5" s="157" t="s" ph="1">
        <v>609</v>
      </c>
      <c r="K5" s="157" t="s" ph="1">
        <v>611</v>
      </c>
      <c r="L5" s="157" t="s" ph="1">
        <v>613</v>
      </c>
      <c r="M5" s="157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644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191" ph="1">
        <v>0.33333333333333331</v>
      </c>
      <c r="C6" s="169" t="s" ph="1">
        <v>177</v>
      </c>
      <c r="D6" s="71">
        <v>6290</v>
      </c>
      <c r="E6" s="71">
        <v>86</v>
      </c>
      <c r="F6" s="71">
        <v>4516</v>
      </c>
      <c r="G6" s="71">
        <v>3067</v>
      </c>
      <c r="H6" s="71">
        <v>1420</v>
      </c>
      <c r="I6" s="71">
        <v>0.08</v>
      </c>
      <c r="J6" s="71">
        <v>6.58</v>
      </c>
      <c r="K6" s="71">
        <v>47.14</v>
      </c>
      <c r="L6" s="71">
        <v>0</v>
      </c>
      <c r="M6" s="71">
        <v>793</v>
      </c>
      <c r="N6" s="71">
        <v>4329</v>
      </c>
      <c r="O6" s="71">
        <v>1156</v>
      </c>
      <c r="P6" s="71">
        <v>1882</v>
      </c>
      <c r="Q6" s="71">
        <v>5218</v>
      </c>
      <c r="R6" s="71">
        <v>5770</v>
      </c>
      <c r="S6" s="71">
        <v>1299</v>
      </c>
      <c r="T6" s="71">
        <v>0</v>
      </c>
      <c r="U6" s="71">
        <v>0</v>
      </c>
      <c r="V6" s="71">
        <v>0</v>
      </c>
      <c r="W6" s="71">
        <v>6984</v>
      </c>
      <c r="X6" s="71">
        <v>7053</v>
      </c>
      <c r="Y6" s="71">
        <v>4647</v>
      </c>
      <c r="Z6" s="71">
        <v>5550</v>
      </c>
      <c r="AA6" s="71">
        <v>3992</v>
      </c>
      <c r="AB6" s="71">
        <v>4980</v>
      </c>
      <c r="AC6" s="71">
        <v>6990</v>
      </c>
      <c r="AD6" s="71">
        <v>4780</v>
      </c>
      <c r="AE6" s="71">
        <v>4132</v>
      </c>
    </row>
    <row r="7" spans="1:99" s="72" customFormat="1" ht="22.5" ph="1">
      <c r="B7" s="191" ph="1"/>
      <c r="C7" s="68" t="s" ph="1">
        <v>178</v>
      </c>
      <c r="D7" s="73" ph="1">
        <f>D6*33.183*LOOKUP(D8,密度!$A$2:$A$50,密度!$Q$2:$Q$50)</f>
        <v>198220.31296830002</v>
      </c>
      <c r="E7" s="73" ph="1">
        <f>E6*51.53*LOOKUP(E8,密度!$A$2:$A$50,密度!$B$2:$B$50)</f>
        <v>3488.5397760000001</v>
      </c>
      <c r="F7" s="73" ph="1">
        <f>F6*33.183*LOOKUP(F8,密度!$A$2:$A$50,密度!$C$2:$C$50)</f>
        <v>166922.84734919996</v>
      </c>
      <c r="G7" s="73" ph="1">
        <f xml:space="preserve"> (G6+2)*51.53*LOOKUP(G8,密度!$A$2:$A$50,密度!$B$2:$B$50)</f>
        <v>124492.192704</v>
      </c>
      <c r="H7" s="73" ph="1">
        <f>(H6)*51.53*LOOKUP(H8,密度!$A$2:$A$50,密度!$B$2:$B$50)</f>
        <v>57725.864140000005</v>
      </c>
      <c r="I7" s="73" ph="1">
        <f>I6*290.8*1.0267</f>
        <v>23.885148800000003</v>
      </c>
      <c r="J7" s="73" ph="1">
        <f>J6*290.8*0.7892</f>
        <v>1510.1057888000003</v>
      </c>
      <c r="K7" s="73" ph="1">
        <f>K6*290.8*1.1126</f>
        <v>15251.8679312</v>
      </c>
      <c r="L7" s="73" ph="1">
        <f>L6*290.8*0.777</f>
        <v>0</v>
      </c>
      <c r="M7" s="73" ph="1">
        <f>M6*33.183*LOOKUP(M8,密度!$A$2:$A$50,密度!$D$2:$D$50)</f>
        <v>27229.850341199995</v>
      </c>
      <c r="N7" s="73" ph="1">
        <f>N6*33.183*LOOKUP(N8,密度!$A$2:$A$50,密度!$E$2:$E$50)</f>
        <v>113683.9824198</v>
      </c>
      <c r="O7" s="73" ph="1">
        <f>O6*20.428*LOOKUP(O8,密度!$A$2:$A$50,密度!$C$2:$C$50)</f>
        <v>26257.260539200004</v>
      </c>
      <c r="P7" s="73" ph="1">
        <f>P6*51.53*LOOKUP(P8,密度!$A$2:$A$50,密度!$B$2:$B$50)</f>
        <v>76342.230911999999</v>
      </c>
      <c r="Q7" s="73" ph="1">
        <f>Q6*1.5*1.5*3.1416*LOOKUP(W8,密度!$A$2:$A$50,密度!$L$2:$L$50)</f>
        <v>34818.453331199999</v>
      </c>
      <c r="R7" s="73" ph="1">
        <f>R6*1.5*1.5*3.1416*LOOKUP(R8,密度!$A$2:$A$50,密度!$L$2:$L$50)</f>
        <v>38297.886857999998</v>
      </c>
      <c r="S7" s="73" ph="1">
        <f>S6*1.5*1.5*3.1416*LOOKUP(S8,密度!$A$2:$A$50,密度!$L$2:$L$50)</f>
        <v>8695.4594957999998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46602.544665599991</v>
      </c>
      <c r="X7" s="73" ph="1">
        <f>X6*1.5*1.5*3.1416*LOOKUP(X8,密度!$A$2:$A$50,密度!$L$2:$L$50)</f>
        <v>47511.658517399999</v>
      </c>
      <c r="Y7" s="73" ph="1">
        <f>Y6*1.5*1.5*3.1416*LOOKUP(Y8,密度!$A$2:$A$50,密度!$L$2:$L$50)</f>
        <v>31008.308284800001</v>
      </c>
      <c r="Z7" s="73" ph="1">
        <f>Z6*33.183*LOOKUP(Z8,密度!$A$2:$A$50,密度!$L$2:$L$50)</f>
        <v>174404.87054999999</v>
      </c>
      <c r="AA7" s="73" ph="1">
        <f>AA6*33.183*LOOKUP(AA8,密度!$A$2:$A$50,密度!$D$2:$D$50)</f>
        <v>136851.17834159997</v>
      </c>
      <c r="AB7" s="73" ph="1">
        <f>AB6*20.428*LOOKUP(AB8,密度!$A$2:$A$50,密度!$D$2:$D$50)</f>
        <v>105892.255896</v>
      </c>
      <c r="AC7" s="73" ph="1">
        <f>AC6*51.53*LOOKUP(AC8,密度!$A$2:$A$50,密度!$Q$2:$Q$50)</f>
        <v>343820.248938</v>
      </c>
      <c r="AD7" s="73" ph="1">
        <f>AD6*20.428*LOOKUP(AD8,密度!$A$2:$A$50,密度!$V$2:$V$50)</f>
        <v>94130.589760000003</v>
      </c>
      <c r="AE7" s="73" ph="1">
        <f>AE6*20.428</f>
        <v>84408.495999999999</v>
      </c>
    </row>
    <row r="8" spans="1:99" ph="1">
      <c r="B8" s="191" ph="1"/>
      <c r="C8" s="68" t="s" ph="1">
        <v>179</v>
      </c>
      <c r="D8" s="74">
        <v>21</v>
      </c>
      <c r="E8" s="74">
        <v>16</v>
      </c>
      <c r="F8" s="74">
        <v>18</v>
      </c>
      <c r="G8" s="74">
        <v>16</v>
      </c>
      <c r="H8" s="74">
        <v>14</v>
      </c>
      <c r="I8" s="74">
        <v>25</v>
      </c>
      <c r="J8" s="74">
        <v>25</v>
      </c>
      <c r="K8" s="74">
        <v>25</v>
      </c>
      <c r="L8" s="74">
        <v>25</v>
      </c>
      <c r="M8" s="74">
        <v>16</v>
      </c>
      <c r="N8" s="74">
        <v>18</v>
      </c>
      <c r="O8" s="74">
        <v>21</v>
      </c>
      <c r="P8" s="74">
        <v>16</v>
      </c>
      <c r="Q8" s="74">
        <v>19</v>
      </c>
      <c r="R8" s="74">
        <v>23</v>
      </c>
      <c r="S8" s="74">
        <v>15</v>
      </c>
      <c r="T8" s="74">
        <v>13</v>
      </c>
      <c r="U8" s="74">
        <v>18</v>
      </c>
      <c r="V8" s="74">
        <v>25</v>
      </c>
      <c r="W8" s="74">
        <v>18</v>
      </c>
      <c r="X8" s="74">
        <v>9</v>
      </c>
      <c r="Y8" s="74">
        <v>18</v>
      </c>
      <c r="Z8" s="74">
        <v>15</v>
      </c>
      <c r="AA8" s="74">
        <v>18</v>
      </c>
      <c r="AB8" s="74">
        <v>9</v>
      </c>
      <c r="AC8" s="74">
        <v>14</v>
      </c>
      <c r="AD8" s="74">
        <v>15</v>
      </c>
      <c r="AE8" s="74">
        <v>21</v>
      </c>
    </row>
    <row r="9" spans="1:99" ph="1">
      <c r="B9" s="191" ph="1">
        <v>0.66666666666666663</v>
      </c>
      <c r="C9" s="169" t="s" ph="1">
        <v>180</v>
      </c>
      <c r="D9" s="71">
        <v>6288</v>
      </c>
      <c r="E9" s="71">
        <v>88</v>
      </c>
      <c r="F9" s="71">
        <v>5196</v>
      </c>
      <c r="G9" s="71">
        <v>3067</v>
      </c>
      <c r="H9" s="71">
        <v>1153</v>
      </c>
      <c r="I9" s="71">
        <v>0.08</v>
      </c>
      <c r="J9" s="71">
        <v>6.59</v>
      </c>
      <c r="K9" s="71">
        <v>55.61</v>
      </c>
      <c r="L9" s="71">
        <v>69.69</v>
      </c>
      <c r="M9" s="71">
        <v>792</v>
      </c>
      <c r="N9" s="71">
        <v>4331</v>
      </c>
      <c r="O9" s="71">
        <v>1739</v>
      </c>
      <c r="P9" s="71">
        <v>1750</v>
      </c>
      <c r="Q9" s="71">
        <v>7164</v>
      </c>
      <c r="R9" s="71">
        <v>7119</v>
      </c>
      <c r="S9" s="71">
        <v>6479</v>
      </c>
      <c r="T9" s="71">
        <v>0</v>
      </c>
      <c r="U9" s="71">
        <v>0</v>
      </c>
      <c r="V9" s="71">
        <v>0</v>
      </c>
      <c r="W9" s="71">
        <v>5909</v>
      </c>
      <c r="X9" s="71">
        <v>7056</v>
      </c>
      <c r="Y9" s="71">
        <v>4651</v>
      </c>
      <c r="Z9" s="71">
        <v>3240</v>
      </c>
      <c r="AA9" s="71">
        <v>3991</v>
      </c>
      <c r="AB9" s="71">
        <v>4883</v>
      </c>
      <c r="AC9" s="71">
        <v>6990</v>
      </c>
      <c r="AD9" s="71">
        <v>4780</v>
      </c>
      <c r="AE9" s="71">
        <v>4415</v>
      </c>
    </row>
    <row r="10" spans="1:99" s="72" customFormat="1" ht="22.5" ph="1">
      <c r="B10" s="191" ph="1"/>
      <c r="C10" s="169" t="s" ph="1">
        <v>178</v>
      </c>
      <c r="D10" s="73" ph="1">
        <f>D9*33.183*LOOKUP(D11,密度!$A$2:$A$50,密度!$Q$2:$Q$50)</f>
        <v>198157.28584175999</v>
      </c>
      <c r="E10" s="73" ph="1">
        <f>E9*51.53*LOOKUP(E11,密度!$A$2:$A$50,密度!$B$2:$B$50)</f>
        <v>3562.8666480000002</v>
      </c>
      <c r="F10" s="73" ph="1">
        <f>F9*33.183*LOOKUP(F11,密度!$A$2:$A$50,密度!$C$2:$C$50)</f>
        <v>192057.37706519998</v>
      </c>
      <c r="G10" s="73" ph="1">
        <f xml:space="preserve"> (G9+2)*51.53*LOOKUP(G11,密度!$A$2:$A$50,密度!$B$2:$B$50)</f>
        <v>124254.974349</v>
      </c>
      <c r="H10" s="73" ph="1">
        <f>(H9)*51.53*LOOKUP(H11,密度!$A$2:$A$50,密度!$B$2:$B$50)</f>
        <v>46770.771648000002</v>
      </c>
      <c r="I10" s="73" ph="1">
        <f>I9*290.8*1.0267</f>
        <v>23.885148800000003</v>
      </c>
      <c r="J10" s="73" ph="1">
        <f>J9*290.8*0.7892</f>
        <v>1512.4007824</v>
      </c>
      <c r="K10" s="73" ph="1">
        <f>K9*290.8*1.1126</f>
        <v>17992.286288800002</v>
      </c>
      <c r="L10" s="73" ph="1">
        <f>L9*290.8*0.777</f>
        <v>15746.567004</v>
      </c>
      <c r="M10" s="73" ph="1">
        <f>M9*33.183*LOOKUP(M11,密度!$A$2:$A$50,密度!$D$2:$D$50)</f>
        <v>27127.182139200002</v>
      </c>
      <c r="N10" s="73" ph="1">
        <f>N9*33.183*LOOKUP(N11,密度!$A$2:$A$50,密度!$E$2:$E$50)</f>
        <v>113578.4173419</v>
      </c>
      <c r="O10" s="73" ph="1">
        <f>O9*20.428*LOOKUP(O11,密度!$A$2:$A$50,密度!$C$2:$C$50)</f>
        <v>39417.754403200001</v>
      </c>
      <c r="P10" s="73" ph="1">
        <f>P9*51.53*LOOKUP(P11,密度!$A$2:$A$50,密度!$B$2:$B$50)</f>
        <v>70852.461750000002</v>
      </c>
      <c r="Q10" s="73" ph="1">
        <f>Q9*1.5*1.5*3.1416*LOOKUP(W11,密度!$A$2:$A$50,密度!$L$2:$L$50)</f>
        <v>47803.641177600002</v>
      </c>
      <c r="R10" s="73" ph="1">
        <f>R9*1.5*1.5*3.1416*LOOKUP(R11,密度!$A$2:$A$50,密度!$L$2:$L$50)</f>
        <v>47251.760232599998</v>
      </c>
      <c r="S10" s="73" ph="1">
        <f>S9*1.5*1.5*3.1416*LOOKUP(S11,密度!$A$2:$A$50,密度!$L$2:$L$50)</f>
        <v>43324.3965924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39429.329385600002</v>
      </c>
      <c r="X10" s="73" ph="1">
        <f>X9*1.5*1.5*3.1416*LOOKUP(X11,密度!$A$2:$A$50,密度!$L$2:$L$50)</f>
        <v>47481.991603199996</v>
      </c>
      <c r="Y10" s="73" ph="1">
        <f>Y9*1.5*1.5*3.1416*LOOKUP(Y11,密度!$A$2:$A$50,密度!$L$2:$L$50)</f>
        <v>31034.999318399994</v>
      </c>
      <c r="Z10" s="73" ph="1">
        <f>Z9*33.183*LOOKUP(Z11,密度!$A$2:$A$50,密度!$L$2:$L$50)</f>
        <v>101707.22231999999</v>
      </c>
      <c r="AA10" s="73" ph="1">
        <f>AA9*33.183*LOOKUP(AA11,密度!$A$2:$A$50,密度!$D$2:$D$50)</f>
        <v>136697.7069666</v>
      </c>
      <c r="AB10" s="73" ph="1">
        <f>AB9*20.428*LOOKUP(AB11,密度!$A$2:$A$50,密度!$D$2:$D$50)</f>
        <v>103739.92096</v>
      </c>
      <c r="AC10" s="73" ph="1">
        <f>AC9*51.53*LOOKUP(AC11,密度!$A$2:$A$50,密度!$Q$2:$Q$50)</f>
        <v>343481.66592</v>
      </c>
      <c r="AD10" s="73" ph="1">
        <f>AD9*20.428*LOOKUP(AD11,密度!$A$2:$A$50,密度!$V$2:$V$50)</f>
        <v>94130.589760000003</v>
      </c>
      <c r="AE10" s="73" ph="1">
        <f>AE9*20.428</f>
        <v>90189.62000000001</v>
      </c>
    </row>
    <row r="11" spans="1:99" ph="1">
      <c r="A11" s="64" t="s" ph="1">
        <v>162</v>
      </c>
      <c r="B11" s="191" ph="1"/>
      <c r="C11" s="169" t="s" ph="1">
        <v>179</v>
      </c>
      <c r="D11" s="74">
        <v>21</v>
      </c>
      <c r="E11" s="74">
        <v>18</v>
      </c>
      <c r="F11" s="74">
        <v>18</v>
      </c>
      <c r="G11" s="74">
        <v>18</v>
      </c>
      <c r="H11" s="74">
        <v>16</v>
      </c>
      <c r="I11" s="74">
        <v>25</v>
      </c>
      <c r="J11" s="74">
        <v>25</v>
      </c>
      <c r="K11" s="74">
        <v>25</v>
      </c>
      <c r="L11" s="74">
        <v>25</v>
      </c>
      <c r="M11" s="74">
        <v>19</v>
      </c>
      <c r="N11" s="74">
        <v>19</v>
      </c>
      <c r="O11" s="74">
        <v>24</v>
      </c>
      <c r="P11" s="74">
        <v>18</v>
      </c>
      <c r="Q11" s="74">
        <v>20</v>
      </c>
      <c r="R11" s="74">
        <v>23</v>
      </c>
      <c r="S11" s="74">
        <v>16</v>
      </c>
      <c r="T11" s="74">
        <v>17</v>
      </c>
      <c r="U11" s="74">
        <v>18</v>
      </c>
      <c r="V11" s="74">
        <v>25</v>
      </c>
      <c r="W11" s="74">
        <v>18</v>
      </c>
      <c r="X11" s="74">
        <v>10</v>
      </c>
      <c r="Y11" s="74">
        <v>18</v>
      </c>
      <c r="Z11" s="74">
        <v>16</v>
      </c>
      <c r="AA11" s="74">
        <v>19</v>
      </c>
      <c r="AB11" s="74">
        <v>10</v>
      </c>
      <c r="AC11" s="74">
        <v>16</v>
      </c>
      <c r="AD11" s="74">
        <v>17</v>
      </c>
      <c r="AE11" s="74">
        <v>25</v>
      </c>
    </row>
    <row r="12" spans="1:99" ht="9.9499999999999993" customHeight="1" ph="1"/>
    <row r="13" spans="1:99" s="72" customFormat="1" ht="29.25" customHeight="1" ph="1">
      <c r="B13" s="199" t="s" ph="1">
        <v>37</v>
      </c>
      <c r="C13" s="169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00" ph="1"/>
      <c r="C14" s="67" t="s" ph="1">
        <v>36</v>
      </c>
      <c r="D14" s="77" t="s" ph="1">
        <v>616</v>
      </c>
      <c r="E14" s="77" t="s" ph="1">
        <v>616</v>
      </c>
      <c r="F14" s="249" t="s" ph="1">
        <v>649</v>
      </c>
      <c r="G14" s="77" t="s" ph="1">
        <v>617</v>
      </c>
      <c r="H14" s="77" t="s" ph="1">
        <v>615</v>
      </c>
      <c r="I14" s="139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619</v>
      </c>
      <c r="P14" s="77" t="s" ph="1">
        <v>622</v>
      </c>
      <c r="Q14" s="77" t="s" ph="1">
        <v>622</v>
      </c>
      <c r="R14" s="88" t="s" ph="1">
        <v>7</v>
      </c>
      <c r="S14" s="77" t="s" ph="1">
        <v>71</v>
      </c>
      <c r="T14" s="77" t="s" ph="1">
        <v>624</v>
      </c>
      <c r="U14" s="77" t="s" ph="1">
        <v>605</v>
      </c>
      <c r="V14" s="77" t="s" ph="1">
        <v>635</v>
      </c>
      <c r="W14" s="77" t="s" ph="1">
        <v>622</v>
      </c>
      <c r="X14" s="77" t="s" ph="1">
        <v>625</v>
      </c>
      <c r="Y14" s="159" t="s" ph="1">
        <v>0</v>
      </c>
      <c r="Z14" s="77" t="s" ph="1">
        <v>54</v>
      </c>
      <c r="AA14" s="77" t="s" ph="1">
        <v>613</v>
      </c>
      <c r="AB14" s="77" t="s" ph="1">
        <v>634</v>
      </c>
      <c r="AC14" s="77" t="s" ph="1">
        <v>634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01" ph="1">
        <v>0.33333333333333331</v>
      </c>
      <c r="C15" s="169" t="s" ph="1">
        <v>177</v>
      </c>
      <c r="D15" s="78">
        <v>5986</v>
      </c>
      <c r="E15" s="78">
        <v>5709</v>
      </c>
      <c r="F15" s="78">
        <v>4552</v>
      </c>
      <c r="G15" s="78">
        <v>3101</v>
      </c>
      <c r="H15" s="78">
        <v>5385</v>
      </c>
      <c r="I15" s="78">
        <v>5215</v>
      </c>
      <c r="J15" s="78">
        <v>4601</v>
      </c>
      <c r="K15" s="78">
        <v>4464</v>
      </c>
      <c r="L15" s="78">
        <v>3078</v>
      </c>
      <c r="M15" s="78">
        <v>3720</v>
      </c>
      <c r="N15" s="78">
        <v>2161</v>
      </c>
      <c r="O15" s="78">
        <v>5340</v>
      </c>
      <c r="P15" s="78">
        <v>6978</v>
      </c>
      <c r="Q15" s="78">
        <v>5245</v>
      </c>
      <c r="R15" s="78">
        <v>7343</v>
      </c>
      <c r="S15" s="78">
        <v>6385</v>
      </c>
      <c r="T15" s="78">
        <v>599</v>
      </c>
      <c r="U15" s="78">
        <v>6089</v>
      </c>
      <c r="V15" s="78">
        <v>4989</v>
      </c>
      <c r="W15" s="71">
        <v>-567</v>
      </c>
      <c r="X15" s="78">
        <v>403</v>
      </c>
      <c r="Y15" s="106">
        <v>-9900</v>
      </c>
      <c r="Z15" s="78">
        <v>0</v>
      </c>
      <c r="AA15" s="78">
        <v>10</v>
      </c>
      <c r="AB15" s="78" ph="1">
        <v>6946</v>
      </c>
      <c r="AC15" s="78" ph="1">
        <v>2142</v>
      </c>
      <c r="AD15" s="78">
        <v>31.82</v>
      </c>
      <c r="AE15" s="78">
        <v>43.13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5" ph="1">
      <c r="B16" s="202" ph="1"/>
      <c r="C16" s="169" t="s" ph="1">
        <v>178</v>
      </c>
      <c r="D16" s="73" ph="1">
        <f>D15*7.0686*LOOKUP(D17,密度!$A$2:$A$50,密度!$L$2:$L$50)</f>
        <v>40070.069701200002</v>
      </c>
      <c r="E16" s="73" ph="1">
        <f>E15*7.0686*LOOKUP(E17,密度!$A$2:$A$50,密度!$L$2:$L$50)</f>
        <v>38215.841617799997</v>
      </c>
      <c r="F16" s="73" ph="1">
        <f>F15*9.0746*LOOKUP(F17,密度!$A$2:$A$50,密度!$L$2:$L$50)</f>
        <v>38787.816868800001</v>
      </c>
      <c r="G16" s="73" ph="1">
        <f>G15*9.0746*LOOKUP(G17,密度!$A$2:$A$50,密度!$B$2:$B$50)</f>
        <v>22109.860895220001</v>
      </c>
      <c r="H16" s="73" ph="1">
        <f>H15*9.0746*LOOKUP(H17,密度!$A$2:$A$50,密度!$L$2:$L$50)</f>
        <v>46325.651507999995</v>
      </c>
      <c r="I16" s="73" ph="1">
        <f>I15*9.0746*LOOKUP(I17,密度!$A$2:$A$50,密度!$U$2:$U$50)</f>
        <v>48649.112092000003</v>
      </c>
      <c r="J16" s="73" ph="1">
        <f>J15*9.0746*LOOKUP(J17,密度!$A$2:$A$50,密度!$L$2:$L$50)</f>
        <v>39288.852758599998</v>
      </c>
      <c r="K16" s="73" ph="1">
        <f>K15*9.0746*LOOKUP(K17,密度!$A$2:$A$50,密度!$C$2:$C$50)</f>
        <v>45070.329421440001</v>
      </c>
      <c r="L16" s="73" ph="1">
        <f>L15*9.0746*LOOKUP(L17,密度!$A$2:$A$50,密度!$E$2:$E$50)</f>
        <v>22074.358337640002</v>
      </c>
      <c r="M16" s="73" ph="1">
        <f>M15*9.0746*LOOKUP(M17,密度!$A$2:$A$50,密度!$M$2:$M$50)</f>
        <v>29716.737813600001</v>
      </c>
      <c r="N16" s="73" ph="1">
        <f>N15*9.0746*LOOKUP(N17,密度!$A$2:$A$50,密度!$M$2:$M$50)</f>
        <v>17262.86839118</v>
      </c>
      <c r="O16" s="73" ph="1">
        <f>O15*9.0746*LOOKUP(O17,密度!$A$2:$A$50,密度!$G$2:$G$50)</f>
        <v>46859.237988000001</v>
      </c>
      <c r="P16" s="73" ph="1">
        <f ca="1">P15*9.0746*LOOKUP(P17,密度!$A$2:$A$51,密度!$Q$2:$Q$50)</f>
        <v>60283.709203188002</v>
      </c>
      <c r="Q16" s="73" ph="1">
        <f>Q15*9.0746*LOOKUP(Q17,密度!$A$2:$A$50,密度!$Q$2:$Q$50)</f>
        <v>45432.550247580002</v>
      </c>
      <c r="R16" s="73" ph="1">
        <f>MAX(R15*9.0746*LOOKUP(R17,密度!$A$2:$A$50,密度!$B$2:$B$50),0)</f>
        <v>52301.64494422001</v>
      </c>
      <c r="S16" s="73" ph="1">
        <f>S15*9.0746*LOOKUP(S17,密度!$A$2:$A$50,密度!$Q$2:$Q$50)</f>
        <v>55160.717005210005</v>
      </c>
      <c r="T16" s="73" ph="1">
        <f>T15*9.0746*LOOKUP(T17,密度!$A$2:$A$50,密度!$O$2:$O$50)</f>
        <v>5076.9301636000009</v>
      </c>
      <c r="U16" s="73" ph="1">
        <f>U15*9.0746*LOOKUP(U17,密度!$A$2:$A$50,密度!$H$2:$H$50)</f>
        <v>51094.519873179997</v>
      </c>
      <c r="V16" s="73" ph="1">
        <f>MAX(5600*LOOKUP(V17,密度!$A$2:$A$50,密度!$Q$2:$Q$50)+V15*9.0476*LOOKUP(V17,密度!$A$2:$A$50,密度!$Q$2:$Q$50),0)</f>
        <v>48303.536917564001</v>
      </c>
      <c r="W16" s="73" ph="1">
        <f>MAX(5600*LOOKUP(W17,密度!$A$2:$A$50,密度!$Q$2:$Q$50)+W15*9.0476*LOOKUP(W17,密度!$A$2:$A$50,密度!$Q$2:$Q$50),0)</f>
        <v>447.08837328400023</v>
      </c>
      <c r="X16" s="73" ph="1">
        <f>MAX(5600*LOOKUP(X17,密度!$A$2:$A$50,密度!$I$2:$I$50)+X15*9.0476*LOOKUP(X17,密度!$A$2:$A$50,密度!$I$2:$I$50),0)</f>
        <v>9585.5177087599986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71.50784800000001</v>
      </c>
      <c r="AB16" s="73" ph="1">
        <f>AB15*9.0746*LOOKUP(AB17,密度!$A$2:$A$50,密度!$L$2:$L$50)</f>
        <v>59502.369990399995</v>
      </c>
      <c r="AC16" s="73" ph="1">
        <f>AC15*9.0746*LOOKUP(AC17,密度!$A$2:$A$50,密度!$L$2:$L$50)</f>
        <v>18407.590160399999</v>
      </c>
      <c r="AD16" s="73" ph="1">
        <f>AD15*268.68*LOOKUP(AD17,密度!$A$2:$A$50,密度!B2:B50)+IF(AD15&lt;=0,0,1566*LOOKUP(AD17,密度!$A$2:$A$50,密度!B2:B50))</f>
        <v>7885.963968959999</v>
      </c>
      <c r="AE16" s="73" ph="1">
        <f>AE15*268.68*LOOKUP(AE17,密度!$A$2:$A$50,密度!B2:B50)+IF(AE15&lt;=0,0,1566*LOOKUP(AE17,密度!$A$2:$A$50,密度!B2:B50))</f>
        <v>10254.989684640001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03" ph="1"/>
      <c r="C17" s="79" t="s" ph="1">
        <v>179</v>
      </c>
      <c r="D17" s="74">
        <v>15</v>
      </c>
      <c r="E17" s="74">
        <v>15</v>
      </c>
      <c r="F17" s="74">
        <v>23</v>
      </c>
      <c r="G17" s="74">
        <v>18</v>
      </c>
      <c r="H17" s="74">
        <v>14</v>
      </c>
      <c r="I17" s="74">
        <v>16</v>
      </c>
      <c r="J17" s="74">
        <v>21</v>
      </c>
      <c r="K17" s="74">
        <v>20</v>
      </c>
      <c r="L17" s="74">
        <v>19</v>
      </c>
      <c r="M17" s="74">
        <v>19</v>
      </c>
      <c r="N17" s="74">
        <v>18</v>
      </c>
      <c r="O17" s="74">
        <v>19</v>
      </c>
      <c r="P17" s="74">
        <v>18</v>
      </c>
      <c r="Q17" s="74">
        <v>15</v>
      </c>
      <c r="R17" s="74">
        <v>19</v>
      </c>
      <c r="S17" s="74">
        <v>18</v>
      </c>
      <c r="T17" s="74">
        <v>17</v>
      </c>
      <c r="U17" s="74">
        <v>15</v>
      </c>
      <c r="V17" s="74">
        <v>18</v>
      </c>
      <c r="W17" s="74">
        <v>19</v>
      </c>
      <c r="X17" s="74">
        <v>30</v>
      </c>
      <c r="Y17" s="108">
        <v>30</v>
      </c>
      <c r="Z17" s="74">
        <v>18</v>
      </c>
      <c r="AA17" s="74">
        <v>15</v>
      </c>
      <c r="AB17" s="74">
        <v>18</v>
      </c>
      <c r="AC17" s="74">
        <v>15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ph="1">
      <c r="B18" s="201" ph="1">
        <v>0.66666666666666663</v>
      </c>
      <c r="C18" s="79" t="s" ph="1">
        <v>180</v>
      </c>
      <c r="D18" s="71">
        <v>5993</v>
      </c>
      <c r="E18" s="71">
        <v>5977</v>
      </c>
      <c r="F18" s="71">
        <v>4551</v>
      </c>
      <c r="G18" s="71">
        <v>3160</v>
      </c>
      <c r="H18" s="71">
        <v>5388</v>
      </c>
      <c r="I18" s="71">
        <v>5217</v>
      </c>
      <c r="J18" s="71">
        <v>5510</v>
      </c>
      <c r="K18" s="71">
        <v>4539</v>
      </c>
      <c r="L18" s="71">
        <v>3080</v>
      </c>
      <c r="M18" s="71">
        <v>741</v>
      </c>
      <c r="N18" s="71">
        <v>2171</v>
      </c>
      <c r="O18" s="71">
        <v>5342</v>
      </c>
      <c r="P18" s="71">
        <v>6982</v>
      </c>
      <c r="Q18" s="71">
        <v>5248</v>
      </c>
      <c r="R18" s="71">
        <v>7349</v>
      </c>
      <c r="S18" s="71">
        <v>5474</v>
      </c>
      <c r="T18" s="71">
        <v>596</v>
      </c>
      <c r="U18" s="71">
        <v>6092</v>
      </c>
      <c r="V18" s="71">
        <v>4989</v>
      </c>
      <c r="W18" s="71">
        <v>-568</v>
      </c>
      <c r="X18" s="71">
        <v>403</v>
      </c>
      <c r="Y18" s="109">
        <v>-9900</v>
      </c>
      <c r="Z18" s="71">
        <v>0</v>
      </c>
      <c r="AA18" s="71">
        <v>10</v>
      </c>
      <c r="AB18" s="71">
        <v>6949</v>
      </c>
      <c r="AC18" s="71">
        <v>2142</v>
      </c>
      <c r="AD18" s="71">
        <v>40.36</v>
      </c>
      <c r="AE18" s="71">
        <v>85.24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5" ph="1">
      <c r="B19" s="202" ph="1"/>
      <c r="C19" s="169" t="s" ph="1">
        <v>178</v>
      </c>
      <c r="D19" s="73" ph="1">
        <f>D18*7.0686*LOOKUP(D20,密度!$A$2:$A$50,密度!$L$2:$L$50)</f>
        <v>39947.4789714</v>
      </c>
      <c r="E19" s="73" ph="1">
        <f>E18*7.0686*LOOKUP(E20,密度!$A$2:$A$50,密度!$L$2:$L$50)</f>
        <v>39840.827934599998</v>
      </c>
      <c r="F19" s="73" ph="1">
        <f>F18*9.0746*LOOKUP(F20,密度!$A$2:$A$50,密度!$L$2:$L$50)</f>
        <v>38944.4898378</v>
      </c>
      <c r="G19" s="73" ph="1">
        <f>G18*9.0746*LOOKUP(G20,密度!$A$2:$A$50,密度!$B$2:$B$50)</f>
        <v>22507.585186400003</v>
      </c>
      <c r="H19" s="73" ph="1">
        <f>H18*9.0746*LOOKUP(H20,密度!$A$2:$A$50,密度!$L$2:$L$50)</f>
        <v>46106.989946400005</v>
      </c>
      <c r="I19" s="73" ph="1">
        <f>I18*9.0746*LOOKUP(I20,密度!$A$2:$A$50,密度!$U$2:$U$50)</f>
        <v>48667.769469600004</v>
      </c>
      <c r="J19" s="73" ph="1">
        <f>J18*9.0746*LOOKUP(J20,密度!$A$2:$A$50,密度!$L$2:$L$50)</f>
        <v>47000.983240000001</v>
      </c>
      <c r="K19" s="73" ph="1">
        <f>K18*9.0746*LOOKUP(K20,密度!$A$2:$A$50,密度!$C$2:$C$50)</f>
        <v>45798.726691860007</v>
      </c>
      <c r="L19" s="73" ph="1">
        <f>L18*9.0746*LOOKUP(L20,密度!$A$2:$A$50,密度!$E$2:$E$50)</f>
        <v>22088.701650399998</v>
      </c>
      <c r="M19" s="73" ph="1">
        <f>M18*9.0746*LOOKUP(M20,密度!$A$2:$A$50,密度!$M$2:$M$50)</f>
        <v>5903.9166108000009</v>
      </c>
      <c r="N19" s="73" ph="1">
        <f>N18*9.0746*LOOKUP(N20,密度!$A$2:$A$50,密度!$M$2:$M$50)</f>
        <v>17342.752094980002</v>
      </c>
      <c r="O19" s="73" ph="1">
        <f>O18*9.0746*LOOKUP(O20,密度!$A$2:$A$50,密度!$G$2:$G$50)</f>
        <v>46876.788264399998</v>
      </c>
      <c r="P19" s="73" ph="1">
        <f ca="1">P18*9.0746*LOOKUP(P20,密度!$A$2:$A$51,密度!$Q$2:$Q$50)</f>
        <v>60214.990705735996</v>
      </c>
      <c r="Q19" s="73" ph="1">
        <f>Q18*9.0746*LOOKUP(Q20,密度!$A$2:$A$50,密度!$Q$2:$Q$50)</f>
        <v>45300.902665984002</v>
      </c>
      <c r="R19" s="73" ph="1">
        <f>MAX(R18*9.0746*LOOKUP(R20,密度!$A$2:$A$50,密度!$B$2:$B$50),0)</f>
        <v>52291.029477140008</v>
      </c>
      <c r="S19" s="73" ph="1">
        <f>S18*9.0746*LOOKUP(S20,密度!$A$2:$A$50,密度!$Q$2:$Q$50)</f>
        <v>47251.741843292002</v>
      </c>
      <c r="T19" s="73" ph="1">
        <f>T18*9.0746*LOOKUP(T20,密度!$A$2:$A$50,密度!$O$2:$O$50)</f>
        <v>5029.8692880000008</v>
      </c>
      <c r="U19" s="73" ph="1">
        <f>U18*9.0746*LOOKUP(U20,密度!$A$2:$A$50,密度!$H$2:$H$50)</f>
        <v>51064.411257839995</v>
      </c>
      <c r="V19" s="73" ph="1">
        <f>MAX(5600*LOOKUP(V20,密度!$A$2:$A$50,密度!$Q$2:$Q$50)+V18*9.0476*LOOKUP(V20,密度!$A$2:$A$50,密度!$Q$2:$Q$50),0)</f>
        <v>48263.960905972002</v>
      </c>
      <c r="W19" s="73" ph="1">
        <f>MAX(5600*LOOKUP(W20,密度!$A$2:$A$50,密度!$Q$2:$Q$50)+W18*9.0476*LOOKUP(W20,密度!$A$2:$A$50,密度!$Q$2:$Q$50),0)</f>
        <v>437.49556348799979</v>
      </c>
      <c r="X19" s="73" ph="1">
        <f>MAX(5600*LOOKUP(X20,密度!$A$2:$A$50,密度!$I$2:$I$50)+X18*9.0476*LOOKUP(X20,密度!$A$2:$A$50,密度!$I$2:$I$50),0)</f>
        <v>9565.1761065999999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71.226535400000017</v>
      </c>
      <c r="AB19" s="73" ph="1">
        <f>AB18*9.0746*LOOKUP(AB20,密度!$A$2:$A$50,密度!$L$2:$L$50)</f>
        <v>59528.0692576</v>
      </c>
      <c r="AC19" s="73" ph="1">
        <f>AC18*9.0746*LOOKUP(AC20,密度!$A$2:$A$50,密度!$L$2:$L$50)</f>
        <v>18368.714573999998</v>
      </c>
      <c r="AD19" s="73" ph="1">
        <f>AD18*268.68*LOOKUP(AD20,密度!$A$2:$A$50,密度!B5:B53)+IF(AD18&lt;=0,0,1566*LOOKUP(AD20,密度!$A$2:$A$50,密度!B5:B53))</f>
        <v>9642.5115695999993</v>
      </c>
      <c r="AE19" s="73" ph="1">
        <f>AE18*268.68*LOOKUP(AE20,密度!$A$2:$A$50,密度!B5:B53)+IF(AE18&lt;=0,0,1566*LOOKUP(AE20,密度!$A$2:$A$50,密度!B5:B53))</f>
        <v>19011.856046399997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02" ph="1"/>
      <c r="C20" s="80" t="s" ph="1">
        <v>179</v>
      </c>
      <c r="D20" s="81">
        <v>19</v>
      </c>
      <c r="E20" s="81">
        <v>19</v>
      </c>
      <c r="F20" s="81">
        <v>19</v>
      </c>
      <c r="G20" s="81">
        <v>19</v>
      </c>
      <c r="H20" s="81">
        <v>19</v>
      </c>
      <c r="I20" s="81">
        <v>20</v>
      </c>
      <c r="J20" s="81">
        <v>22</v>
      </c>
      <c r="K20" s="81">
        <v>21</v>
      </c>
      <c r="L20" s="81">
        <v>19</v>
      </c>
      <c r="M20" s="81">
        <v>22</v>
      </c>
      <c r="N20" s="81">
        <v>19</v>
      </c>
      <c r="O20" s="81">
        <v>19</v>
      </c>
      <c r="P20" s="81">
        <v>20</v>
      </c>
      <c r="Q20" s="81">
        <v>19</v>
      </c>
      <c r="R20" s="81">
        <v>20</v>
      </c>
      <c r="S20" s="81">
        <v>19</v>
      </c>
      <c r="T20" s="81">
        <v>22</v>
      </c>
      <c r="U20" s="81">
        <v>16</v>
      </c>
      <c r="V20" s="81">
        <v>19</v>
      </c>
      <c r="W20" s="81">
        <v>22</v>
      </c>
      <c r="X20" s="81">
        <v>32</v>
      </c>
      <c r="Y20" s="110">
        <v>32</v>
      </c>
      <c r="Z20" s="81">
        <v>20</v>
      </c>
      <c r="AA20" s="81">
        <v>19</v>
      </c>
      <c r="AB20" s="81">
        <v>18</v>
      </c>
      <c r="AC20" s="81">
        <v>17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00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179" t="s" ph="1">
        <v>69</v>
      </c>
      <c r="AA22" s="180"/>
      <c r="AB22" s="180"/>
      <c r="AC22" s="180"/>
      <c r="AD22" s="180"/>
      <c r="AE22" s="18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ht="26.25" ph="1">
      <c r="A23" s="72" ph="1"/>
      <c r="B23" s="195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630</v>
      </c>
      <c r="Q23" s="89" t="s" ph="1">
        <v>630</v>
      </c>
      <c r="R23" s="88" t="s" ph="1">
        <v>610</v>
      </c>
      <c r="S23" s="88" t="s" ph="1">
        <v>630</v>
      </c>
      <c r="T23" s="88" t="s" ph="1">
        <v>604</v>
      </c>
      <c r="U23" s="104" t="s" ph="1">
        <v>606</v>
      </c>
      <c r="V23" s="88" t="s" ph="1">
        <v>630</v>
      </c>
      <c r="W23" s="88" t="s" ph="1">
        <v>630</v>
      </c>
      <c r="X23" s="88" t="s" ph="1">
        <v>187</v>
      </c>
      <c r="Y23" s="88" t="s" ph="1">
        <v>631</v>
      </c>
      <c r="Z23" s="182" t="s" ph="1">
        <v>652</v>
      </c>
      <c r="AA23" s="183"/>
      <c r="AB23" s="183"/>
      <c r="AC23" s="183"/>
      <c r="AD23" s="183"/>
      <c r="AE23" s="18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191" ph="1">
        <v>0.33333333333333331</v>
      </c>
      <c r="C24" s="169" t="s" ph="1">
        <v>177</v>
      </c>
      <c r="D24" s="71">
        <v>5.44</v>
      </c>
      <c r="E24" s="71">
        <v>5.12</v>
      </c>
      <c r="F24" s="71">
        <v>509</v>
      </c>
      <c r="G24" s="71">
        <v>3920</v>
      </c>
      <c r="H24" s="71">
        <v>3694</v>
      </c>
      <c r="I24" s="71">
        <v>1254</v>
      </c>
      <c r="J24" s="71">
        <v>4928</v>
      </c>
      <c r="K24" s="71">
        <v>4722</v>
      </c>
      <c r="L24" s="71">
        <v>5542</v>
      </c>
      <c r="M24" s="71">
        <v>5071</v>
      </c>
      <c r="N24" s="71">
        <v>2846</v>
      </c>
      <c r="O24" s="71">
        <v>5718</v>
      </c>
      <c r="P24" s="71">
        <v>628</v>
      </c>
      <c r="Q24" s="90">
        <v>1615</v>
      </c>
      <c r="R24" s="71">
        <v>3237</v>
      </c>
      <c r="S24" s="71">
        <v>5268</v>
      </c>
      <c r="T24" s="71">
        <v>179</v>
      </c>
      <c r="U24" s="71">
        <v>4180</v>
      </c>
      <c r="V24" s="71">
        <v>4045</v>
      </c>
      <c r="W24" s="71">
        <v>6050</v>
      </c>
      <c r="X24" s="71">
        <v>7234</v>
      </c>
      <c r="Y24" s="71">
        <v>1857</v>
      </c>
      <c r="Z24" s="185"/>
      <c r="AA24" s="186"/>
      <c r="AB24" s="186"/>
      <c r="AC24" s="186"/>
      <c r="AD24" s="186"/>
      <c r="AE24" s="18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191" ph="1"/>
      <c r="C25" s="68" t="s" ph="1">
        <v>178</v>
      </c>
      <c r="D25" s="91" ph="1">
        <f>D24*268.68*LOOKUP(D26,密度!$A$2:$A$50,密度!$Q$2:$Q$50)+IF(D24&lt;=0,0,1566*LOOKUP(D26,密度!$A$2:$A$50,密度!$Q$2:$Q$50))</f>
        <v>2866.368201408</v>
      </c>
      <c r="E25" s="91" ph="1">
        <f>E24*268.68*LOOKUP(E26,密度!$A$2:$A$50,密度!$C$2:$C$50)+IF(E24&lt;=0,0,1566*LOOKUP(E26,密度!$A$2:$A$50,密度!$C$2:$C$50))</f>
        <v>3261.9863702399998</v>
      </c>
      <c r="F25" s="91" ph="1">
        <f>F24*11.702*LOOKUP(F26,密度!$A$2:$A$50,密度!$Q$2:$Q$50)</f>
        <v>5670.4742991800003</v>
      </c>
      <c r="G25" s="91" ph="1">
        <f>G24*18.322*LOOKUP(G26,密度!$A$2:$A$50,密度!$B$2:$B$50)</f>
        <v>56373.276175999992</v>
      </c>
      <c r="H25" s="91" ph="1">
        <f>H24*18.322*LOOKUP(H26,密度!$A$2:$A$50,密度!$B$2:$B$50)</f>
        <v>53177.329407599995</v>
      </c>
      <c r="I25" s="91" ph="1">
        <f>I24*18.322*LOOKUP(I26,密度!$A$2:$A$50,密度!$Q$2:$Q$50)</f>
        <v>21891.330806400001</v>
      </c>
      <c r="J25" s="91" ph="1">
        <f>J24*18.322*LOOKUP(J26,密度!$A$2:$A$50,密度!$Q$2:$Q$50)</f>
        <v>86029.089484799988</v>
      </c>
      <c r="K25" s="91" ph="1">
        <f>K24*18.322*LOOKUP(K26,密度!$A$2:$A$50,密度!$Q$2:$Q$50)</f>
        <v>82432.905955199996</v>
      </c>
      <c r="L25" s="91" ph="1">
        <f>L24*18.322*LOOKUP(L26,密度!$A$2:$A$50,密度!$Q$2:$Q$50)</f>
        <v>96747.811267199984</v>
      </c>
      <c r="M25" s="91" ph="1">
        <f>M24*18.322*LOOKUP(M26,密度!$A$2:$A$50,密度!$Q$2:$Q$50)</f>
        <v>88379.599260260002</v>
      </c>
      <c r="N25" s="91" ph="1">
        <f>N24*18.322*LOOKUP(N26,密度!$A$2:$A$50,密度!$Q$2:$Q$50)</f>
        <v>49642.00166812</v>
      </c>
      <c r="O25" s="91" ph="1">
        <f>O24*18.322*LOOKUP(O26,密度!$A$2:$A$50,密度!$C$2:$C$50)</f>
        <v>116624.61618719999</v>
      </c>
      <c r="P25" s="91" ph="1">
        <f>P24*11.702*LOOKUP(P26,密度!$A$2:$A$50,密度!$B$2:$B$50)</f>
        <v>5768.1170744000001</v>
      </c>
      <c r="Q25" s="92" ph="1">
        <f>Q24*18.322*LOOKUP(Q26,密度!$A$2:$A$50,密度!$B$2:$B$50)</f>
        <v>23174.911496000001</v>
      </c>
      <c r="R25" s="91" ph="1">
        <f>R24*35.891*LOOKUP(R26,密度!$A$2:$A$50,密度!$C$2:$C$50)</f>
        <v>129481.6816215</v>
      </c>
      <c r="S25" s="91" ph="1">
        <f>S24*35.891*LOOKUP(S26,密度!$A$2:$A$50,密度!$B$2:$B$50)</f>
        <v>148555.27523159998</v>
      </c>
      <c r="T25" s="91" ph="1">
        <f>T24*35.891*LOOKUP(T26,密度!$A$2:$A$50,密度!$Q$2:$Q$50)</f>
        <v>6116.1777728899997</v>
      </c>
      <c r="U25" s="91" ph="1">
        <f>U24*35.891</f>
        <v>150024.38</v>
      </c>
      <c r="V25" s="91" ph="1">
        <f>V24*47.051*LOOKUP(V26,密度!$A$2:$A$50,密度!$B$2:$B$50)</f>
        <v>149535.44148149999</v>
      </c>
      <c r="W25" s="91" ph="1">
        <f>W24*47.051*LOOKUP(W26,密度!$A$2:$A$50,密度!$B$2:$B$50)</f>
        <v>223656.22273499999</v>
      </c>
      <c r="X25" s="91" ph="1">
        <f>X24*47.051*LOOKUP(X26,密度!$A$2:$A$61,密度!$I$2:$I$61)</f>
        <v>348297.48356220004</v>
      </c>
      <c r="Y25" s="91" ph="1">
        <f>Y24*47.051*LOOKUP(Y26,密度!$A$2:$A$50,密度!$L$2:$L$50)</f>
        <v>82306.031994000004</v>
      </c>
      <c r="Z25" s="185"/>
      <c r="AA25" s="186"/>
      <c r="AB25" s="186"/>
      <c r="AC25" s="186"/>
      <c r="AD25" s="186"/>
      <c r="AE25" s="18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191" ph="1"/>
      <c r="C26" s="68" t="s" ph="1">
        <v>179</v>
      </c>
      <c r="D26" s="74">
        <v>25</v>
      </c>
      <c r="E26" s="74">
        <v>25</v>
      </c>
      <c r="F26" s="74">
        <v>18</v>
      </c>
      <c r="G26" s="74">
        <v>19</v>
      </c>
      <c r="H26" s="74">
        <v>18</v>
      </c>
      <c r="I26" s="74">
        <v>17</v>
      </c>
      <c r="J26" s="74">
        <v>17</v>
      </c>
      <c r="K26" s="74">
        <v>17</v>
      </c>
      <c r="L26" s="74">
        <v>17</v>
      </c>
      <c r="M26" s="74">
        <v>19</v>
      </c>
      <c r="N26" s="74">
        <v>18</v>
      </c>
      <c r="O26" s="74">
        <v>19</v>
      </c>
      <c r="P26" s="74">
        <v>19</v>
      </c>
      <c r="Q26" s="93">
        <v>21</v>
      </c>
      <c r="R26" s="74">
        <v>17</v>
      </c>
      <c r="S26" s="74">
        <v>18</v>
      </c>
      <c r="T26" s="74">
        <v>18</v>
      </c>
      <c r="U26" s="74">
        <v>17</v>
      </c>
      <c r="V26" s="74">
        <v>18</v>
      </c>
      <c r="W26" s="74">
        <v>18</v>
      </c>
      <c r="X26" s="74">
        <v>42</v>
      </c>
      <c r="Y26" s="74">
        <v>20</v>
      </c>
      <c r="Z26" s="185"/>
      <c r="AA26" s="186"/>
      <c r="AB26" s="186"/>
      <c r="AC26" s="186"/>
      <c r="AD26" s="186"/>
      <c r="AE26" s="18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ph="1">
      <c r="A27" s="72" ph="1"/>
      <c r="B27" s="191" ph="1">
        <v>0.66666666666666663</v>
      </c>
      <c r="C27" s="169" t="s" ph="1">
        <v>180</v>
      </c>
      <c r="D27" s="71">
        <v>5.44</v>
      </c>
      <c r="E27" s="71">
        <v>5.1100000000000003</v>
      </c>
      <c r="F27" s="71">
        <v>508</v>
      </c>
      <c r="G27" s="71">
        <v>3292</v>
      </c>
      <c r="H27" s="71">
        <v>2535</v>
      </c>
      <c r="I27" s="71">
        <v>1253</v>
      </c>
      <c r="J27" s="71">
        <v>4929</v>
      </c>
      <c r="K27" s="71">
        <v>4723</v>
      </c>
      <c r="L27" s="71">
        <v>5541</v>
      </c>
      <c r="M27" s="71">
        <v>5073</v>
      </c>
      <c r="N27" s="71">
        <v>2846</v>
      </c>
      <c r="O27" s="71">
        <v>5717</v>
      </c>
      <c r="P27" s="71">
        <v>626</v>
      </c>
      <c r="Q27" s="90">
        <v>1857</v>
      </c>
      <c r="R27" s="71">
        <v>2734</v>
      </c>
      <c r="S27" s="71">
        <v>5097</v>
      </c>
      <c r="T27" s="71">
        <v>178</v>
      </c>
      <c r="U27" s="71">
        <v>4272</v>
      </c>
      <c r="V27" s="71">
        <v>4044</v>
      </c>
      <c r="W27" s="71">
        <v>6052</v>
      </c>
      <c r="X27" s="71">
        <v>7119</v>
      </c>
      <c r="Y27" s="71">
        <v>1852</v>
      </c>
      <c r="Z27" s="185"/>
      <c r="AA27" s="186"/>
      <c r="AB27" s="186"/>
      <c r="AC27" s="186"/>
      <c r="AD27" s="186"/>
      <c r="AE27" s="18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191" ph="1"/>
      <c r="C28" s="169" t="s" ph="1">
        <v>178</v>
      </c>
      <c r="D28" s="91" ph="1">
        <f>D27*268.68*LOOKUP(D29,密度!$A$2:$A$50,密度!$Q$2:$Q$50)+IF(D27&lt;=0,0,1566*LOOKUP(D29,密度!$A$2:$A$50,密度!$Q$2:$Q$50))</f>
        <v>2866.368201408</v>
      </c>
      <c r="E28" s="91" ph="1">
        <f>E27*268.68*LOOKUP(E29,密度!$A$2:$A$50,密度!$C$2:$C$50)+IF(E27&lt;=0,0,1566*LOOKUP(E29,密度!$A$2:$A$50,密度!$C$2:$C$50))</f>
        <v>3259.0069777200001</v>
      </c>
      <c r="F28" s="91" ph="1">
        <f>F27*11.702*LOOKUP(F29,密度!$A$2:$A$50,密度!$Q$2:$Q$50)</f>
        <v>5649.6441540799997</v>
      </c>
      <c r="G28" s="91" ph="1">
        <f>G27*18.322*LOOKUP(G29,密度!$A$2:$A$50,密度!$B$2:$B$50)</f>
        <v>47293.794418400001</v>
      </c>
      <c r="H28" s="91" ph="1">
        <f>H27*18.322*LOOKUP(H29,密度!$A$2:$A$50,密度!$B$2:$B$50)</f>
        <v>36455.677322999996</v>
      </c>
      <c r="I28" s="91" ph="1">
        <f>I27*18.322*LOOKUP(I29,密度!$A$2:$A$50,密度!$Q$2:$Q$50)</f>
        <v>21837.83038318</v>
      </c>
      <c r="J28" s="91" ph="1">
        <f>J27*18.322*LOOKUP(J29,密度!$A$2:$A$50,密度!$Q$2:$Q$50)</f>
        <v>85904.761339739998</v>
      </c>
      <c r="K28" s="91" ph="1">
        <f>K27*18.322*LOOKUP(K29,密度!$A$2:$A$50,密度!$Q$2:$Q$50)</f>
        <v>82314.503511379997</v>
      </c>
      <c r="L28" s="91" ph="1">
        <f>L27*18.322*LOOKUP(L29,密度!$A$2:$A$50,密度!$Q$2:$Q$50)</f>
        <v>96484.670336759984</v>
      </c>
      <c r="M28" s="91" ph="1">
        <f>M27*18.322*LOOKUP(M29,密度!$A$2:$A$50,密度!$Q$2:$Q$50)</f>
        <v>88335.450752279998</v>
      </c>
      <c r="N28" s="91" ph="1">
        <f>N27*18.322*LOOKUP(N29,密度!$A$2:$A$50,密度!$Q$2:$Q$50)</f>
        <v>49521.026632280002</v>
      </c>
      <c r="O28" s="91" ph="1">
        <f>O27*18.322*LOOKUP(O29,密度!$A$2:$A$50,密度!$C$2:$C$50)</f>
        <v>116677.54294859998</v>
      </c>
      <c r="P28" s="91" ph="1">
        <f>P27*11.702*LOOKUP(P29,密度!$A$2:$A$50,密度!$B$2:$B$50)</f>
        <v>5755.6076364</v>
      </c>
      <c r="Q28" s="92" ph="1">
        <f>Q27*18.322*LOOKUP(Q29,密度!$A$2:$A$50,密度!$B$2:$B$50)</f>
        <v>26705.401494599999</v>
      </c>
      <c r="R28" s="91" ph="1">
        <f>R27*35.891*LOOKUP(R29,密度!$A$2:$A$50,密度!$C$2:$C$50)</f>
        <v>109233.85652079999</v>
      </c>
      <c r="S28" s="91" ph="1">
        <f>S27*35.891*LOOKUP(S29,密度!$A$2:$A$50,密度!$B$2:$B$50)</f>
        <v>143586.80155229999</v>
      </c>
      <c r="T28" s="91" ph="1">
        <f>T27*35.891*LOOKUP(T29,密度!$A$2:$A$50,密度!$Q$2:$Q$50)</f>
        <v>6077.0260755400004</v>
      </c>
      <c r="U28" s="91" ph="1">
        <f>U27*35.891</f>
        <v>153326.35199999998</v>
      </c>
      <c r="V28" s="91" ph="1">
        <f>V27*47.051*LOOKUP(V29,密度!$A$2:$A$50,密度!$B$2:$B$50)</f>
        <v>149346.25411560002</v>
      </c>
      <c r="W28" s="91" ph="1">
        <f>W27*47.051*LOOKUP(W29,密度!$A$2:$A$50,密度!$B$2:$B$50)</f>
        <v>223274.55443320001</v>
      </c>
      <c r="X28" s="91" ph="1">
        <f>X27*47.051*LOOKUP(X29,密度!$A$2:$A$61,密度!$I$2:$I$61)</f>
        <v>340516.33974540001</v>
      </c>
      <c r="Y28" s="91" ph="1">
        <f>Y27*47.051*LOOKUP(Y29,密度!$A$2:$A$50,密度!$L$2:$L$50)</f>
        <v>81997.283332000006</v>
      </c>
      <c r="Z28" s="185"/>
      <c r="AA28" s="186"/>
      <c r="AB28" s="186"/>
      <c r="AC28" s="186"/>
      <c r="AD28" s="186"/>
      <c r="AE28" s="18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191" ph="1"/>
      <c r="C29" s="169" t="s" ph="1">
        <v>179</v>
      </c>
      <c r="D29" s="74">
        <v>25</v>
      </c>
      <c r="E29" s="74">
        <v>25</v>
      </c>
      <c r="F29" s="74">
        <v>20</v>
      </c>
      <c r="G29" s="74">
        <v>20</v>
      </c>
      <c r="H29" s="74">
        <v>19</v>
      </c>
      <c r="I29" s="74">
        <v>19</v>
      </c>
      <c r="J29" s="74">
        <v>19</v>
      </c>
      <c r="K29" s="74">
        <v>19</v>
      </c>
      <c r="L29" s="74">
        <v>20</v>
      </c>
      <c r="M29" s="74">
        <v>20</v>
      </c>
      <c r="N29" s="74">
        <v>21</v>
      </c>
      <c r="O29" s="74">
        <v>18</v>
      </c>
      <c r="P29" s="74">
        <v>18</v>
      </c>
      <c r="Q29" s="93">
        <v>19</v>
      </c>
      <c r="R29" s="74">
        <v>19</v>
      </c>
      <c r="S29" s="74">
        <v>19</v>
      </c>
      <c r="T29" s="74">
        <v>19</v>
      </c>
      <c r="U29" s="74">
        <v>19</v>
      </c>
      <c r="V29" s="74">
        <v>19</v>
      </c>
      <c r="W29" s="74">
        <v>20</v>
      </c>
      <c r="X29" s="74">
        <v>48</v>
      </c>
      <c r="Y29" s="74">
        <v>21</v>
      </c>
      <c r="Z29" s="188"/>
      <c r="AA29" s="189"/>
      <c r="AB29" s="189"/>
      <c r="AC29" s="189"/>
      <c r="AD29" s="189"/>
      <c r="AE29" s="19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ht="26.25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5" ph="1">
      <c r="A31" s="64"/>
      <c r="B31" s="204" t="s" ph="1">
        <v>35</v>
      </c>
      <c r="C31" s="205" ph="1"/>
      <c r="D31" s="208" t="s" ph="1">
        <v>9</v>
      </c>
      <c r="E31" s="197" ph="1"/>
      <c r="F31" s="198" ph="1"/>
      <c r="G31" s="208" t="s" ph="1">
        <v>18</v>
      </c>
      <c r="H31" s="197" ph="1"/>
      <c r="I31" s="198" ph="1"/>
      <c r="J31" s="196" t="s" ph="1">
        <v>1</v>
      </c>
      <c r="K31" s="197" ph="1"/>
      <c r="L31" s="198" ph="1"/>
      <c r="M31" s="196" t="s" ph="1">
        <v>7</v>
      </c>
      <c r="N31" s="197" ph="1"/>
      <c r="O31" s="198" ph="1"/>
      <c r="P31" s="196" t="s" ph="1">
        <v>41</v>
      </c>
      <c r="Q31" s="197"/>
      <c r="R31" s="198"/>
      <c r="S31" s="196" t="s" ph="1">
        <v>2</v>
      </c>
      <c r="T31" s="197"/>
      <c r="U31" s="198"/>
      <c r="V31" s="196" t="s" ph="1">
        <v>71</v>
      </c>
      <c r="W31" s="197" ph="1"/>
      <c r="X31" s="198" ph="1"/>
      <c r="Y31" s="196" t="s" ph="1">
        <v>3</v>
      </c>
      <c r="Z31" s="197" ph="1"/>
      <c r="AA31" s="198" ph="1"/>
      <c r="AB31" s="219" t="s">
        <v>42</v>
      </c>
      <c r="AC31" s="220"/>
      <c r="AD31" s="220"/>
      <c r="AE31" s="221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06" ph="1"/>
      <c r="C32" s="207" ph="1"/>
      <c r="D32" s="96" t="s" ph="1">
        <v>4</v>
      </c>
      <c r="E32" s="169" t="s" ph="1">
        <v>5</v>
      </c>
      <c r="F32" s="168" t="s" ph="1">
        <v>43</v>
      </c>
      <c r="G32" s="97" t="s" ph="1">
        <v>4</v>
      </c>
      <c r="H32" s="169" t="s" ph="1">
        <v>5</v>
      </c>
      <c r="I32" s="168" t="s" ph="1">
        <v>43</v>
      </c>
      <c r="J32" s="97" t="s" ph="1">
        <v>4</v>
      </c>
      <c r="K32" s="169" t="s" ph="1">
        <v>5</v>
      </c>
      <c r="L32" s="168" t="s" ph="1">
        <v>43</v>
      </c>
      <c r="M32" s="97" t="s" ph="1">
        <v>4</v>
      </c>
      <c r="N32" s="169" t="s" ph="1">
        <v>5</v>
      </c>
      <c r="O32" s="16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9" t="s" ph="1">
        <v>5</v>
      </c>
      <c r="U32" s="99" t="s" ph="1">
        <v>43</v>
      </c>
      <c r="V32" s="97" t="s" ph="1">
        <v>4</v>
      </c>
      <c r="W32" s="169" t="s" ph="1">
        <v>5</v>
      </c>
      <c r="X32" s="99" t="s" ph="1">
        <v>43</v>
      </c>
      <c r="Y32" s="100" t="s" ph="1">
        <v>4</v>
      </c>
      <c r="Z32" s="169" t="s" ph="1">
        <v>5</v>
      </c>
      <c r="AA32" s="168" t="s" ph="1">
        <v>43</v>
      </c>
      <c r="AB32" s="97" t="s" ph="1">
        <v>85</v>
      </c>
      <c r="AC32" s="169" t="s" ph="1">
        <v>84</v>
      </c>
      <c r="AD32" s="222" t="s" ph="1">
        <v>83</v>
      </c>
      <c r="AE32" s="223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09" t="s" ph="1">
        <v>181</v>
      </c>
      <c r="C33" s="210" ph="1"/>
      <c r="D33" s="213" ph="1">
        <f>AA10+AB10+Z19</f>
        <v>240437.62792659999</v>
      </c>
      <c r="E33" s="213" ph="1">
        <f>M10+I10</f>
        <v>27151.067288000002</v>
      </c>
      <c r="F33" s="215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7" ph="1">
        <f>N19</f>
        <v>17342.752094980002</v>
      </c>
      <c r="H33" s="213" ph="1">
        <f>M19</f>
        <v>5903.9166108000009</v>
      </c>
      <c r="I33" s="226" ph="1">
        <v>0</v>
      </c>
      <c r="J33" s="224" ph="1">
        <f>F10+O28</f>
        <v>308734.92001379997</v>
      </c>
      <c r="K33" s="213" ph="1">
        <f>O10+K10+E28+R28</f>
        <v>169902.90419052</v>
      </c>
      <c r="L33" s="228" ph="1">
        <f>K19</f>
        <v>45798.726691860007</v>
      </c>
      <c r="M33" s="224" ph="1">
        <f>G10+H10+W28+S28+V28+E10+R19+P28+Q28</f>
        <v>775548.26135424001</v>
      </c>
      <c r="N33" s="213" ph="1">
        <f>L10+P10++G28+H28+AD19+AE19</f>
        <v>199002.86811139999</v>
      </c>
      <c r="O33" s="226" ph="1">
        <f>G19</f>
        <v>22507.585186400003</v>
      </c>
      <c r="P33" s="224" ph="1">
        <f>L19</f>
        <v>22088.701650399998</v>
      </c>
      <c r="Q33" s="213" ph="1">
        <f>J10+N10</f>
        <v>115090.8181243</v>
      </c>
      <c r="R33" s="226" ph="1">
        <f>BE23</f>
        <v>890</v>
      </c>
      <c r="S33" s="224" ph="1">
        <f>X28</f>
        <v>340516.33974540001</v>
      </c>
      <c r="T33" s="213" ph="1">
        <f>X19</f>
        <v>9565.1761065999999</v>
      </c>
      <c r="U33" s="234" ph="1">
        <f>BE21</f>
        <v>730</v>
      </c>
      <c r="V33" s="245" ph="1">
        <f ca="1">P19+Q19+S19+M28+N28+J28+D10+AC10+D19+E19+H19+J19+O19+V19+W19+K28+L28</f>
        <v>1365441.524375472</v>
      </c>
      <c r="W33" s="245" ph="1">
        <f>D28+F28+T28+I28</f>
        <v>36430.868814207999</v>
      </c>
      <c r="X33" s="226" ph="1">
        <f>BE29+BE31</f>
        <v>10200</v>
      </c>
      <c r="Y33" s="247" ph="1">
        <f>+Q10+R10+S10+T10+U10+V10+W10+X10+Y10</f>
        <v>256326.11830979999</v>
      </c>
      <c r="Z33" s="232" ph="1">
        <f>T19+U19+Y28+Z10</f>
        <v>239798.78619784</v>
      </c>
      <c r="AA33" s="234" ph="1">
        <f>BE19</f>
        <v>1440</v>
      </c>
      <c r="AB33" s="236" ph="1">
        <f>I19</f>
        <v>48667.769469600004</v>
      </c>
      <c r="AC33" s="238" ph="1">
        <f>AD10+AB19</f>
        <v>153658.6590176</v>
      </c>
      <c r="AD33" s="240" ph="1">
        <v>0</v>
      </c>
      <c r="AE33" s="241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1" ph="1"/>
      <c r="C34" s="212" ph="1"/>
      <c r="D34" s="214" ph="1"/>
      <c r="E34" s="214" ph="1"/>
      <c r="F34" s="216" ph="1"/>
      <c r="G34" s="218" ph="1"/>
      <c r="H34" s="214" ph="1"/>
      <c r="I34" s="227" ph="1"/>
      <c r="J34" s="225" ph="1"/>
      <c r="K34" s="214" ph="1"/>
      <c r="L34" s="229" ph="1"/>
      <c r="M34" s="225" ph="1"/>
      <c r="N34" s="214" ph="1"/>
      <c r="O34" s="227" ph="1"/>
      <c r="P34" s="225" ph="1"/>
      <c r="Q34" s="214" ph="1"/>
      <c r="R34" s="227" ph="1"/>
      <c r="S34" s="225" ph="1"/>
      <c r="T34" s="214"/>
      <c r="U34" s="235"/>
      <c r="V34" s="246" ph="1"/>
      <c r="W34" s="246" ph="1"/>
      <c r="X34" s="227" ph="1"/>
      <c r="Y34" s="248" ph="1"/>
      <c r="Z34" s="233" ph="1"/>
      <c r="AA34" s="235" ph="1"/>
      <c r="AB34" s="237"/>
      <c r="AC34" s="239"/>
      <c r="AD34" s="242"/>
      <c r="AE34" s="243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244" t="s" ph="1">
        <v>632</v>
      </c>
      <c r="AD35" s="244"/>
      <c r="AE35" s="244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5" ph="1">
      <c r="A36" s="64"/>
      <c r="B36" s="103" t="s" ph="1">
        <v>182</v>
      </c>
      <c r="I36" s="230" t="s" ph="1">
        <v>183</v>
      </c>
      <c r="J36" s="230" ph="1"/>
      <c r="K36" s="101" ph="1"/>
      <c r="P36" s="101" ph="1"/>
      <c r="R36" s="230" t="s" ph="1">
        <v>184</v>
      </c>
      <c r="S36" s="230" ph="1"/>
      <c r="Y36" s="102" ph="1"/>
      <c r="Z36" s="167" t="s" ph="1">
        <v>185</v>
      </c>
      <c r="AA36" s="167" ph="1"/>
      <c r="AB36" s="231" t="s" ph="1">
        <v>641</v>
      </c>
      <c r="AC36" s="231" ph="1"/>
      <c r="AD36" s="231" ph="1"/>
      <c r="AE36" s="231" ph="1"/>
      <c r="BA36" s="64" ph="1">
        <v>2270</v>
      </c>
    </row>
    <row r="37" spans="1:57" s="167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7" t="s" ph="1">
        <v>342</v>
      </c>
      <c r="AI37" s="167" t="s" ph="1">
        <v>209</v>
      </c>
      <c r="AJ37" s="167" t="s" ph="1">
        <v>210</v>
      </c>
      <c r="AK37" s="167" t="s" ph="1">
        <v>211</v>
      </c>
      <c r="AM37" s="167" t="s" ph="1">
        <v>210</v>
      </c>
      <c r="AN37" s="167" t="s" ph="1">
        <v>211</v>
      </c>
      <c r="AO37" s="167" t="s" ph="1">
        <v>212</v>
      </c>
      <c r="AP37" s="167" t="s" ph="1">
        <v>210</v>
      </c>
      <c r="AQ37" s="167" t="s" ph="1">
        <v>211</v>
      </c>
      <c r="AR37" s="167" t="s" ph="1">
        <v>212</v>
      </c>
      <c r="AS37" s="167" t="s" ph="1">
        <v>210</v>
      </c>
      <c r="AT37" s="167" t="s" ph="1">
        <v>211</v>
      </c>
      <c r="AU37" s="167" t="s" ph="1">
        <v>212</v>
      </c>
      <c r="AV37" s="167" t="s" ph="1">
        <v>210</v>
      </c>
      <c r="AW37" s="167" t="s" ph="1">
        <v>211</v>
      </c>
      <c r="AX37" s="167" t="s" ph="1">
        <v>212</v>
      </c>
      <c r="AY37" s="167" t="s" ph="1">
        <v>211</v>
      </c>
      <c r="AZ37" s="167" t="s" ph="1">
        <v>213</v>
      </c>
      <c r="BD37" s="167" t="s" ph="1">
        <v>305</v>
      </c>
      <c r="BE37" s="167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29" priority="100">
      <formula>ABS(D$7-D$10)&gt;=1000</formula>
    </cfRule>
  </conditionalFormatting>
  <conditionalFormatting sqref="E4 E6:E11">
    <cfRule type="expression" dxfId="128" priority="99">
      <formula>ABS(E$7-E$10)&gt;=1000</formula>
    </cfRule>
  </conditionalFormatting>
  <conditionalFormatting sqref="F4:F11">
    <cfRule type="expression" dxfId="127" priority="98">
      <formula>ABS(F$7-F$10)&gt;=1000</formula>
    </cfRule>
  </conditionalFormatting>
  <conditionalFormatting sqref="G4:G11">
    <cfRule type="expression" dxfId="126" priority="97">
      <formula>ABS(G$7-G$10)&gt;=1000</formula>
    </cfRule>
  </conditionalFormatting>
  <conditionalFormatting sqref="H4:H11">
    <cfRule type="expression" dxfId="125" priority="96">
      <formula>ABS(H$7-H$10)&gt;=1000</formula>
    </cfRule>
  </conditionalFormatting>
  <conditionalFormatting sqref="I4:I11">
    <cfRule type="expression" dxfId="124" priority="95">
      <formula>ABS(I$7-I$10)&gt;=1000</formula>
    </cfRule>
  </conditionalFormatting>
  <conditionalFormatting sqref="J4:J11">
    <cfRule type="expression" dxfId="123" priority="94">
      <formula>ABS(J$7-J$10)&gt;=1000</formula>
    </cfRule>
  </conditionalFormatting>
  <conditionalFormatting sqref="K4:K11">
    <cfRule type="expression" dxfId="122" priority="93">
      <formula>ABS(K$7-K$10)&gt;=1000</formula>
    </cfRule>
  </conditionalFormatting>
  <conditionalFormatting sqref="L4:L11">
    <cfRule type="expression" dxfId="121" priority="92">
      <formula>ABS(L$7-L$10)&gt;=1000</formula>
    </cfRule>
  </conditionalFormatting>
  <conditionalFormatting sqref="M4 M6:M11">
    <cfRule type="expression" dxfId="120" priority="91">
      <formula>ABS(M$7-M$10)&gt;=1000</formula>
    </cfRule>
  </conditionalFormatting>
  <conditionalFormatting sqref="N4 N6:N11">
    <cfRule type="expression" dxfId="119" priority="90">
      <formula>ABS(N$7-N$10)&gt;=1000</formula>
    </cfRule>
  </conditionalFormatting>
  <conditionalFormatting sqref="O4 O6:O11">
    <cfRule type="expression" dxfId="118" priority="89">
      <formula>ABS(O$7-O$10)&gt;=1000</formula>
    </cfRule>
  </conditionalFormatting>
  <conditionalFormatting sqref="P4 P6:P11">
    <cfRule type="expression" dxfId="117" priority="88">
      <formula>ABS(P$7-P$10)&gt;=1000</formula>
    </cfRule>
  </conditionalFormatting>
  <conditionalFormatting sqref="Q4:Q11">
    <cfRule type="expression" dxfId="116" priority="87">
      <formula>ABS(Q$7-Q$10)&gt;=1000</formula>
    </cfRule>
  </conditionalFormatting>
  <conditionalFormatting sqref="R4:R11">
    <cfRule type="expression" dxfId="115" priority="86">
      <formula>ABS(R$7-R$10)&gt;=1000</formula>
    </cfRule>
  </conditionalFormatting>
  <conditionalFormatting sqref="S4:S11">
    <cfRule type="expression" dxfId="114" priority="85">
      <formula>ABS(S$7-S$10)&gt;=1000</formula>
    </cfRule>
  </conditionalFormatting>
  <conditionalFormatting sqref="T4:T9 T11">
    <cfRule type="expression" dxfId="113" priority="84">
      <formula>ABS(T$7-T$10)&gt;=1000</formula>
    </cfRule>
  </conditionalFormatting>
  <conditionalFormatting sqref="U4:U9 U11">
    <cfRule type="expression" dxfId="112" priority="83">
      <formula>ABS(U$7-U$10)&gt;=1000</formula>
    </cfRule>
  </conditionalFormatting>
  <conditionalFormatting sqref="V4:V9 V11">
    <cfRule type="expression" dxfId="111" priority="82">
      <formula>ABS(V$7-V$10)&gt;=1000</formula>
    </cfRule>
  </conditionalFormatting>
  <conditionalFormatting sqref="W4:W9 W11">
    <cfRule type="expression" dxfId="110" priority="81">
      <formula>ABS(W$7-W$10)&gt;=1000</formula>
    </cfRule>
  </conditionalFormatting>
  <conditionalFormatting sqref="X4:X9 X11">
    <cfRule type="expression" dxfId="109" priority="80">
      <formula>ABS(X$7-X$10)&gt;=1000</formula>
    </cfRule>
  </conditionalFormatting>
  <conditionalFormatting sqref="Y4:Y9 Y11">
    <cfRule type="expression" dxfId="108" priority="79">
      <formula>ABS(Y$7-Y$10)&gt;=1000</formula>
    </cfRule>
  </conditionalFormatting>
  <conditionalFormatting sqref="Z4:Z11">
    <cfRule type="expression" dxfId="107" priority="78">
      <formula>ABS(Z$7-Z$10)&gt;=1000</formula>
    </cfRule>
  </conditionalFormatting>
  <conditionalFormatting sqref="AA4:AA11">
    <cfRule type="expression" dxfId="106" priority="77">
      <formula>ABS(AA$7-AA$10)&gt;=1000</formula>
    </cfRule>
  </conditionalFormatting>
  <conditionalFormatting sqref="AB4:AB11">
    <cfRule type="expression" dxfId="105" priority="76">
      <formula>ABS(AB$7-AB$10)&gt;=1000</formula>
    </cfRule>
  </conditionalFormatting>
  <conditionalFormatting sqref="AC4 AC6:AC11">
    <cfRule type="expression" dxfId="104" priority="75">
      <formula>ABS(AC$7-AC$10)&gt;=1000</formula>
    </cfRule>
  </conditionalFormatting>
  <conditionalFormatting sqref="AD4 AD6:AD11">
    <cfRule type="expression" dxfId="103" priority="74">
      <formula>ABS(AD$7-AD$10)&gt;=1000</formula>
    </cfRule>
  </conditionalFormatting>
  <conditionalFormatting sqref="AE4 AE6:AE11">
    <cfRule type="expression" dxfId="102" priority="73">
      <formula>ABS(AE$7-AE$10)&gt;=1000</formula>
    </cfRule>
  </conditionalFormatting>
  <conditionalFormatting sqref="D13:D20">
    <cfRule type="expression" dxfId="101" priority="72">
      <formula>ABS(D$16-D$19)&gt;=1000</formula>
    </cfRule>
  </conditionalFormatting>
  <conditionalFormatting sqref="E13:E20">
    <cfRule type="expression" dxfId="100" priority="71">
      <formula>ABS(E$16-E$19)&gt;=1000</formula>
    </cfRule>
  </conditionalFormatting>
  <conditionalFormatting sqref="F13 F15:F20">
    <cfRule type="expression" dxfId="99" priority="70">
      <formula>ABS(F$16-F$19)&gt;=1000</formula>
    </cfRule>
  </conditionalFormatting>
  <conditionalFormatting sqref="G13:G20">
    <cfRule type="expression" dxfId="98" priority="69">
      <formula>ABS(G$16-G$19)&gt;=1000</formula>
    </cfRule>
  </conditionalFormatting>
  <conditionalFormatting sqref="H13 H15:H20">
    <cfRule type="expression" dxfId="97" priority="68">
      <formula>ABS(H$16-H$19)&gt;=1000</formula>
    </cfRule>
  </conditionalFormatting>
  <conditionalFormatting sqref="I13:I20">
    <cfRule type="expression" dxfId="96" priority="67">
      <formula>ABS(I$16-I$19)&gt;=1000</formula>
    </cfRule>
  </conditionalFormatting>
  <conditionalFormatting sqref="J13:J20">
    <cfRule type="expression" dxfId="95" priority="66">
      <formula>ABS(J$16-J$19)&gt;=1000</formula>
    </cfRule>
  </conditionalFormatting>
  <conditionalFormatting sqref="L13:L20">
    <cfRule type="expression" dxfId="94" priority="65">
      <formula>ABS(L$16-L$19)&gt;=1000</formula>
    </cfRule>
  </conditionalFormatting>
  <conditionalFormatting sqref="M13 M15 M17:M18 M20">
    <cfRule type="expression" dxfId="93" priority="64">
      <formula>ABS(M$16-M$19)&gt;=1000</formula>
    </cfRule>
  </conditionalFormatting>
  <conditionalFormatting sqref="N13:N20">
    <cfRule type="expression" dxfId="92" priority="63">
      <formula>ABS(N$16-N$19)&gt;=1000</formula>
    </cfRule>
  </conditionalFormatting>
  <conditionalFormatting sqref="O13:O20">
    <cfRule type="expression" dxfId="91" priority="62">
      <formula>ABS(O$16-O$19)&gt;=1000</formula>
    </cfRule>
  </conditionalFormatting>
  <conditionalFormatting sqref="P13:P20">
    <cfRule type="expression" dxfId="90" priority="61">
      <formula>ABS(P$16-P$19)&gt;=1000</formula>
    </cfRule>
  </conditionalFormatting>
  <conditionalFormatting sqref="Q13 Q15:Q20">
    <cfRule type="expression" dxfId="89" priority="60">
      <formula>ABS(Q$16-Q$19)&gt;=1000</formula>
    </cfRule>
  </conditionalFormatting>
  <conditionalFormatting sqref="R13:R20">
    <cfRule type="expression" dxfId="88" priority="59">
      <formula>ABS(R$16-R$19)&gt;=1000</formula>
    </cfRule>
  </conditionalFormatting>
  <conditionalFormatting sqref="S13:S20">
    <cfRule type="expression" dxfId="87" priority="58">
      <formula>ABS(S$16-S$19)&gt;=1000</formula>
    </cfRule>
  </conditionalFormatting>
  <conditionalFormatting sqref="T13:T20">
    <cfRule type="expression" dxfId="86" priority="57">
      <formula>ABS(T$16-T$19)&gt;=1000</formula>
    </cfRule>
  </conditionalFormatting>
  <conditionalFormatting sqref="U13:U20">
    <cfRule type="expression" dxfId="85" priority="56">
      <formula>ABS(U$16-U$19)&gt;=1000</formula>
    </cfRule>
  </conditionalFormatting>
  <conditionalFormatting sqref="V13:V20">
    <cfRule type="expression" dxfId="84" priority="55">
      <formula>ABS(V$16-V$19)&gt;=1000</formula>
    </cfRule>
  </conditionalFormatting>
  <conditionalFormatting sqref="W13 W20 W15:W18">
    <cfRule type="expression" dxfId="83" priority="54">
      <formula>ABS(W$16-W$19)&gt;=1000</formula>
    </cfRule>
  </conditionalFormatting>
  <conditionalFormatting sqref="X13 X15:X20 Y19">
    <cfRule type="expression" dxfId="82" priority="53">
      <formula>ABS(X$16-X$19)&gt;=1000</formula>
    </cfRule>
  </conditionalFormatting>
  <conditionalFormatting sqref="Y13 Y15:Y18 Y20">
    <cfRule type="expression" dxfId="81" priority="52">
      <formula>ABS(Y$16-Y$19)&gt;=1000</formula>
    </cfRule>
  </conditionalFormatting>
  <conditionalFormatting sqref="Z13:Z20">
    <cfRule type="expression" dxfId="80" priority="51">
      <formula>ABS(Z$16-Z$19)&gt;=1000</formula>
    </cfRule>
  </conditionalFormatting>
  <conditionalFormatting sqref="AA13:AA20">
    <cfRule type="expression" dxfId="79" priority="50">
      <formula>ABS(AA$16-AA$19)&gt;=1000</formula>
    </cfRule>
  </conditionalFormatting>
  <conditionalFormatting sqref="AB13 AB15:AB20">
    <cfRule type="expression" dxfId="78" priority="49">
      <formula>ABS(AB$16-AB$19)&gt;=1000</formula>
    </cfRule>
  </conditionalFormatting>
  <conditionalFormatting sqref="AC13 AC15:AC20">
    <cfRule type="expression" dxfId="77" priority="48">
      <formula>ABS(AC$16-AC$19)&gt;=1000</formula>
    </cfRule>
  </conditionalFormatting>
  <conditionalFormatting sqref="AD13:AD20">
    <cfRule type="expression" dxfId="76" priority="47">
      <formula>ABS(AD$16-AD$19)&gt;=1000</formula>
    </cfRule>
  </conditionalFormatting>
  <conditionalFormatting sqref="AE13:AE20">
    <cfRule type="expression" dxfId="75" priority="46">
      <formula>ABS(AE$16-AE$19)&gt;=1000</formula>
    </cfRule>
  </conditionalFormatting>
  <conditionalFormatting sqref="D22:D29">
    <cfRule type="expression" dxfId="74" priority="45">
      <formula>ABS(D$25-D$28)&gt;=1000</formula>
    </cfRule>
  </conditionalFormatting>
  <conditionalFormatting sqref="E22:E29">
    <cfRule type="expression" dxfId="73" priority="44">
      <formula>ABS(E$25-E$28)&gt;=1000</formula>
    </cfRule>
  </conditionalFormatting>
  <conditionalFormatting sqref="F22:F29">
    <cfRule type="expression" dxfId="72" priority="43">
      <formula>ABS(F$25-F$28)&gt;=1000</formula>
    </cfRule>
  </conditionalFormatting>
  <conditionalFormatting sqref="G22:G29">
    <cfRule type="expression" dxfId="71" priority="42">
      <formula>ABS(G$25-G$28)&gt;=1000</formula>
    </cfRule>
  </conditionalFormatting>
  <conditionalFormatting sqref="H22:H29">
    <cfRule type="expression" dxfId="70" priority="41">
      <formula>ABS(H$25-H$28)&gt;=1000</formula>
    </cfRule>
  </conditionalFormatting>
  <conditionalFormatting sqref="I22 I24:I29">
    <cfRule type="expression" dxfId="69" priority="40">
      <formula>ABS(I$25-I$28)&gt;=1000</formula>
    </cfRule>
  </conditionalFormatting>
  <conditionalFormatting sqref="J22:J29 K22">
    <cfRule type="expression" dxfId="68" priority="39">
      <formula>ABS(J$25-J$28)&gt;=1000</formula>
    </cfRule>
  </conditionalFormatting>
  <conditionalFormatting sqref="K23:K29 L25 L28">
    <cfRule type="expression" dxfId="67" priority="38">
      <formula>ABS(K$25-K$28)&gt;=1000</formula>
    </cfRule>
  </conditionalFormatting>
  <conditionalFormatting sqref="L22 L26:L27 L29 L24">
    <cfRule type="expression" dxfId="66" priority="37">
      <formula>ABS(L$25-L$28)&gt;=1000</formula>
    </cfRule>
  </conditionalFormatting>
  <conditionalFormatting sqref="M22:M29">
    <cfRule type="expression" dxfId="65" priority="36">
      <formula>ABS(M$25-M$28)&gt;=1000</formula>
    </cfRule>
  </conditionalFormatting>
  <conditionalFormatting sqref="N22:N29">
    <cfRule type="expression" dxfId="64" priority="35">
      <formula>ABS(N$25-N$28)&gt;=1000</formula>
    </cfRule>
  </conditionalFormatting>
  <conditionalFormatting sqref="O22:O29">
    <cfRule type="expression" dxfId="63" priority="34">
      <formula>ABS(O$25-O$28)&gt;=1000</formula>
    </cfRule>
  </conditionalFormatting>
  <conditionalFormatting sqref="P22:P29">
    <cfRule type="expression" dxfId="62" priority="33">
      <formula>ABS(P$25-P$28)&gt;=1000</formula>
    </cfRule>
  </conditionalFormatting>
  <conditionalFormatting sqref="Q22:Q29">
    <cfRule type="expression" dxfId="61" priority="32">
      <formula>ABS(Q$25-Q$28)&gt;=1000</formula>
    </cfRule>
  </conditionalFormatting>
  <conditionalFormatting sqref="R22:R29">
    <cfRule type="expression" dxfId="60" priority="31">
      <formula>ABS(R$25-R$28)&gt;=1000</formula>
    </cfRule>
  </conditionalFormatting>
  <conditionalFormatting sqref="S22:S29">
    <cfRule type="expression" dxfId="59" priority="30">
      <formula>ABS(S$25-S$28)&gt;=1000</formula>
    </cfRule>
  </conditionalFormatting>
  <conditionalFormatting sqref="T22:T29">
    <cfRule type="expression" dxfId="58" priority="29">
      <formula>ABS(T$25-T$28)&gt;=1000</formula>
    </cfRule>
  </conditionalFormatting>
  <conditionalFormatting sqref="U22:U29">
    <cfRule type="expression" dxfId="57" priority="28">
      <formula>ABS(U$25-U$28)&gt;=1000</formula>
    </cfRule>
  </conditionalFormatting>
  <conditionalFormatting sqref="V22:V29">
    <cfRule type="expression" dxfId="56" priority="27">
      <formula>ABS(V$25-V$28)&gt;=1000</formula>
    </cfRule>
  </conditionalFormatting>
  <conditionalFormatting sqref="W22:W29">
    <cfRule type="expression" dxfId="55" priority="26">
      <formula>ABS(W$25-W$28)&gt;=1000</formula>
    </cfRule>
  </conditionalFormatting>
  <conditionalFormatting sqref="X22:X29">
    <cfRule type="expression" dxfId="54" priority="25">
      <formula>ABS(X$25-X$28)&gt;=1000</formula>
    </cfRule>
  </conditionalFormatting>
  <conditionalFormatting sqref="Y22:Y29">
    <cfRule type="expression" dxfId="53" priority="24">
      <formula>ABS(Y$25-Y$28)&gt;=1000</formula>
    </cfRule>
  </conditionalFormatting>
  <conditionalFormatting sqref="I23">
    <cfRule type="expression" dxfId="52" priority="23">
      <formula>ABS(I$25-I$28)&gt;=1000</formula>
    </cfRule>
  </conditionalFormatting>
  <conditionalFormatting sqref="Q14">
    <cfRule type="expression" dxfId="51" priority="22">
      <formula>ABS(Q$16-Q$19)&gt;=1000</formula>
    </cfRule>
  </conditionalFormatting>
  <conditionalFormatting sqref="W14">
    <cfRule type="expression" dxfId="50" priority="21">
      <formula>ABS(W$16-W$19)&gt;=1000</formula>
    </cfRule>
  </conditionalFormatting>
  <conditionalFormatting sqref="X14">
    <cfRule type="expression" dxfId="49" priority="20">
      <formula>ABS(X$16-X$19)&gt;=1000</formula>
    </cfRule>
  </conditionalFormatting>
  <conditionalFormatting sqref="T10:Y10">
    <cfRule type="expression" dxfId="48" priority="19">
      <formula>ABS(T$7-T$10)&gt;=1000</formula>
    </cfRule>
  </conditionalFormatting>
  <conditionalFormatting sqref="W19">
    <cfRule type="expression" dxfId="47" priority="18">
      <formula>ABS(W$16-W$19)&gt;=1000</formula>
    </cfRule>
  </conditionalFormatting>
  <conditionalFormatting sqref="AC5">
    <cfRule type="expression" dxfId="46" priority="17">
      <formula>ABS(AC$7-AC$10)&gt;=1000</formula>
    </cfRule>
  </conditionalFormatting>
  <conditionalFormatting sqref="M14">
    <cfRule type="expression" dxfId="45" priority="16">
      <formula>ABS(M$16-M$19)&gt;=1000</formula>
    </cfRule>
  </conditionalFormatting>
  <conditionalFormatting sqref="M16">
    <cfRule type="expression" dxfId="44" priority="15">
      <formula>ABS(M$16-M$19)&gt;=1000</formula>
    </cfRule>
  </conditionalFormatting>
  <conditionalFormatting sqref="M19">
    <cfRule type="expression" dxfId="43" priority="14">
      <formula>ABS(M$16-M$19)&gt;=1000</formula>
    </cfRule>
  </conditionalFormatting>
  <conditionalFormatting sqref="K13:K20">
    <cfRule type="expression" dxfId="42" priority="13">
      <formula>ABS(K$16-K$19)&gt;=1000</formula>
    </cfRule>
  </conditionalFormatting>
  <conditionalFormatting sqref="E5">
    <cfRule type="expression" dxfId="41" priority="12">
      <formula>ABS(E$7-E$10)&gt;=1000</formula>
    </cfRule>
  </conditionalFormatting>
  <conditionalFormatting sqref="AB14:AC14">
    <cfRule type="expression" dxfId="40" priority="11">
      <formula>ABS(AB$16-AB$19)&gt;=1000</formula>
    </cfRule>
  </conditionalFormatting>
  <conditionalFormatting sqref="M5">
    <cfRule type="expression" dxfId="39" priority="10">
      <formula>ABS(M$7-M$10)&gt;=1000</formula>
    </cfRule>
  </conditionalFormatting>
  <conditionalFormatting sqref="N5">
    <cfRule type="expression" dxfId="38" priority="9">
      <formula>ABS(N$7-N$10)&gt;=1000</formula>
    </cfRule>
  </conditionalFormatting>
  <conditionalFormatting sqref="O5">
    <cfRule type="expression" dxfId="37" priority="8">
      <formula>ABS(O$7-O$10)&gt;=1000</formula>
    </cfRule>
  </conditionalFormatting>
  <conditionalFormatting sqref="P5">
    <cfRule type="expression" dxfId="36" priority="7">
      <formula>ABS(P$7-P$10)&gt;=1000</formula>
    </cfRule>
  </conditionalFormatting>
  <conditionalFormatting sqref="L23">
    <cfRule type="expression" dxfId="35" priority="6">
      <formula>ABS(L$25-L$28)&gt;=1000</formula>
    </cfRule>
  </conditionalFormatting>
  <conditionalFormatting sqref="Y14">
    <cfRule type="expression" dxfId="34" priority="5">
      <formula>ABS(Y$16-Y$19)&gt;=1000</formula>
    </cfRule>
  </conditionalFormatting>
  <conditionalFormatting sqref="F14">
    <cfRule type="expression" dxfId="33" priority="4">
      <formula>ABS(F$16-F$19)&gt;=1000</formula>
    </cfRule>
  </conditionalFormatting>
  <conditionalFormatting sqref="H14">
    <cfRule type="expression" dxfId="32" priority="3">
      <formula>ABS(H$16-H$19)&gt;=1000</formula>
    </cfRule>
  </conditionalFormatting>
  <conditionalFormatting sqref="AD5">
    <cfRule type="expression" dxfId="31" priority="2">
      <formula>ABS(AD$7-AD$10)&gt;=1000</formula>
    </cfRule>
  </conditionalFormatting>
  <conditionalFormatting sqref="AE5">
    <cfRule type="expression" dxfId="30" priority="1">
      <formula>ABS(AE$7-AE$10)&gt;=1000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4739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409575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25</vt:i4>
      </vt:variant>
      <vt:variant>
        <vt:lpstr>已命名的範圍</vt:lpstr>
      </vt:variant>
      <vt:variant>
        <vt:i4>25</vt:i4>
      </vt:variant>
    </vt:vector>
  </HeadingPairs>
  <TitlesOfParts>
    <vt:vector size="50" baseType="lpstr">
      <vt:lpstr>新增</vt:lpstr>
      <vt:lpstr>密度</vt:lpstr>
      <vt:lpstr>12.31</vt:lpstr>
      <vt:lpstr>1.1</vt:lpstr>
      <vt:lpstr>1.2</vt:lpstr>
      <vt:lpstr>1.5</vt:lpstr>
      <vt:lpstr>1.6</vt:lpstr>
      <vt:lpstr>1.7</vt:lpstr>
      <vt:lpstr>1.8</vt:lpstr>
      <vt:lpstr>1.9</vt:lpstr>
      <vt:lpstr>1.12</vt:lpstr>
      <vt:lpstr>1.13</vt:lpstr>
      <vt:lpstr>1.14</vt:lpstr>
      <vt:lpstr>1.15</vt:lpstr>
      <vt:lpstr>1.16</vt:lpstr>
      <vt:lpstr>1.19</vt:lpstr>
      <vt:lpstr>1.20</vt:lpstr>
      <vt:lpstr>1.21</vt:lpstr>
      <vt:lpstr>1.22</vt:lpstr>
      <vt:lpstr>1.23</vt:lpstr>
      <vt:lpstr>1.26</vt:lpstr>
      <vt:lpstr>1.27</vt:lpstr>
      <vt:lpstr>1.28</vt:lpstr>
      <vt:lpstr>1.29</vt:lpstr>
      <vt:lpstr>1.30</vt:lpstr>
      <vt:lpstr>'1.1'!Print_Area</vt:lpstr>
      <vt:lpstr>'1.12'!Print_Area</vt:lpstr>
      <vt:lpstr>'1.13'!Print_Area</vt:lpstr>
      <vt:lpstr>'1.14'!Print_Area</vt:lpstr>
      <vt:lpstr>'1.15'!Print_Area</vt:lpstr>
      <vt:lpstr>'1.16'!Print_Area</vt:lpstr>
      <vt:lpstr>'1.19'!Print_Area</vt:lpstr>
      <vt:lpstr>'1.2'!Print_Area</vt:lpstr>
      <vt:lpstr>'1.20'!Print_Area</vt:lpstr>
      <vt:lpstr>'1.21'!Print_Area</vt:lpstr>
      <vt:lpstr>'1.22'!Print_Area</vt:lpstr>
      <vt:lpstr>'1.23'!Print_Area</vt:lpstr>
      <vt:lpstr>'1.26'!Print_Area</vt:lpstr>
      <vt:lpstr>'1.27'!Print_Area</vt:lpstr>
      <vt:lpstr>'1.28'!Print_Area</vt:lpstr>
      <vt:lpstr>'1.29'!Print_Area</vt:lpstr>
      <vt:lpstr>'1.30'!Print_Area</vt:lpstr>
      <vt:lpstr>'1.5'!Print_Area</vt:lpstr>
      <vt:lpstr>'1.6'!Print_Area</vt:lpstr>
      <vt:lpstr>'1.7'!Print_Area</vt:lpstr>
      <vt:lpstr>'1.8'!Print_Area</vt:lpstr>
      <vt:lpstr>'1.9'!Print_Area</vt:lpstr>
      <vt:lpstr>'12.31'!Print_Area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C769</cp:lastModifiedBy>
  <cp:lastPrinted>2026-01-30T07:30:06Z</cp:lastPrinted>
  <dcterms:created xsi:type="dcterms:W3CDTF">2006-09-16T00:00:00Z</dcterms:created>
  <dcterms:modified xsi:type="dcterms:W3CDTF">2026-01-30T07:31:09Z</dcterms:modified>
</cp:coreProperties>
</file>